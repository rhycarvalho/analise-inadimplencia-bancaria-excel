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rhyan\Downloads\"/>
    </mc:Choice>
  </mc:AlternateContent>
  <xr:revisionPtr revIDLastSave="0" documentId="13_ncr:20001_{F4BC3057-083B-4FB9-BDA2-0155E6967F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1" r:id="rId1"/>
    <sheet name="Apresentação" sheetId="8" r:id="rId2"/>
    <sheet name="Dados Brutos Tratados" sheetId="3" r:id="rId3"/>
    <sheet name="Dados_Brutos" sheetId="2" r:id="rId4"/>
  </sheets>
  <externalReferences>
    <externalReference r:id="rId5"/>
  </externalReferences>
  <definedNames>
    <definedName name="_xlcn.WorksheetConnection_Dados_Brutos_treino1" hidden="1">Dados_Brutos_treino[]</definedName>
    <definedName name="DadosExternos_1" localSheetId="2" hidden="1">'Dados Brutos Tratados'!$A$1:$L$2201</definedName>
  </definedNames>
  <calcPr calcId="191029"/>
  <pivotCaches>
    <pivotCache cacheId="23" r:id="rId6"/>
  </pivotCaches>
  <fileRecoveryPr repairLoad="1"/>
  <extLst>
    <ext xmlns:x15="http://schemas.microsoft.com/office/spreadsheetml/2010/11/main" uri="{FCE2AD5D-F65C-4FA6-A056-5C36A1767C68}">
      <x15:dataModel>
        <x15:modelTables>
          <x15:modelTable id="Dados_Brutos_treino" name="Dados_Brutos_treino" connection="WorksheetConnection_Dados_Brutos_trein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11" l="1"/>
  <c r="G7" i="11"/>
  <c r="D7" i="11"/>
  <c r="A7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4FA28B-CCCE-41C5-BDA5-3F1650B4EAF4}" keepAlive="1" name="Consulta - Dados_Brutos treino" description="Conexão com a consulta 'Dados_Brutos treino' na pasta de trabalho." type="5" refreshedVersion="8" background="1" saveData="1">
    <dbPr connection="Provider=Microsoft.Mashup.OleDb.1;Data Source=$Workbook$;Location=&quot;Dados_Brutos treino&quot;;Extended Properties=&quot;&quot;" command="SELECT * FROM [Dados_Brutos treino]"/>
  </connection>
  <connection id="2" xr16:uid="{13C1A204-2091-46A3-8CBB-00771BE02B46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99B7170B-B55E-4704-AA63-E554294E8E3B}" name="WorksheetConnection_Dados_Brutos_treino" type="102" refreshedVersion="8" minRefreshableVersion="5">
    <extLst>
      <ext xmlns:x15="http://schemas.microsoft.com/office/spreadsheetml/2010/11/main" uri="{DE250136-89BD-433C-8126-D09CA5730AF9}">
        <x15:connection id="Dados_Brutos_treino">
          <x15:rangePr sourceName="_xlcn.WorksheetConnection_Dados_Brutos_treino1"/>
        </x15:connection>
      </ext>
    </extLst>
  </connection>
</connections>
</file>

<file path=xl/sharedStrings.xml><?xml version="1.0" encoding="utf-8"?>
<sst xmlns="http://schemas.openxmlformats.org/spreadsheetml/2006/main" count="35622" uniqueCount="3868">
  <si>
    <t>ID_Transacao</t>
  </si>
  <si>
    <t>ID_Cliente</t>
  </si>
  <si>
    <t>Nome_Cliente</t>
  </si>
  <si>
    <t>Data_Transacao</t>
  </si>
  <si>
    <t>Valor_Transacao</t>
  </si>
  <si>
    <t>Tipo_Transacao</t>
  </si>
  <si>
    <t>Categoria</t>
  </si>
  <si>
    <t>Status_Pagamento</t>
  </si>
  <si>
    <t>Dias_Atraso</t>
  </si>
  <si>
    <t>Score_Credito</t>
  </si>
  <si>
    <t>Regiao</t>
  </si>
  <si>
    <t>Canal</t>
  </si>
  <si>
    <t>CLI-0046</t>
  </si>
  <si>
    <t>Karina Silva</t>
  </si>
  <si>
    <t>02/07/2024</t>
  </si>
  <si>
    <t>306.87</t>
  </si>
  <si>
    <t>CARTÃO DE CRÉDITO</t>
  </si>
  <si>
    <t>SAÚDE</t>
  </si>
  <si>
    <t>PAGO</t>
  </si>
  <si>
    <t>Sudeste</t>
  </si>
  <si>
    <t>Internet Banking</t>
  </si>
  <si>
    <t>CLI-0211</t>
  </si>
  <si>
    <t>Heitor Barbosa</t>
  </si>
  <si>
    <t>04/30/2025</t>
  </si>
  <si>
    <t>268.02</t>
  </si>
  <si>
    <t>ATRASADO</t>
  </si>
  <si>
    <t>Caixa Eletronico</t>
  </si>
  <si>
    <t>CLI-0226</t>
  </si>
  <si>
    <t>Patricia Gomes</t>
  </si>
  <si>
    <t>30-Apr-2025</t>
  </si>
  <si>
    <t>CD</t>
  </si>
  <si>
    <t>LAZER</t>
  </si>
  <si>
    <t>Nordeste</t>
  </si>
  <si>
    <t>Agência</t>
  </si>
  <si>
    <t>CLI-0252</t>
  </si>
  <si>
    <t>Não Informado</t>
  </si>
  <si>
    <t>03/27/2025</t>
  </si>
  <si>
    <t>Norte</t>
  </si>
  <si>
    <t>CLI-0214</t>
  </si>
  <si>
    <t>Thiago Correia</t>
  </si>
  <si>
    <t>14-Apr-2025</t>
  </si>
  <si>
    <t>BOLETO</t>
  </si>
  <si>
    <t>INADIMPLENTE</t>
  </si>
  <si>
    <t>CLI-0021</t>
  </si>
  <si>
    <t>19/08/2024</t>
  </si>
  <si>
    <t>Sul</t>
  </si>
  <si>
    <t>CLI-0183</t>
  </si>
  <si>
    <t>Caio Monteiro</t>
  </si>
  <si>
    <t>29/03/2024</t>
  </si>
  <si>
    <t>121,45</t>
  </si>
  <si>
    <t>PIX</t>
  </si>
  <si>
    <t>CLI-0106</t>
  </si>
  <si>
    <t>Sandra Vieira</t>
  </si>
  <si>
    <t>20-Apr-2025</t>
  </si>
  <si>
    <t>713.52</t>
  </si>
  <si>
    <t>TRANSPORTE</t>
  </si>
  <si>
    <t>Centro-Oeste</t>
  </si>
  <si>
    <t>CLI-0070</t>
  </si>
  <si>
    <t>Carla Mendes</t>
  </si>
  <si>
    <t>17/06/2025</t>
  </si>
  <si>
    <t>MORADIA</t>
  </si>
  <si>
    <t>CLI-0194</t>
  </si>
  <si>
    <t>Vanessa Duarte</t>
  </si>
  <si>
    <t>21-Mar-2024</t>
  </si>
  <si>
    <t>TED</t>
  </si>
  <si>
    <t>CLI-0053</t>
  </si>
  <si>
    <t>12-Oct-2024</t>
  </si>
  <si>
    <t>251,99</t>
  </si>
  <si>
    <t>CLI-0170</t>
  </si>
  <si>
    <t>05/08/2025</t>
  </si>
  <si>
    <t>EDUCAÇÃO</t>
  </si>
  <si>
    <t>CLI-0136</t>
  </si>
  <si>
    <t>Isabela Nunes</t>
  </si>
  <si>
    <t>17-Oct-2024</t>
  </si>
  <si>
    <t>454,66</t>
  </si>
  <si>
    <t>CLI-0034</t>
  </si>
  <si>
    <t>02/03/2025</t>
  </si>
  <si>
    <t>353.83</t>
  </si>
  <si>
    <t>ALIMENTAÇÃO</t>
  </si>
  <si>
    <t>CLI-0009</t>
  </si>
  <si>
    <t>22-May-2024</t>
  </si>
  <si>
    <t>VAREJO</t>
  </si>
  <si>
    <t>11/05/2024</t>
  </si>
  <si>
    <t>PENDENTE</t>
  </si>
  <si>
    <t>CLI-0029</t>
  </si>
  <si>
    <t>Bianca Freitas</t>
  </si>
  <si>
    <t>03/28/2024</t>
  </si>
  <si>
    <t>CLI-0098</t>
  </si>
  <si>
    <t>11/17/2024</t>
  </si>
  <si>
    <t>CLI-0080</t>
  </si>
  <si>
    <t>2024-05-21</t>
  </si>
  <si>
    <t>CLI-0118</t>
  </si>
  <si>
    <t>15-Feb-2025</t>
  </si>
  <si>
    <t>811.99</t>
  </si>
  <si>
    <t>CLI-0001</t>
  </si>
  <si>
    <t>William Santos</t>
  </si>
  <si>
    <t>10/08/2024</t>
  </si>
  <si>
    <t>383,63</t>
  </si>
  <si>
    <t>11-Jul-2024</t>
  </si>
  <si>
    <t>CLI-0171</t>
  </si>
  <si>
    <t>Debora Pinto</t>
  </si>
  <si>
    <t>09/04/2025</t>
  </si>
  <si>
    <t>CLI-0158</t>
  </si>
  <si>
    <t>Mariana Cardoso</t>
  </si>
  <si>
    <t>16/12/2024</t>
  </si>
  <si>
    <t>610.93</t>
  </si>
  <si>
    <t>CARTÃO DE DÉBITO</t>
  </si>
  <si>
    <t>CLI-0014</t>
  </si>
  <si>
    <t>2025-05-26</t>
  </si>
  <si>
    <t>CLI-0131</t>
  </si>
  <si>
    <t>Elaine Ferreira</t>
  </si>
  <si>
    <t>17/05/2025</t>
  </si>
  <si>
    <t>221,96</t>
  </si>
  <si>
    <t>CLI-0127</t>
  </si>
  <si>
    <t>18/07/2024</t>
  </si>
  <si>
    <t>411,67</t>
  </si>
  <si>
    <t>2024-02-22</t>
  </si>
  <si>
    <t>308,35</t>
  </si>
  <si>
    <t>CLI-0204</t>
  </si>
  <si>
    <t>23/05/2024</t>
  </si>
  <si>
    <t>678,93</t>
  </si>
  <si>
    <t>CLI-0240</t>
  </si>
  <si>
    <t>Joao Pedro Dias</t>
  </si>
  <si>
    <t>2025-01-31</t>
  </si>
  <si>
    <t>414.34</t>
  </si>
  <si>
    <t>CLI-0086</t>
  </si>
  <si>
    <t>Lucas Martins</t>
  </si>
  <si>
    <t>08/14/2024</t>
  </si>
  <si>
    <t>186.03</t>
  </si>
  <si>
    <t>CLI-0175</t>
  </si>
  <si>
    <t>06-Feb-2025</t>
  </si>
  <si>
    <t>CLI-0138</t>
  </si>
  <si>
    <t>2024-10-11</t>
  </si>
  <si>
    <t>CLI-0246</t>
  </si>
  <si>
    <t>Rafael Pereira</t>
  </si>
  <si>
    <t>2024-03-13</t>
  </si>
  <si>
    <t>CLI-0093</t>
  </si>
  <si>
    <t>30/04/2025</t>
  </si>
  <si>
    <t>CLI-0105</t>
  </si>
  <si>
    <t>2025-05-19</t>
  </si>
  <si>
    <t>265,8</t>
  </si>
  <si>
    <t>CLI-0181</t>
  </si>
  <si>
    <t>Ana Souza</t>
  </si>
  <si>
    <t>03/06/2025</t>
  </si>
  <si>
    <t>506,9</t>
  </si>
  <si>
    <t>CLI-0013</t>
  </si>
  <si>
    <t>2024-08-27</t>
  </si>
  <si>
    <t>200,05</t>
  </si>
  <si>
    <t>CLI-0119</t>
  </si>
  <si>
    <t>Gabriela Rocha</t>
  </si>
  <si>
    <t>01/05/2024</t>
  </si>
  <si>
    <t>CLI-0002</t>
  </si>
  <si>
    <t>Diego Alves</t>
  </si>
  <si>
    <t>08/04/2024</t>
  </si>
  <si>
    <t>28-Nov-2024</t>
  </si>
  <si>
    <t>CLI-0207</t>
  </si>
  <si>
    <t>2024-09-02</t>
  </si>
  <si>
    <t>CLI-0102</t>
  </si>
  <si>
    <t>2025-03-15</t>
  </si>
  <si>
    <t>308,22</t>
  </si>
  <si>
    <t>CLI-0042</t>
  </si>
  <si>
    <t>28-Feb-2024</t>
  </si>
  <si>
    <t>CLI-0205</t>
  </si>
  <si>
    <t>06/02/2025</t>
  </si>
  <si>
    <t>CLI-0197</t>
  </si>
  <si>
    <t>24/05/2024</t>
  </si>
  <si>
    <t>107,02</t>
  </si>
  <si>
    <t>CLI-0212</t>
  </si>
  <si>
    <t>Bruno Lima</t>
  </si>
  <si>
    <t>10-Jan-2024</t>
  </si>
  <si>
    <t>CLI-0069</t>
  </si>
  <si>
    <t>2024-08-10</t>
  </si>
  <si>
    <t>2024-07-30</t>
  </si>
  <si>
    <t>294,34</t>
  </si>
  <si>
    <t>CLI-0202</t>
  </si>
  <si>
    <t>02/10/2024</t>
  </si>
  <si>
    <t>CLI-0215</t>
  </si>
  <si>
    <t>CLI-0121</t>
  </si>
  <si>
    <t>20/05/2024</t>
  </si>
  <si>
    <t>CLI-0123</t>
  </si>
  <si>
    <t>06/04/2024</t>
  </si>
  <si>
    <t>422,17</t>
  </si>
  <si>
    <t>10/20/2024</t>
  </si>
  <si>
    <t>310,36</t>
  </si>
  <si>
    <t>CLI-0065</t>
  </si>
  <si>
    <t>352,97</t>
  </si>
  <si>
    <t>CLI-0225</t>
  </si>
  <si>
    <t>Yasmin Araujo</t>
  </si>
  <si>
    <t>2025-01-20</t>
  </si>
  <si>
    <t>459.63</t>
  </si>
  <si>
    <t>23-Mar-2024</t>
  </si>
  <si>
    <t>707,04</t>
  </si>
  <si>
    <t>03/09/2024</t>
  </si>
  <si>
    <t>-285.72</t>
  </si>
  <si>
    <t>CLI-0137</t>
  </si>
  <si>
    <t>09-Jun-2024</t>
  </si>
  <si>
    <t>CLI-0189</t>
  </si>
  <si>
    <t>16-May-2024</t>
  </si>
  <si>
    <t>CLI-0188</t>
  </si>
  <si>
    <t>30/09/2024</t>
  </si>
  <si>
    <t>CLI-0018</t>
  </si>
  <si>
    <t>271.79</t>
  </si>
  <si>
    <t>CLI-0152</t>
  </si>
  <si>
    <t>16-Sep-2024</t>
  </si>
  <si>
    <t>CLI-0078</t>
  </si>
  <si>
    <t>08/19/2024</t>
  </si>
  <si>
    <t>137.23</t>
  </si>
  <si>
    <t>CLI-0060</t>
  </si>
  <si>
    <t>23/08/2024</t>
  </si>
  <si>
    <t>306.01</t>
  </si>
  <si>
    <t>CLI-0092</t>
  </si>
  <si>
    <t>2024-09-17</t>
  </si>
  <si>
    <t>CLI-0190</t>
  </si>
  <si>
    <t>CLI-0216</t>
  </si>
  <si>
    <t>19/09/2024</t>
  </si>
  <si>
    <t>CLI-0052</t>
  </si>
  <si>
    <t>23/05/2025</t>
  </si>
  <si>
    <t>CLI-0232</t>
  </si>
  <si>
    <t>Nelson Teixeira</t>
  </si>
  <si>
    <t>04/03/2024</t>
  </si>
  <si>
    <t>CLI-0059</t>
  </si>
  <si>
    <t>03/08/2025</t>
  </si>
  <si>
    <t>CLI-0222</t>
  </si>
  <si>
    <t>10-Jun-2024</t>
  </si>
  <si>
    <t>998.76</t>
  </si>
  <si>
    <t>CLI-0253</t>
  </si>
  <si>
    <t>03/27/2024</t>
  </si>
  <si>
    <t>513,42</t>
  </si>
  <si>
    <t>06/03/2025</t>
  </si>
  <si>
    <t>9.92</t>
  </si>
  <si>
    <t>CLI-0124</t>
  </si>
  <si>
    <t>2025-03-04</t>
  </si>
  <si>
    <t>CLI-0208</t>
  </si>
  <si>
    <t>2025-02-07</t>
  </si>
  <si>
    <t>CLI-0036</t>
  </si>
  <si>
    <t>10/17/2024</t>
  </si>
  <si>
    <t>CLI-0056</t>
  </si>
  <si>
    <t>22-Jun-2025</t>
  </si>
  <si>
    <t>CLI-0217</t>
  </si>
  <si>
    <t>03/12/2024</t>
  </si>
  <si>
    <t>1708.24</t>
  </si>
  <si>
    <t>CLI-0061</t>
  </si>
  <si>
    <t>11/03/2025</t>
  </si>
  <si>
    <t>CLI-0101</t>
  </si>
  <si>
    <t>Otavio Ramos</t>
  </si>
  <si>
    <t>21-Feb-2024</t>
  </si>
  <si>
    <t>414,96</t>
  </si>
  <si>
    <t>CLI-0209</t>
  </si>
  <si>
    <t>06/26/2025</t>
  </si>
  <si>
    <t>2025-06-28</t>
  </si>
  <si>
    <t>99.49</t>
  </si>
  <si>
    <t>CLI-0184</t>
  </si>
  <si>
    <t>04/05/2025</t>
  </si>
  <si>
    <t>79.61</t>
  </si>
  <si>
    <t>07-Dec-2024</t>
  </si>
  <si>
    <t>CLI-0227</t>
  </si>
  <si>
    <t>09/03/2024</t>
  </si>
  <si>
    <t>340.65</t>
  </si>
  <si>
    <t>03/31/2024</t>
  </si>
  <si>
    <t>CLI-0040</t>
  </si>
  <si>
    <t>19-Nov-2024</t>
  </si>
  <si>
    <t>40.54</t>
  </si>
  <si>
    <t>CLI-0022</t>
  </si>
  <si>
    <t>12/02/2024</t>
  </si>
  <si>
    <t>03/08/2024</t>
  </si>
  <si>
    <t>09/30/2024</t>
  </si>
  <si>
    <t>CLI-0210</t>
  </si>
  <si>
    <t>12/12/2024</t>
  </si>
  <si>
    <t>06-Jun-2024</t>
  </si>
  <si>
    <t>CLI-0187</t>
  </si>
  <si>
    <t>Fabio Costa</t>
  </si>
  <si>
    <t>1005.20</t>
  </si>
  <si>
    <t>CLI-0186</t>
  </si>
  <si>
    <t>14/06/2024</t>
  </si>
  <si>
    <t>06/03/2024</t>
  </si>
  <si>
    <t>78,31</t>
  </si>
  <si>
    <t>CLI-0255</t>
  </si>
  <si>
    <t>10-Aug-2024</t>
  </si>
  <si>
    <t>CLI-0094</t>
  </si>
  <si>
    <t>2024-11-03</t>
  </si>
  <si>
    <t>CLI-0108</t>
  </si>
  <si>
    <t>13-Jan-2024</t>
  </si>
  <si>
    <t>CLI-0248</t>
  </si>
  <si>
    <t>2024-02-12</t>
  </si>
  <si>
    <t>741,79</t>
  </si>
  <si>
    <t>06-Oct-2024</t>
  </si>
  <si>
    <t>CLI-0112</t>
  </si>
  <si>
    <t>08-Nov-2024</t>
  </si>
  <si>
    <t>CLI-0239</t>
  </si>
  <si>
    <t>29/12/2024</t>
  </si>
  <si>
    <t>09/08/2024</t>
  </si>
  <si>
    <t>-695.29</t>
  </si>
  <si>
    <t>CLI-0195</t>
  </si>
  <si>
    <t>11/02/2024</t>
  </si>
  <si>
    <t>CLI-0045</t>
  </si>
  <si>
    <t>27-Jun-2024</t>
  </si>
  <si>
    <t>25/02/2024</t>
  </si>
  <si>
    <t>CLI-0103</t>
  </si>
  <si>
    <t>332.25</t>
  </si>
  <si>
    <t>CLI-0077</t>
  </si>
  <si>
    <t>17/06/2024</t>
  </si>
  <si>
    <t>497,34</t>
  </si>
  <si>
    <t>25/07/2024</t>
  </si>
  <si>
    <t>CLI-0154</t>
  </si>
  <si>
    <t>2024-07-16</t>
  </si>
  <si>
    <t>803.11</t>
  </si>
  <si>
    <t>01/10/2024</t>
  </si>
  <si>
    <t>CLI-0260</t>
  </si>
  <si>
    <t>2024-01-24</t>
  </si>
  <si>
    <t>06/24/2025</t>
  </si>
  <si>
    <t>19-Jun-2025</t>
  </si>
  <si>
    <t>2024-10-27</t>
  </si>
  <si>
    <t>466,46</t>
  </si>
  <si>
    <t>CLI-0019</t>
  </si>
  <si>
    <t>09/04/2024</t>
  </si>
  <si>
    <t>CLI-0107</t>
  </si>
  <si>
    <t>02-Jun-2024</t>
  </si>
  <si>
    <t>469.60</t>
  </si>
  <si>
    <t>21/01/2025</t>
  </si>
  <si>
    <t>CLI-0235</t>
  </si>
  <si>
    <t>2025-03-25</t>
  </si>
  <si>
    <t>252.86</t>
  </si>
  <si>
    <t>CLI-0115</t>
  </si>
  <si>
    <t>2025-06-02</t>
  </si>
  <si>
    <t>210,1</t>
  </si>
  <si>
    <t>CLI-0142</t>
  </si>
  <si>
    <t>2024-02-09</t>
  </si>
  <si>
    <t>CLI-0201</t>
  </si>
  <si>
    <t>04/13/2025</t>
  </si>
  <si>
    <t>CLI-0228</t>
  </si>
  <si>
    <t>23-Apr-2024</t>
  </si>
  <si>
    <t>27-Sep-2024</t>
  </si>
  <si>
    <t>2024-05-29</t>
  </si>
  <si>
    <t>12/19/2024</t>
  </si>
  <si>
    <t>423.51</t>
  </si>
  <si>
    <t>15-Jan-2025</t>
  </si>
  <si>
    <t>241,33</t>
  </si>
  <si>
    <t>20/08/2024</t>
  </si>
  <si>
    <t>CLI-0249</t>
  </si>
  <si>
    <t>18/08/2024</t>
  </si>
  <si>
    <t>CLI-0111</t>
  </si>
  <si>
    <t>06/14/2024</t>
  </si>
  <si>
    <t>CLI-0223</t>
  </si>
  <si>
    <t>12/09/2024</t>
  </si>
  <si>
    <t>CLI-0057</t>
  </si>
  <si>
    <t>2025-05-31</t>
  </si>
  <si>
    <t>101.66</t>
  </si>
  <si>
    <t>CLI-0064</t>
  </si>
  <si>
    <t>03/19/2025</t>
  </si>
  <si>
    <t>CLI-0218</t>
  </si>
  <si>
    <t>12/30/2024</t>
  </si>
  <si>
    <t>363,63</t>
  </si>
  <si>
    <t>CLI-0027</t>
  </si>
  <si>
    <t>02/10/2025</t>
  </si>
  <si>
    <t>599,47</t>
  </si>
  <si>
    <t>CLI-0247</t>
  </si>
  <si>
    <t>11/10/2024</t>
  </si>
  <si>
    <t>CLI-0160</t>
  </si>
  <si>
    <t>CLI-0196</t>
  </si>
  <si>
    <t>02-Feb-2024</t>
  </si>
  <si>
    <t>CLI-0238</t>
  </si>
  <si>
    <t>14/02/2025</t>
  </si>
  <si>
    <t>820,4</t>
  </si>
  <si>
    <t>2024-10-14</t>
  </si>
  <si>
    <t>CLI-0049</t>
  </si>
  <si>
    <t>17/07/2024</t>
  </si>
  <si>
    <t>225,31</t>
  </si>
  <si>
    <t>CLI-0079</t>
  </si>
  <si>
    <t>2024-10-09</t>
  </si>
  <si>
    <t>2024-09-26</t>
  </si>
  <si>
    <t>671,93</t>
  </si>
  <si>
    <t>CLI-0234</t>
  </si>
  <si>
    <t>01/18/2025</t>
  </si>
  <si>
    <t>05/03/2025</t>
  </si>
  <si>
    <t>CLI-0182</t>
  </si>
  <si>
    <t>10/29/2024</t>
  </si>
  <si>
    <t>CLI-0099</t>
  </si>
  <si>
    <t>04/07/2025</t>
  </si>
  <si>
    <t>05/15/2025</t>
  </si>
  <si>
    <t>143,13</t>
  </si>
  <si>
    <t>27/03/2024</t>
  </si>
  <si>
    <t>615,14</t>
  </si>
  <si>
    <t>CLI-0010</t>
  </si>
  <si>
    <t>02-May-2025</t>
  </si>
  <si>
    <t>306,94</t>
  </si>
  <si>
    <t>CLI-0090</t>
  </si>
  <si>
    <t>08/20/2024</t>
  </si>
  <si>
    <t>05/09/2024</t>
  </si>
  <si>
    <t>CLI-0024</t>
  </si>
  <si>
    <t>29/06/2024</t>
  </si>
  <si>
    <t>CLI-0043</t>
  </si>
  <si>
    <t>03/03/2025</t>
  </si>
  <si>
    <t>CLI-0163</t>
  </si>
  <si>
    <t>01/09/2024</t>
  </si>
  <si>
    <t>584,03</t>
  </si>
  <si>
    <t>05/12/2024</t>
  </si>
  <si>
    <t>CLI-0141</t>
  </si>
  <si>
    <t>24/08/2024</t>
  </si>
  <si>
    <t>556,73</t>
  </si>
  <si>
    <t>CLI-0091</t>
  </si>
  <si>
    <t>06/01/2024</t>
  </si>
  <si>
    <t>05-Mar-2024</t>
  </si>
  <si>
    <t>CLI-0028</t>
  </si>
  <si>
    <t>30/04/2024</t>
  </si>
  <si>
    <t>267.56</t>
  </si>
  <si>
    <t>02/01/2024</t>
  </si>
  <si>
    <t>517,52</t>
  </si>
  <si>
    <t>11/11/2024</t>
  </si>
  <si>
    <t>396.42</t>
  </si>
  <si>
    <t>CLI-0242</t>
  </si>
  <si>
    <t>2024-02-17</t>
  </si>
  <si>
    <t>297.18</t>
  </si>
  <si>
    <t>12/03/2024</t>
  </si>
  <si>
    <t>29-May-2024</t>
  </si>
  <si>
    <t>18-Jun-2025</t>
  </si>
  <si>
    <t>342.06</t>
  </si>
  <si>
    <t>04/01/2024</t>
  </si>
  <si>
    <t>372.56</t>
  </si>
  <si>
    <t>CLI-0221</t>
  </si>
  <si>
    <t>17-Dec-2024</t>
  </si>
  <si>
    <t>CLI-0229</t>
  </si>
  <si>
    <t>03-Feb-2025</t>
  </si>
  <si>
    <t>424,61</t>
  </si>
  <si>
    <t>05/24/2025</t>
  </si>
  <si>
    <t>135,87</t>
  </si>
  <si>
    <t>CLI-0026</t>
  </si>
  <si>
    <t>09/22/2024</t>
  </si>
  <si>
    <t>CLI-0180</t>
  </si>
  <si>
    <t>28-Apr-2025</t>
  </si>
  <si>
    <t>CLI-0164</t>
  </si>
  <si>
    <t>08/30/2024</t>
  </si>
  <si>
    <t>CLI-0206</t>
  </si>
  <si>
    <t>06/27/2025</t>
  </si>
  <si>
    <t>18/05/2025</t>
  </si>
  <si>
    <t>12/08/2024</t>
  </si>
  <si>
    <t>386.98</t>
  </si>
  <si>
    <t>01/11/2024</t>
  </si>
  <si>
    <t>01-May-2025</t>
  </si>
  <si>
    <t>CLI-0174</t>
  </si>
  <si>
    <t>2025-05-18</t>
  </si>
  <si>
    <t>09/29/2024</t>
  </si>
  <si>
    <t>-68.42</t>
  </si>
  <si>
    <t>05/11/2024</t>
  </si>
  <si>
    <t>CLI-0117</t>
  </si>
  <si>
    <t>CLI-0062</t>
  </si>
  <si>
    <t>05-Jun-2025</t>
  </si>
  <si>
    <t>CLI-0149</t>
  </si>
  <si>
    <t>11/16/2024</t>
  </si>
  <si>
    <t>886,78</t>
  </si>
  <si>
    <t>18-Apr-2025</t>
  </si>
  <si>
    <t>CLI-0243</t>
  </si>
  <si>
    <t>CLI-0241</t>
  </si>
  <si>
    <t>481,4</t>
  </si>
  <si>
    <t>18-Aug-2024</t>
  </si>
  <si>
    <t>543.96</t>
  </si>
  <si>
    <t>2024-09-11</t>
  </si>
  <si>
    <t>489,05</t>
  </si>
  <si>
    <t>06/11/2024</t>
  </si>
  <si>
    <t>08/23/2024</t>
  </si>
  <si>
    <t>584,15</t>
  </si>
  <si>
    <t>CLI-0192</t>
  </si>
  <si>
    <t>2024-08-22</t>
  </si>
  <si>
    <t>CLI-0055</t>
  </si>
  <si>
    <t>CLI-0066</t>
  </si>
  <si>
    <t>05/03/2024</t>
  </si>
  <si>
    <t>153.81</t>
  </si>
  <si>
    <t>15/02/2024</t>
  </si>
  <si>
    <t>2024-11-15</t>
  </si>
  <si>
    <t>486,01</t>
  </si>
  <si>
    <t>2025-06-08</t>
  </si>
  <si>
    <t>CLI-0088</t>
  </si>
  <si>
    <t>438,44</t>
  </si>
  <si>
    <t>547.96</t>
  </si>
  <si>
    <t>2025-03-11</t>
  </si>
  <si>
    <t>CLI-0199</t>
  </si>
  <si>
    <t>06/05/2024</t>
  </si>
  <si>
    <t>14/01/2025</t>
  </si>
  <si>
    <t>323.10</t>
  </si>
  <si>
    <t>CLI-0031</t>
  </si>
  <si>
    <t>06-Mar-2025</t>
  </si>
  <si>
    <t>514,55</t>
  </si>
  <si>
    <t>CLI-0017</t>
  </si>
  <si>
    <t>10/02/2024</t>
  </si>
  <si>
    <t>949.34</t>
  </si>
  <si>
    <t>06/12/2024</t>
  </si>
  <si>
    <t>03/26/2025</t>
  </si>
  <si>
    <t>446.38</t>
  </si>
  <si>
    <t>CLI-0032</t>
  </si>
  <si>
    <t>12/07/2024</t>
  </si>
  <si>
    <t>CLI-0085</t>
  </si>
  <si>
    <t>10/05/2024</t>
  </si>
  <si>
    <t>2024-12-01</t>
  </si>
  <si>
    <t>578,05</t>
  </si>
  <si>
    <t>CLI-0168</t>
  </si>
  <si>
    <t>16/02/2025</t>
  </si>
  <si>
    <t>06/13/2024</t>
  </si>
  <si>
    <t>270,02</t>
  </si>
  <si>
    <t>CLI-0165</t>
  </si>
  <si>
    <t>02/08/2024</t>
  </si>
  <si>
    <t>31-Mar-2024</t>
  </si>
  <si>
    <t>434,68</t>
  </si>
  <si>
    <t>552,41</t>
  </si>
  <si>
    <t>02/18/2024</t>
  </si>
  <si>
    <t>221,74</t>
  </si>
  <si>
    <t>CLI-0072</t>
  </si>
  <si>
    <t>01/28/2025</t>
  </si>
  <si>
    <t>CLI-0157</t>
  </si>
  <si>
    <t>04/11/2024</t>
  </si>
  <si>
    <t>2025-03-17</t>
  </si>
  <si>
    <t>22,32</t>
  </si>
  <si>
    <t>CLI-0033</t>
  </si>
  <si>
    <t>2024-08-14</t>
  </si>
  <si>
    <t>CLI-0050</t>
  </si>
  <si>
    <t>2024-03-02</t>
  </si>
  <si>
    <t>212.27</t>
  </si>
  <si>
    <t>CLI-0007</t>
  </si>
  <si>
    <t>09/13/2024</t>
  </si>
  <si>
    <t>31-Dec-2024</t>
  </si>
  <si>
    <t>10/15/2024</t>
  </si>
  <si>
    <t>335,83</t>
  </si>
  <si>
    <t>13-Sep-2024</t>
  </si>
  <si>
    <t>231.46</t>
  </si>
  <si>
    <t>06/09/2024</t>
  </si>
  <si>
    <t>603,33</t>
  </si>
  <si>
    <t>2024-04-23</t>
  </si>
  <si>
    <t>CLI-0251</t>
  </si>
  <si>
    <t>08-Dec-2024</t>
  </si>
  <si>
    <t>401,12</t>
  </si>
  <si>
    <t>CLI-0159</t>
  </si>
  <si>
    <t>2025-04-14</t>
  </si>
  <si>
    <t>CLI-0259</t>
  </si>
  <si>
    <t>2024-10-28</t>
  </si>
  <si>
    <t>294.57</t>
  </si>
  <si>
    <t>22/09/2024</t>
  </si>
  <si>
    <t>CLI-0067</t>
  </si>
  <si>
    <t>2024-08-20</t>
  </si>
  <si>
    <t>649.64</t>
  </si>
  <si>
    <t>CLI-0169</t>
  </si>
  <si>
    <t>20/01/2025</t>
  </si>
  <si>
    <t>273.52</t>
  </si>
  <si>
    <t>CLI-0041</t>
  </si>
  <si>
    <t>05/28/2025</t>
  </si>
  <si>
    <t>01/12/2025</t>
  </si>
  <si>
    <t>364.02</t>
  </si>
  <si>
    <t>07-Apr-2025</t>
  </si>
  <si>
    <t>CLI-0244</t>
  </si>
  <si>
    <t>14-Feb-2025</t>
  </si>
  <si>
    <t>2024-12-03</t>
  </si>
  <si>
    <t>216.70</t>
  </si>
  <si>
    <t>2024-11-05</t>
  </si>
  <si>
    <t>2025-04-06</t>
  </si>
  <si>
    <t>05/25/2024</t>
  </si>
  <si>
    <t>309,32</t>
  </si>
  <si>
    <t>CLI-0005</t>
  </si>
  <si>
    <t>07/12/2024</t>
  </si>
  <si>
    <t>309.13</t>
  </si>
  <si>
    <t>2024-04-29</t>
  </si>
  <si>
    <t>25/03/2025</t>
  </si>
  <si>
    <t>CLI-0016</t>
  </si>
  <si>
    <t>03/07/2024</t>
  </si>
  <si>
    <t>CLI-0015</t>
  </si>
  <si>
    <t>09/28/2024</t>
  </si>
  <si>
    <t>809.38</t>
  </si>
  <si>
    <t>CLI-0076</t>
  </si>
  <si>
    <t>18-Oct-2024</t>
  </si>
  <si>
    <t>382,52</t>
  </si>
  <si>
    <t>156,82</t>
  </si>
  <si>
    <t>2024-11-12</t>
  </si>
  <si>
    <t>76,05</t>
  </si>
  <si>
    <t>21-Dec-2024</t>
  </si>
  <si>
    <t>CLI-0254</t>
  </si>
  <si>
    <t>10-Jan-2025</t>
  </si>
  <si>
    <t>20-May-2024</t>
  </si>
  <si>
    <t>08/17/2024</t>
  </si>
  <si>
    <t>03/11/2025</t>
  </si>
  <si>
    <t>606.92</t>
  </si>
  <si>
    <t>CLI-0143</t>
  </si>
  <si>
    <t>16-Jan-2025</t>
  </si>
  <si>
    <t>588,03</t>
  </si>
  <si>
    <t>2024-09-15</t>
  </si>
  <si>
    <t>15/12/2024</t>
  </si>
  <si>
    <t>CLI-0126</t>
  </si>
  <si>
    <t>24/06/2024</t>
  </si>
  <si>
    <t>1162.08</t>
  </si>
  <si>
    <t>27-Jun-2025</t>
  </si>
  <si>
    <t>CLI-0084</t>
  </si>
  <si>
    <t>01/29/2025</t>
  </si>
  <si>
    <t>347,55</t>
  </si>
  <si>
    <t>2024-12-19</t>
  </si>
  <si>
    <t>503.80</t>
  </si>
  <si>
    <t>13/02/2024</t>
  </si>
  <si>
    <t>278,01</t>
  </si>
  <si>
    <t>CLI-0004</t>
  </si>
  <si>
    <t>02/19/2025</t>
  </si>
  <si>
    <t>2024-04-03</t>
  </si>
  <si>
    <t>CLI-0006</t>
  </si>
  <si>
    <t>CLI-0073</t>
  </si>
  <si>
    <t>30/01/2024</t>
  </si>
  <si>
    <t>-161,33</t>
  </si>
  <si>
    <t>CLI-0097</t>
  </si>
  <si>
    <t>23/01/2025</t>
  </si>
  <si>
    <t>CLI-0037</t>
  </si>
  <si>
    <t>05/29/2025</t>
  </si>
  <si>
    <t>517.21</t>
  </si>
  <si>
    <t>23-May-2024</t>
  </si>
  <si>
    <t>469.17</t>
  </si>
  <si>
    <t>456,38</t>
  </si>
  <si>
    <t>CLI-0193</t>
  </si>
  <si>
    <t>2024-08-08</t>
  </si>
  <si>
    <t>918.30</t>
  </si>
  <si>
    <t>CLI-0051</t>
  </si>
  <si>
    <t>23/01/2024</t>
  </si>
  <si>
    <t>2025-03-10</t>
  </si>
  <si>
    <t>07/11/2024</t>
  </si>
  <si>
    <t>283.70</t>
  </si>
  <si>
    <t>01-Oct-2024</t>
  </si>
  <si>
    <t>CLI-0082</t>
  </si>
  <si>
    <t>06-Apr-2024</t>
  </si>
  <si>
    <t>2024-07-08</t>
  </si>
  <si>
    <t>CLI-0081</t>
  </si>
  <si>
    <t>2024-06-18</t>
  </si>
  <si>
    <t>CLI-0172</t>
  </si>
  <si>
    <t>01-Apr-2025</t>
  </si>
  <si>
    <t>199.84</t>
  </si>
  <si>
    <t>2024-10-26</t>
  </si>
  <si>
    <t>CLI-0176</t>
  </si>
  <si>
    <t>27-Nov-2024</t>
  </si>
  <si>
    <t>103.54</t>
  </si>
  <si>
    <t>CLI-0012</t>
  </si>
  <si>
    <t>2024-10-25</t>
  </si>
  <si>
    <t>26-Dec-2024</t>
  </si>
  <si>
    <t>CLI-0109</t>
  </si>
  <si>
    <t>2024-10-23</t>
  </si>
  <si>
    <t>07/31/2024</t>
  </si>
  <si>
    <t>2024-12-04</t>
  </si>
  <si>
    <t>396.84</t>
  </si>
  <si>
    <t>CLI-0161</t>
  </si>
  <si>
    <t>11-May-2024</t>
  </si>
  <si>
    <t>206.71</t>
  </si>
  <si>
    <t>09/06/2024</t>
  </si>
  <si>
    <t>31.43</t>
  </si>
  <si>
    <t>23/04/2024</t>
  </si>
  <si>
    <t>2024-04-15</t>
  </si>
  <si>
    <t>511.32</t>
  </si>
  <si>
    <t>20/09/2024</t>
  </si>
  <si>
    <t>342.98</t>
  </si>
  <si>
    <t>24-Dec-2024</t>
  </si>
  <si>
    <t>26-Mar-2025</t>
  </si>
  <si>
    <t>474,83</t>
  </si>
  <si>
    <t>24-Apr-2024</t>
  </si>
  <si>
    <t>294.78</t>
  </si>
  <si>
    <t>07-May-2024</t>
  </si>
  <si>
    <t>18/06/2025</t>
  </si>
  <si>
    <t>26-Feb-2024</t>
  </si>
  <si>
    <t>290,0</t>
  </si>
  <si>
    <t>24-May-2024</t>
  </si>
  <si>
    <t>346.84</t>
  </si>
  <si>
    <t>CLI-0058</t>
  </si>
  <si>
    <t>19-Apr-2024</t>
  </si>
  <si>
    <t>42,7</t>
  </si>
  <si>
    <t>06/20/2025</t>
  </si>
  <si>
    <t>2025-01-07</t>
  </si>
  <si>
    <t>182,21</t>
  </si>
  <si>
    <t>26-Oct-2024</t>
  </si>
  <si>
    <t>03/15/2024</t>
  </si>
  <si>
    <t>2024-01-09</t>
  </si>
  <si>
    <t>04/26/2025</t>
  </si>
  <si>
    <t>CLI-0177</t>
  </si>
  <si>
    <t>05/06/2024</t>
  </si>
  <si>
    <t>320.34</t>
  </si>
  <si>
    <t>31/03/2025</t>
  </si>
  <si>
    <t>CLI-0063</t>
  </si>
  <si>
    <t>06/30/2024</t>
  </si>
  <si>
    <t>02/08/2025</t>
  </si>
  <si>
    <t>603,67</t>
  </si>
  <si>
    <t>2024-05-22</t>
  </si>
  <si>
    <t>875,83</t>
  </si>
  <si>
    <t>21-Feb-2025</t>
  </si>
  <si>
    <t>CLI-0096</t>
  </si>
  <si>
    <t>2024-01-14</t>
  </si>
  <si>
    <t>2024-10-08</t>
  </si>
  <si>
    <t>513.21</t>
  </si>
  <si>
    <t>CLI-0047</t>
  </si>
  <si>
    <t>2024-09-22</t>
  </si>
  <si>
    <t>CLI-0020</t>
  </si>
  <si>
    <t>01/09/2025</t>
  </si>
  <si>
    <t>282.44</t>
  </si>
  <si>
    <t>01-May-2024</t>
  </si>
  <si>
    <t>09-Mar-2024</t>
  </si>
  <si>
    <t>377.06</t>
  </si>
  <si>
    <t>07/10/2024</t>
  </si>
  <si>
    <t>104,78</t>
  </si>
  <si>
    <t>17/11/2024</t>
  </si>
  <si>
    <t>197.92</t>
  </si>
  <si>
    <t>03/24/2024</t>
  </si>
  <si>
    <t>427,08</t>
  </si>
  <si>
    <t>21-Nov-2024</t>
  </si>
  <si>
    <t>2024-03-27</t>
  </si>
  <si>
    <t>18/02/2025</t>
  </si>
  <si>
    <t>19-Aug-2024</t>
  </si>
  <si>
    <t>31-Jan-2024</t>
  </si>
  <si>
    <t>157,1</t>
  </si>
  <si>
    <t>25-May-2024</t>
  </si>
  <si>
    <t>CLI-0135</t>
  </si>
  <si>
    <t>2024-02-28</t>
  </si>
  <si>
    <t>545,16</t>
  </si>
  <si>
    <t>CLI-0089</t>
  </si>
  <si>
    <t>16/02/2024</t>
  </si>
  <si>
    <t>CLI-0179</t>
  </si>
  <si>
    <t>2025-01-26</t>
  </si>
  <si>
    <t>20-Jan-2024</t>
  </si>
  <si>
    <t>26-Jan-2025</t>
  </si>
  <si>
    <t>04-Oct-2024</t>
  </si>
  <si>
    <t>03-Apr-2025</t>
  </si>
  <si>
    <t>306,72</t>
  </si>
  <si>
    <t>2025-03-16</t>
  </si>
  <si>
    <t>07/08/2024</t>
  </si>
  <si>
    <t>2025-06-15</t>
  </si>
  <si>
    <t>56,23</t>
  </si>
  <si>
    <t>CLI-0132</t>
  </si>
  <si>
    <t>01/02/2024</t>
  </si>
  <si>
    <t>208,88</t>
  </si>
  <si>
    <t>10-Apr-2025</t>
  </si>
  <si>
    <t>206,43</t>
  </si>
  <si>
    <t>02/03/2024</t>
  </si>
  <si>
    <t>04/05/2024</t>
  </si>
  <si>
    <t>597.05</t>
  </si>
  <si>
    <t>02/13/2025</t>
  </si>
  <si>
    <t>CLI-0237</t>
  </si>
  <si>
    <t>10/02/2025</t>
  </si>
  <si>
    <t>394.10</t>
  </si>
  <si>
    <t>2024-04-06</t>
  </si>
  <si>
    <t>22-Mar-2024</t>
  </si>
  <si>
    <t>10/22/2024</t>
  </si>
  <si>
    <t>CLI-0178</t>
  </si>
  <si>
    <t>15-Jun-2024</t>
  </si>
  <si>
    <t>1341.39</t>
  </si>
  <si>
    <t>17-Jul-2024</t>
  </si>
  <si>
    <t>CLI-0220</t>
  </si>
  <si>
    <t>27/09/2024</t>
  </si>
  <si>
    <t>2025-06-29</t>
  </si>
  <si>
    <t>46,71</t>
  </si>
  <si>
    <t>CLI-0110</t>
  </si>
  <si>
    <t>01/21/2024</t>
  </si>
  <si>
    <t>05-Oct-2024</t>
  </si>
  <si>
    <t>284.53</t>
  </si>
  <si>
    <t>2025-06-25</t>
  </si>
  <si>
    <t>546,52</t>
  </si>
  <si>
    <t>15-Dec-2024</t>
  </si>
  <si>
    <t>316,07</t>
  </si>
  <si>
    <t>CLI-0134</t>
  </si>
  <si>
    <t>2024-12-30</t>
  </si>
  <si>
    <t>05/10/2025</t>
  </si>
  <si>
    <t>2025-01-25</t>
  </si>
  <si>
    <t>463,05</t>
  </si>
  <si>
    <t>2024-01-18</t>
  </si>
  <si>
    <t>22/01/2025</t>
  </si>
  <si>
    <t>2025-03-13</t>
  </si>
  <si>
    <t>109,25</t>
  </si>
  <si>
    <t>04/21/2024</t>
  </si>
  <si>
    <t>182,6</t>
  </si>
  <si>
    <t>2024-07-19</t>
  </si>
  <si>
    <t>147.81</t>
  </si>
  <si>
    <t>391.42</t>
  </si>
  <si>
    <t>12/05/2024</t>
  </si>
  <si>
    <t>CLI-0250</t>
  </si>
  <si>
    <t>03/18/2025</t>
  </si>
  <si>
    <t>CLI-0008</t>
  </si>
  <si>
    <t>30/08/2024</t>
  </si>
  <si>
    <t>CLI-0035</t>
  </si>
  <si>
    <t>09-Nov-2024</t>
  </si>
  <si>
    <t>07-Mar-2024</t>
  </si>
  <si>
    <t>04/15/2025</t>
  </si>
  <si>
    <t>01/20/2024</t>
  </si>
  <si>
    <t>02/06/2025</t>
  </si>
  <si>
    <t>2025-05-20</t>
  </si>
  <si>
    <t>298,18</t>
  </si>
  <si>
    <t>25-May-2025</t>
  </si>
  <si>
    <t>419.90</t>
  </si>
  <si>
    <t>CLI-0120</t>
  </si>
  <si>
    <t>22/04/2024</t>
  </si>
  <si>
    <t>02/09/2025</t>
  </si>
  <si>
    <t>230,5</t>
  </si>
  <si>
    <t>12/01/2024</t>
  </si>
  <si>
    <t>929.67</t>
  </si>
  <si>
    <t>10-Nov-2024</t>
  </si>
  <si>
    <t>CLI-0104</t>
  </si>
  <si>
    <t>29/09/2024</t>
  </si>
  <si>
    <t>351.40</t>
  </si>
  <si>
    <t>28/06/2024</t>
  </si>
  <si>
    <t>135.43</t>
  </si>
  <si>
    <t>10-Oct-2024</t>
  </si>
  <si>
    <t>01-Jun-2024</t>
  </si>
  <si>
    <t>2024-07-12</t>
  </si>
  <si>
    <t>CLI-0025</t>
  </si>
  <si>
    <t>12/11/2024</t>
  </si>
  <si>
    <t>854.54</t>
  </si>
  <si>
    <t>269.22</t>
  </si>
  <si>
    <t>CLI-0044</t>
  </si>
  <si>
    <t>05-Sep-2024</t>
  </si>
  <si>
    <t>24-Apr-2025</t>
  </si>
  <si>
    <t>151.53</t>
  </si>
  <si>
    <t>12/27/2024</t>
  </si>
  <si>
    <t>215.09</t>
  </si>
  <si>
    <t>09/07/2024</t>
  </si>
  <si>
    <t>CLI-0156</t>
  </si>
  <si>
    <t>02-Nov-2024</t>
  </si>
  <si>
    <t>CLI-0039</t>
  </si>
  <si>
    <t>07/20/2024</t>
  </si>
  <si>
    <t>405.41</t>
  </si>
  <si>
    <t>23-Jul-2024</t>
  </si>
  <si>
    <t>-396.36</t>
  </si>
  <si>
    <t>CLI-0230</t>
  </si>
  <si>
    <t>23-Feb-2025</t>
  </si>
  <si>
    <t>2024-03-12</t>
  </si>
  <si>
    <t>148,25</t>
  </si>
  <si>
    <t>CLI-0095</t>
  </si>
  <si>
    <t>03/14/2024</t>
  </si>
  <si>
    <t>13-Nov-2024</t>
  </si>
  <si>
    <t>19/11/2024</t>
  </si>
  <si>
    <t>CLI-0256</t>
  </si>
  <si>
    <t>06/25/2025</t>
  </si>
  <si>
    <t>01-Feb-2025</t>
  </si>
  <si>
    <t>27-Feb-2025</t>
  </si>
  <si>
    <t>775.27</t>
  </si>
  <si>
    <t>CLI-0219</t>
  </si>
  <si>
    <t>25-Jan-2025</t>
  </si>
  <si>
    <t>11/29/2024</t>
  </si>
  <si>
    <t>27/02/2024</t>
  </si>
  <si>
    <t>04/18/2025</t>
  </si>
  <si>
    <t>2024-07-07</t>
  </si>
  <si>
    <t>2025-03-19</t>
  </si>
  <si>
    <t>CLI-0162</t>
  </si>
  <si>
    <t>31/12/2024</t>
  </si>
  <si>
    <t>245,06</t>
  </si>
  <si>
    <t>21/04/2025</t>
  </si>
  <si>
    <t>330,08</t>
  </si>
  <si>
    <t>07-Jun-2025</t>
  </si>
  <si>
    <t>04/22/2024</t>
  </si>
  <si>
    <t>188.56</t>
  </si>
  <si>
    <t>CLI-0011</t>
  </si>
  <si>
    <t>11/24/2024</t>
  </si>
  <si>
    <t>290.20</t>
  </si>
  <si>
    <t>2024-03-04</t>
  </si>
  <si>
    <t>832.94</t>
  </si>
  <si>
    <t>15-May-2025</t>
  </si>
  <si>
    <t>441.03</t>
  </si>
  <si>
    <t>CLI-0213</t>
  </si>
  <si>
    <t>11/08/2024</t>
  </si>
  <si>
    <t>835,21</t>
  </si>
  <si>
    <t>21/05/2025</t>
  </si>
  <si>
    <t>386,5</t>
  </si>
  <si>
    <t>180.53</t>
  </si>
  <si>
    <t>06/08/2024</t>
  </si>
  <si>
    <t>08-Jan-2024</t>
  </si>
  <si>
    <t>01/14/2024</t>
  </si>
  <si>
    <t>2024-02-07</t>
  </si>
  <si>
    <t>24-Jul-2024</t>
  </si>
  <si>
    <t>05/11/2025</t>
  </si>
  <si>
    <t>184.49</t>
  </si>
  <si>
    <t>CLI-0150</t>
  </si>
  <si>
    <t>835.15</t>
  </si>
  <si>
    <t>15/02/2025</t>
  </si>
  <si>
    <t>CLI-0257</t>
  </si>
  <si>
    <t>489,19</t>
  </si>
  <si>
    <t>472.51</t>
  </si>
  <si>
    <t>CLI-0071</t>
  </si>
  <si>
    <t>2024-08-06</t>
  </si>
  <si>
    <t>659,24</t>
  </si>
  <si>
    <t>01-Jun-2025</t>
  </si>
  <si>
    <t>136.60</t>
  </si>
  <si>
    <t>03/17/2025</t>
  </si>
  <si>
    <t>437.33</t>
  </si>
  <si>
    <t>12/06/2024</t>
  </si>
  <si>
    <t>307.79</t>
  </si>
  <si>
    <t>CLI-0130</t>
  </si>
  <si>
    <t>08/11/2024</t>
  </si>
  <si>
    <t>2025-05-01</t>
  </si>
  <si>
    <t>374,34</t>
  </si>
  <si>
    <t>737.92</t>
  </si>
  <si>
    <t>16-Feb-2024</t>
  </si>
  <si>
    <t>90.88</t>
  </si>
  <si>
    <t>233,32</t>
  </si>
  <si>
    <t>25/01/2025</t>
  </si>
  <si>
    <t>131,94</t>
  </si>
  <si>
    <t>2025-03-20</t>
  </si>
  <si>
    <t>20/05/2025</t>
  </si>
  <si>
    <t>590.73</t>
  </si>
  <si>
    <t>09/10/2024</t>
  </si>
  <si>
    <t>04/03/2025</t>
  </si>
  <si>
    <t>CLI-0068</t>
  </si>
  <si>
    <t>23/06/2024</t>
  </si>
  <si>
    <t>385,48</t>
  </si>
  <si>
    <t>04-Feb-2025</t>
  </si>
  <si>
    <t>791.04</t>
  </si>
  <si>
    <t>CLI-0054</t>
  </si>
  <si>
    <t>18-Nov-2024</t>
  </si>
  <si>
    <t>10/06/2024</t>
  </si>
  <si>
    <t>1030.06</t>
  </si>
  <si>
    <t>04/02/2025</t>
  </si>
  <si>
    <t>1041.15</t>
  </si>
  <si>
    <t>2025-06-04</t>
  </si>
  <si>
    <t>234.97</t>
  </si>
  <si>
    <t>28-Apr-2024</t>
  </si>
  <si>
    <t>06/04/2025</t>
  </si>
  <si>
    <t>CLI-0198</t>
  </si>
  <si>
    <t>13-Dec-2024</t>
  </si>
  <si>
    <t>336,13</t>
  </si>
  <si>
    <t>CLI-0129</t>
  </si>
  <si>
    <t>03/26/2024</t>
  </si>
  <si>
    <t>27-May-2024</t>
  </si>
  <si>
    <t>2024-04-05</t>
  </si>
  <si>
    <t>04/30/2024</t>
  </si>
  <si>
    <t>401.72</t>
  </si>
  <si>
    <t>2024-11-28</t>
  </si>
  <si>
    <t>243.69</t>
  </si>
  <si>
    <t>04/02/2024</t>
  </si>
  <si>
    <t>350,47</t>
  </si>
  <si>
    <t>26/08/2024</t>
  </si>
  <si>
    <t>170,66</t>
  </si>
  <si>
    <t>08-Apr-2024</t>
  </si>
  <si>
    <t>261,04</t>
  </si>
  <si>
    <t>2024-09-14</t>
  </si>
  <si>
    <t>2025-01-01</t>
  </si>
  <si>
    <t>437.53</t>
  </si>
  <si>
    <t>02/01/2025</t>
  </si>
  <si>
    <t>03/03/2024</t>
  </si>
  <si>
    <t>39,73</t>
  </si>
  <si>
    <t>CLI-0144</t>
  </si>
  <si>
    <t>2024-10-15</t>
  </si>
  <si>
    <t>102.61</t>
  </si>
  <si>
    <t>05/06/2025</t>
  </si>
  <si>
    <t>488,1</t>
  </si>
  <si>
    <t>21/06/2024</t>
  </si>
  <si>
    <t>23-Dec-2024</t>
  </si>
  <si>
    <t>05/29/2024</t>
  </si>
  <si>
    <t>CLI-0151</t>
  </si>
  <si>
    <t>2025-06-06</t>
  </si>
  <si>
    <t>16/11/2024</t>
  </si>
  <si>
    <t>411,63</t>
  </si>
  <si>
    <t>CLI-0200</t>
  </si>
  <si>
    <t>12-Jan-2025</t>
  </si>
  <si>
    <t>2024-08-23</t>
  </si>
  <si>
    <t>-381,83</t>
  </si>
  <si>
    <t>02/05/2025</t>
  </si>
  <si>
    <t>07-Nov-2024</t>
  </si>
  <si>
    <t>02/25/2025</t>
  </si>
  <si>
    <t>-294,37</t>
  </si>
  <si>
    <t>2025-05-08</t>
  </si>
  <si>
    <t>05-Jun-2024</t>
  </si>
  <si>
    <t>564.77</t>
  </si>
  <si>
    <t>1039,33</t>
  </si>
  <si>
    <t>217.98</t>
  </si>
  <si>
    <t>CLI-0038</t>
  </si>
  <si>
    <t>18/03/2025</t>
  </si>
  <si>
    <t>CLI-0140</t>
  </si>
  <si>
    <t>20/06/2024</t>
  </si>
  <si>
    <t>80.17</t>
  </si>
  <si>
    <t>05/21/2024</t>
  </si>
  <si>
    <t>919.06</t>
  </si>
  <si>
    <t>10/04/2025</t>
  </si>
  <si>
    <t>518.79</t>
  </si>
  <si>
    <t>2025-03-22</t>
  </si>
  <si>
    <t>02/20/2025</t>
  </si>
  <si>
    <t>03/10/2024</t>
  </si>
  <si>
    <t>CLI-0224</t>
  </si>
  <si>
    <t>01-Dec-2024</t>
  </si>
  <si>
    <t>834,04</t>
  </si>
  <si>
    <t>2024-06-26</t>
  </si>
  <si>
    <t>215,79</t>
  </si>
  <si>
    <t>09-Sep-2024</t>
  </si>
  <si>
    <t>310.30</t>
  </si>
  <si>
    <t>2024-01-28</t>
  </si>
  <si>
    <t>440.91</t>
  </si>
  <si>
    <t>01/23/2024</t>
  </si>
  <si>
    <t>2024-11-10</t>
  </si>
  <si>
    <t>11/19/2024</t>
  </si>
  <si>
    <t>11/27/2024</t>
  </si>
  <si>
    <t>20-Oct-2024</t>
  </si>
  <si>
    <t>87,69</t>
  </si>
  <si>
    <t>25-Aug-2024</t>
  </si>
  <si>
    <t>2025-04-27</t>
  </si>
  <si>
    <t>545,64</t>
  </si>
  <si>
    <t>607.19</t>
  </si>
  <si>
    <t>2024-01-13</t>
  </si>
  <si>
    <t>578.63</t>
  </si>
  <si>
    <t>CLI-0146</t>
  </si>
  <si>
    <t>16-Aug-2024</t>
  </si>
  <si>
    <t>09-Feb-2024</t>
  </si>
  <si>
    <t>28-Jun-2025</t>
  </si>
  <si>
    <t>29-Jun-2025</t>
  </si>
  <si>
    <t>07/03/2024</t>
  </si>
  <si>
    <t>334,27</t>
  </si>
  <si>
    <t>04-Mar-2024</t>
  </si>
  <si>
    <t>804.46</t>
  </si>
  <si>
    <t>CLI-0145</t>
  </si>
  <si>
    <t>25-Feb-2024</t>
  </si>
  <si>
    <t>2024-07-02</t>
  </si>
  <si>
    <t>15-Nov-2024</t>
  </si>
  <si>
    <t>11-Jun-2025</t>
  </si>
  <si>
    <t>04/27/2025</t>
  </si>
  <si>
    <t>821,23</t>
  </si>
  <si>
    <t>1149.21</t>
  </si>
  <si>
    <t>18-Sep-2024</t>
  </si>
  <si>
    <t>261,89</t>
  </si>
  <si>
    <t>CLI-0128</t>
  </si>
  <si>
    <t>18/04/2024</t>
  </si>
  <si>
    <t>501.75</t>
  </si>
  <si>
    <t>17-May-2024</t>
  </si>
  <si>
    <t>CLI-0048</t>
  </si>
  <si>
    <t>26/09/2024</t>
  </si>
  <si>
    <t>09/11/2024</t>
  </si>
  <si>
    <t>07/04/2024</t>
  </si>
  <si>
    <t>23/10/2024</t>
  </si>
  <si>
    <t>845,64</t>
  </si>
  <si>
    <t>01/26/2025</t>
  </si>
  <si>
    <t>31-Mar-2025</t>
  </si>
  <si>
    <t>215.52</t>
  </si>
  <si>
    <t>208.28</t>
  </si>
  <si>
    <t>01/06/2025</t>
  </si>
  <si>
    <t>29-May-2025</t>
  </si>
  <si>
    <t>133,46</t>
  </si>
  <si>
    <t>CLI-0100</t>
  </si>
  <si>
    <t>451,98</t>
  </si>
  <si>
    <t>10-Sep-2024</t>
  </si>
  <si>
    <t>176.35</t>
  </si>
  <si>
    <t>CLI-0245</t>
  </si>
  <si>
    <t>348,67</t>
  </si>
  <si>
    <t>15-May-2024</t>
  </si>
  <si>
    <t>02-Feb-2025</t>
  </si>
  <si>
    <t>487.87</t>
  </si>
  <si>
    <t>2024-08-18</t>
  </si>
  <si>
    <t>365,69</t>
  </si>
  <si>
    <t>24/11/2024</t>
  </si>
  <si>
    <t>766,07</t>
  </si>
  <si>
    <t>2025-03-23</t>
  </si>
  <si>
    <t>CLI-0087</t>
  </si>
  <si>
    <t>2024-11-29</t>
  </si>
  <si>
    <t>2024-03-18</t>
  </si>
  <si>
    <t>03/04/2025</t>
  </si>
  <si>
    <t>2024-05-20</t>
  </si>
  <si>
    <t>219.29</t>
  </si>
  <si>
    <t>CLI-0147</t>
  </si>
  <si>
    <t>01/03/2025</t>
  </si>
  <si>
    <t>870.29</t>
  </si>
  <si>
    <t>02/02/2025</t>
  </si>
  <si>
    <t>579.90</t>
  </si>
  <si>
    <t>09/05/2024</t>
  </si>
  <si>
    <t>1053.27</t>
  </si>
  <si>
    <t>05/01/2024</t>
  </si>
  <si>
    <t>-7.80</t>
  </si>
  <si>
    <t>2025-01-14</t>
  </si>
  <si>
    <t>416,39</t>
  </si>
  <si>
    <t>CLI-0167</t>
  </si>
  <si>
    <t>2024-01-11</t>
  </si>
  <si>
    <t>12-Jun-2025</t>
  </si>
  <si>
    <t>20-Sep-2024</t>
  </si>
  <si>
    <t>26-Sep-2024</t>
  </si>
  <si>
    <t>640,24</t>
  </si>
  <si>
    <t>CLI-0233</t>
  </si>
  <si>
    <t>284,82</t>
  </si>
  <si>
    <t>66.73</t>
  </si>
  <si>
    <t>05-Apr-2025</t>
  </si>
  <si>
    <t>31-Oct-2024</t>
  </si>
  <si>
    <t>312.27</t>
  </si>
  <si>
    <t>19/01/2024</t>
  </si>
  <si>
    <t>243.35</t>
  </si>
  <si>
    <t>15-Apr-2025</t>
  </si>
  <si>
    <t>242.78</t>
  </si>
  <si>
    <t>CLI-0113</t>
  </si>
  <si>
    <t>28/09/2024</t>
  </si>
  <si>
    <t>439.09</t>
  </si>
  <si>
    <t>2025-03-30</t>
  </si>
  <si>
    <t>30-Oct-2024</t>
  </si>
  <si>
    <t>81,05</t>
  </si>
  <si>
    <t>25/04/2025</t>
  </si>
  <si>
    <t>571.63</t>
  </si>
  <si>
    <t>09/01/2025</t>
  </si>
  <si>
    <t>28-Jan-2025</t>
  </si>
  <si>
    <t>417,52</t>
  </si>
  <si>
    <t>12-Dec-2024</t>
  </si>
  <si>
    <t>371,95</t>
  </si>
  <si>
    <t>05/26/2025</t>
  </si>
  <si>
    <t>12-May-2024</t>
  </si>
  <si>
    <t>319,75</t>
  </si>
  <si>
    <t>06/21/2024</t>
  </si>
  <si>
    <t>24-Jan-2024</t>
  </si>
  <si>
    <t>06/28/2024</t>
  </si>
  <si>
    <t>2024-04-26</t>
  </si>
  <si>
    <t>550,25</t>
  </si>
  <si>
    <t>03/20/2025</t>
  </si>
  <si>
    <t>CLI-0153</t>
  </si>
  <si>
    <t>498,67</t>
  </si>
  <si>
    <t>24/10/2024</t>
  </si>
  <si>
    <t>654.98</t>
  </si>
  <si>
    <t>2024-04-20</t>
  </si>
  <si>
    <t>14-Jun-2025</t>
  </si>
  <si>
    <t>492.86</t>
  </si>
  <si>
    <t>2024-09-27</t>
  </si>
  <si>
    <t>2024-10-12</t>
  </si>
  <si>
    <t>1419,3</t>
  </si>
  <si>
    <t>2024-03-30</t>
  </si>
  <si>
    <t>554,25</t>
  </si>
  <si>
    <t>04-Mar-2025</t>
  </si>
  <si>
    <t>662,82</t>
  </si>
  <si>
    <t>20/07/2024</t>
  </si>
  <si>
    <t>01/24/2024</t>
  </si>
  <si>
    <t>13-Jun-2025</t>
  </si>
  <si>
    <t>29/11/2024</t>
  </si>
  <si>
    <t>01-Apr-2024</t>
  </si>
  <si>
    <t>427,53</t>
  </si>
  <si>
    <t>06/14/2025</t>
  </si>
  <si>
    <t>281,65</t>
  </si>
  <si>
    <t>28-Mar-2025</t>
  </si>
  <si>
    <t>178.72</t>
  </si>
  <si>
    <t>2025-04-26</t>
  </si>
  <si>
    <t>517.74</t>
  </si>
  <si>
    <t>18-Feb-2025</t>
  </si>
  <si>
    <t>517,66</t>
  </si>
  <si>
    <t>12-Feb-2024</t>
  </si>
  <si>
    <t>28-Sep-2024</t>
  </si>
  <si>
    <t>06/01/2025</t>
  </si>
  <si>
    <t>05/22/2025</t>
  </si>
  <si>
    <t>231.69</t>
  </si>
  <si>
    <t>2025-05-12</t>
  </si>
  <si>
    <t>20/01/2024</t>
  </si>
  <si>
    <t>79.45</t>
  </si>
  <si>
    <t>111.61</t>
  </si>
  <si>
    <t>01/07/2024</t>
  </si>
  <si>
    <t>189.93</t>
  </si>
  <si>
    <t>2024-02-19</t>
  </si>
  <si>
    <t>02-Jan-2025</t>
  </si>
  <si>
    <t>167.81</t>
  </si>
  <si>
    <t>04/14/2024</t>
  </si>
  <si>
    <t>70.56</t>
  </si>
  <si>
    <t>2024-02-05</t>
  </si>
  <si>
    <t>974,95</t>
  </si>
  <si>
    <t>2025-02-06</t>
  </si>
  <si>
    <t>881,45</t>
  </si>
  <si>
    <t>04/09/2024</t>
  </si>
  <si>
    <t>546.56</t>
  </si>
  <si>
    <t>08-Apr-2025</t>
  </si>
  <si>
    <t>10/07/2024</t>
  </si>
  <si>
    <t>346,82</t>
  </si>
  <si>
    <t>2025-01-16</t>
  </si>
  <si>
    <t>313.55</t>
  </si>
  <si>
    <t>01/13/2025</t>
  </si>
  <si>
    <t>529.33</t>
  </si>
  <si>
    <t>479,32</t>
  </si>
  <si>
    <t>29/02/2024</t>
  </si>
  <si>
    <t>289.96</t>
  </si>
  <si>
    <t>2025-06-26</t>
  </si>
  <si>
    <t>2024-06-23</t>
  </si>
  <si>
    <t>11/26/2024</t>
  </si>
  <si>
    <t>127,67</t>
  </si>
  <si>
    <t>CLI-0155</t>
  </si>
  <si>
    <t>28/04/2025</t>
  </si>
  <si>
    <t>273.64</t>
  </si>
  <si>
    <t>598.61</t>
  </si>
  <si>
    <t>06-Nov-2024</t>
  </si>
  <si>
    <t>189.99</t>
  </si>
  <si>
    <t>17/01/2024</t>
  </si>
  <si>
    <t>662.11</t>
  </si>
  <si>
    <t>CLI-0122</t>
  </si>
  <si>
    <t>04/19/2025</t>
  </si>
  <si>
    <t>230.65</t>
  </si>
  <si>
    <t>02/17/2024</t>
  </si>
  <si>
    <t>06/19/2024</t>
  </si>
  <si>
    <t>CLI-0139</t>
  </si>
  <si>
    <t>2025-02-10</t>
  </si>
  <si>
    <t>154,1</t>
  </si>
  <si>
    <t>03-Jun-2025</t>
  </si>
  <si>
    <t>1280.58</t>
  </si>
  <si>
    <t>282,46</t>
  </si>
  <si>
    <t>199.79</t>
  </si>
  <si>
    <t>CLI-0203</t>
  </si>
  <si>
    <t>22-Dec-2024</t>
  </si>
  <si>
    <t>CLI-0231</t>
  </si>
  <si>
    <t>04-Nov-2024</t>
  </si>
  <si>
    <t>899.83</t>
  </si>
  <si>
    <t>2024-05-28</t>
  </si>
  <si>
    <t>422.16</t>
  </si>
  <si>
    <t>20/02/2024</t>
  </si>
  <si>
    <t>420.86</t>
  </si>
  <si>
    <t>08/13/2024</t>
  </si>
  <si>
    <t>39,9</t>
  </si>
  <si>
    <t>2024-06-15</t>
  </si>
  <si>
    <t>19-Mar-2025</t>
  </si>
  <si>
    <t>06/21/2025</t>
  </si>
  <si>
    <t>09/25/2024</t>
  </si>
  <si>
    <t>08/10/2024</t>
  </si>
  <si>
    <t>02/22/2025</t>
  </si>
  <si>
    <t>347.69</t>
  </si>
  <si>
    <t>607.73</t>
  </si>
  <si>
    <t>02/16/2025</t>
  </si>
  <si>
    <t>538.01</t>
  </si>
  <si>
    <t>12/01/2025</t>
  </si>
  <si>
    <t>134.03</t>
  </si>
  <si>
    <t>02/21/2025</t>
  </si>
  <si>
    <t>290.36</t>
  </si>
  <si>
    <t>01/07/2025</t>
  </si>
  <si>
    <t>01/16/2025</t>
  </si>
  <si>
    <t>131,93</t>
  </si>
  <si>
    <t>CLI-0166</t>
  </si>
  <si>
    <t>20-Aug-2024</t>
  </si>
  <si>
    <t>532,22</t>
  </si>
  <si>
    <t>CLI-0258</t>
  </si>
  <si>
    <t>197.97</t>
  </si>
  <si>
    <t>2024-05-18</t>
  </si>
  <si>
    <t>01/25/2025</t>
  </si>
  <si>
    <t>11/30/2024</t>
  </si>
  <si>
    <t>CLI-0023</t>
  </si>
  <si>
    <t>97,14</t>
  </si>
  <si>
    <t>10/25/2024</t>
  </si>
  <si>
    <t>939,9</t>
  </si>
  <si>
    <t>25-Jun-2025</t>
  </si>
  <si>
    <t>195,49</t>
  </si>
  <si>
    <t>1134.23</t>
  </si>
  <si>
    <t>26/04/2025</t>
  </si>
  <si>
    <t>23/02/2025</t>
  </si>
  <si>
    <t>450,71</t>
  </si>
  <si>
    <t>2025-02-21</t>
  </si>
  <si>
    <t>05/25/2025</t>
  </si>
  <si>
    <t>148.97</t>
  </si>
  <si>
    <t>14/03/2025</t>
  </si>
  <si>
    <t>2024-05-13</t>
  </si>
  <si>
    <t>08/04/2025</t>
  </si>
  <si>
    <t>2024-06-20</t>
  </si>
  <si>
    <t>261.49</t>
  </si>
  <si>
    <t>2024-12-07</t>
  </si>
  <si>
    <t>05/23/2025</t>
  </si>
  <si>
    <t>383,96</t>
  </si>
  <si>
    <t>2024-08-29</t>
  </si>
  <si>
    <t>615.48</t>
  </si>
  <si>
    <t>2024-02-13</t>
  </si>
  <si>
    <t>373,75</t>
  </si>
  <si>
    <t>07-Jul-2024</t>
  </si>
  <si>
    <t>2024-05-04</t>
  </si>
  <si>
    <t>-189.96</t>
  </si>
  <si>
    <t>04/04/2024</t>
  </si>
  <si>
    <t>22-Feb-2024</t>
  </si>
  <si>
    <t>06/23/2024</t>
  </si>
  <si>
    <t>353.52</t>
  </si>
  <si>
    <t>2024-03-07</t>
  </si>
  <si>
    <t>08/07/2024</t>
  </si>
  <si>
    <t>84.29</t>
  </si>
  <si>
    <t>23-Mar-2025</t>
  </si>
  <si>
    <t>2024-01-22</t>
  </si>
  <si>
    <t>2025-03-09</t>
  </si>
  <si>
    <t>199.88</t>
  </si>
  <si>
    <t>11-Oct-2024</t>
  </si>
  <si>
    <t>481.68</t>
  </si>
  <si>
    <t>07/13/2024</t>
  </si>
  <si>
    <t>07/23/2024</t>
  </si>
  <si>
    <t>542,41</t>
  </si>
  <si>
    <t>206,8</t>
  </si>
  <si>
    <t>30/05/2024</t>
  </si>
  <si>
    <t>605,49</t>
  </si>
  <si>
    <t>03-Mar-2025</t>
  </si>
  <si>
    <t>CLI-0133</t>
  </si>
  <si>
    <t>21-Jan-2025</t>
  </si>
  <si>
    <t>557.40</t>
  </si>
  <si>
    <t>115.49</t>
  </si>
  <si>
    <t>10/21/2024</t>
  </si>
  <si>
    <t>11-May-2025</t>
  </si>
  <si>
    <t>2024-06-07</t>
  </si>
  <si>
    <t>04-Apr-2024</t>
  </si>
  <si>
    <t>300,68</t>
  </si>
  <si>
    <t>2025-02-09</t>
  </si>
  <si>
    <t>595.15</t>
  </si>
  <si>
    <t>27-Apr-2024</t>
  </si>
  <si>
    <t>956,68</t>
  </si>
  <si>
    <t>02-Aug-2024</t>
  </si>
  <si>
    <t>2025-02-02</t>
  </si>
  <si>
    <t>1064,09</t>
  </si>
  <si>
    <t>07/05/2024</t>
  </si>
  <si>
    <t>173.85</t>
  </si>
  <si>
    <t>2024-12-21</t>
  </si>
  <si>
    <t>693.97</t>
  </si>
  <si>
    <t>01/05/2025</t>
  </si>
  <si>
    <t>16/08/2024</t>
  </si>
  <si>
    <t>31/10/2024</t>
  </si>
  <si>
    <t>2025-03-31</t>
  </si>
  <si>
    <t>395,54</t>
  </si>
  <si>
    <t>14-Mar-2024</t>
  </si>
  <si>
    <t>516,93</t>
  </si>
  <si>
    <t>2025-04-28</t>
  </si>
  <si>
    <t>371.37</t>
  </si>
  <si>
    <t>2024-02-03</t>
  </si>
  <si>
    <t>126,01</t>
  </si>
  <si>
    <t>29-Sep-2024</t>
  </si>
  <si>
    <t>324,18</t>
  </si>
  <si>
    <t>479,6</t>
  </si>
  <si>
    <t>08/01/2024</t>
  </si>
  <si>
    <t>01/17/2025</t>
  </si>
  <si>
    <t>297.69</t>
  </si>
  <si>
    <t>287.87</t>
  </si>
  <si>
    <t>131.11</t>
  </si>
  <si>
    <t>2024-10-02</t>
  </si>
  <si>
    <t>15/05/2025</t>
  </si>
  <si>
    <t>CLI-0116</t>
  </si>
  <si>
    <t>2024-12-24</t>
  </si>
  <si>
    <t>175,15</t>
  </si>
  <si>
    <t>CLI-0083</t>
  </si>
  <si>
    <t>25/08/2024</t>
  </si>
  <si>
    <t>2025-01-02</t>
  </si>
  <si>
    <t>265.55</t>
  </si>
  <si>
    <t>2024-01-05</t>
  </si>
  <si>
    <t>156,38</t>
  </si>
  <si>
    <t>15/01/2024</t>
  </si>
  <si>
    <t>01/22/2024</t>
  </si>
  <si>
    <t>30/03/2024</t>
  </si>
  <si>
    <t>256,42</t>
  </si>
  <si>
    <t>2024-05-27</t>
  </si>
  <si>
    <t>09/02/2024</t>
  </si>
  <si>
    <t>06/23/2025</t>
  </si>
  <si>
    <t>2025-02-28</t>
  </si>
  <si>
    <t>72.25</t>
  </si>
  <si>
    <t>14-Jan-2025</t>
  </si>
  <si>
    <t>-907,25</t>
  </si>
  <si>
    <t>13-Oct-2024</t>
  </si>
  <si>
    <t>253.93</t>
  </si>
  <si>
    <t>2024-06-05</t>
  </si>
  <si>
    <t>162,0</t>
  </si>
  <si>
    <t>2024-08-13</t>
  </si>
  <si>
    <t>246,04</t>
  </si>
  <si>
    <t>34.63</t>
  </si>
  <si>
    <t>2025-06-07</t>
  </si>
  <si>
    <t>70.64</t>
  </si>
  <si>
    <t>02/15/2025</t>
  </si>
  <si>
    <t>319.40</t>
  </si>
  <si>
    <t>13/07/2024</t>
  </si>
  <si>
    <t>06/16/2025</t>
  </si>
  <si>
    <t>21/02/2025</t>
  </si>
  <si>
    <t>2024-12-09</t>
  </si>
  <si>
    <t>135,33</t>
  </si>
  <si>
    <t>05/09/2025</t>
  </si>
  <si>
    <t>2025-04-11</t>
  </si>
  <si>
    <t>152.00</t>
  </si>
  <si>
    <t>104.35</t>
  </si>
  <si>
    <t>160.21</t>
  </si>
  <si>
    <t>30-Apr-2024</t>
  </si>
  <si>
    <t>324,59</t>
  </si>
  <si>
    <t>06-Jan-2025</t>
  </si>
  <si>
    <t>426.76</t>
  </si>
  <si>
    <t>2025-02-20</t>
  </si>
  <si>
    <t>135.29</t>
  </si>
  <si>
    <t>2025-02-12</t>
  </si>
  <si>
    <t>216,71</t>
  </si>
  <si>
    <t>23/07/2024</t>
  </si>
  <si>
    <t>863.90</t>
  </si>
  <si>
    <t>2024-05-08</t>
  </si>
  <si>
    <t>2024-04-30</t>
  </si>
  <si>
    <t>06/18/2024</t>
  </si>
  <si>
    <t>2024-09-23</t>
  </si>
  <si>
    <t>2025-04-29</t>
  </si>
  <si>
    <t>10/14/2024</t>
  </si>
  <si>
    <t>CLI-0074</t>
  </si>
  <si>
    <t>364.14</t>
  </si>
  <si>
    <t>17-Jun-2025</t>
  </si>
  <si>
    <t>250.37</t>
  </si>
  <si>
    <t>232.96</t>
  </si>
  <si>
    <t>21/02/2024</t>
  </si>
  <si>
    <t>532.16</t>
  </si>
  <si>
    <t>06/29/2025</t>
  </si>
  <si>
    <t>22-May-2025</t>
  </si>
  <si>
    <t>09-Apr-2024</t>
  </si>
  <si>
    <t>08/03/2024</t>
  </si>
  <si>
    <t>53,55</t>
  </si>
  <si>
    <t>2024-07-21</t>
  </si>
  <si>
    <t>2024-04-01</t>
  </si>
  <si>
    <t>15/10/2024</t>
  </si>
  <si>
    <t>98.97</t>
  </si>
  <si>
    <t>CLI-0075</t>
  </si>
  <si>
    <t>06-May-2024</t>
  </si>
  <si>
    <t>24/03/2025</t>
  </si>
  <si>
    <t>234.07</t>
  </si>
  <si>
    <t>09-Mar-2025</t>
  </si>
  <si>
    <t>CLI-0003</t>
  </si>
  <si>
    <t>05/24/2024</t>
  </si>
  <si>
    <t>383.27</t>
  </si>
  <si>
    <t>720.63</t>
  </si>
  <si>
    <t>11/15/2024</t>
  </si>
  <si>
    <t>192.78</t>
  </si>
  <si>
    <t>24-Nov-2024</t>
  </si>
  <si>
    <t>769,68</t>
  </si>
  <si>
    <t>30-Mar-2025</t>
  </si>
  <si>
    <t>04-Aug-2024</t>
  </si>
  <si>
    <t>1397,6</t>
  </si>
  <si>
    <t>06/06/2024</t>
  </si>
  <si>
    <t>511,19</t>
  </si>
  <si>
    <t>25/06/2024</t>
  </si>
  <si>
    <t>350.13</t>
  </si>
  <si>
    <t>2025-05-17</t>
  </si>
  <si>
    <t>323,28</t>
  </si>
  <si>
    <t>13/06/2025</t>
  </si>
  <si>
    <t>01/01/2024</t>
  </si>
  <si>
    <t>378,62</t>
  </si>
  <si>
    <t>26/05/2025</t>
  </si>
  <si>
    <t>2025-02-13</t>
  </si>
  <si>
    <t>2024-12-18</t>
  </si>
  <si>
    <t>308.61</t>
  </si>
  <si>
    <t>CLI-0148</t>
  </si>
  <si>
    <t>669.89</t>
  </si>
  <si>
    <t>455,2</t>
  </si>
  <si>
    <t>2025-01-22</t>
  </si>
  <si>
    <t>722.54</t>
  </si>
  <si>
    <t>05/31/2024</t>
  </si>
  <si>
    <t>21/08/2024</t>
  </si>
  <si>
    <t>393.21</t>
  </si>
  <si>
    <t>179,52</t>
  </si>
  <si>
    <t>01/01/2025</t>
  </si>
  <si>
    <t>335.17</t>
  </si>
  <si>
    <t>05-Aug-2024</t>
  </si>
  <si>
    <t>222.58</t>
  </si>
  <si>
    <t>2025-03-27</t>
  </si>
  <si>
    <t>93.97</t>
  </si>
  <si>
    <t>2024-07-01</t>
  </si>
  <si>
    <t>04/06/2024</t>
  </si>
  <si>
    <t>297,88</t>
  </si>
  <si>
    <t>07/06/2025</t>
  </si>
  <si>
    <t>2024-06-22</t>
  </si>
  <si>
    <t>294,92</t>
  </si>
  <si>
    <t>462.92</t>
  </si>
  <si>
    <t>27/01/2024</t>
  </si>
  <si>
    <t>434.46</t>
  </si>
  <si>
    <t>2024-04-28</t>
  </si>
  <si>
    <t>139,36</t>
  </si>
  <si>
    <t>2024-02-15</t>
  </si>
  <si>
    <t>2024-12-31</t>
  </si>
  <si>
    <t>2025-06-22</t>
  </si>
  <si>
    <t>710.39</t>
  </si>
  <si>
    <t>2024-07-17</t>
  </si>
  <si>
    <t>29-Mar-2025</t>
  </si>
  <si>
    <t>602.80</t>
  </si>
  <si>
    <t>CLI-0236</t>
  </si>
  <si>
    <t>685,99</t>
  </si>
  <si>
    <t>-649,67</t>
  </si>
  <si>
    <t>21-Sep-2024</t>
  </si>
  <si>
    <t>24-Aug-2024</t>
  </si>
  <si>
    <t>2024-01-17</t>
  </si>
  <si>
    <t>592,38</t>
  </si>
  <si>
    <t>10/19/2024</t>
  </si>
  <si>
    <t>2025-04-13</t>
  </si>
  <si>
    <t>147,2</t>
  </si>
  <si>
    <t>08/29/2024</t>
  </si>
  <si>
    <t>2024-12-25</t>
  </si>
  <si>
    <t>20-Nov-2024</t>
  </si>
  <si>
    <t>2025-01-09</t>
  </si>
  <si>
    <t>27/06/2025</t>
  </si>
  <si>
    <t>246,94</t>
  </si>
  <si>
    <t>CLI-0030</t>
  </si>
  <si>
    <t>341,27</t>
  </si>
  <si>
    <t>240.74</t>
  </si>
  <si>
    <t>03/04/2024</t>
  </si>
  <si>
    <t>2024-02-11</t>
  </si>
  <si>
    <t>177,4</t>
  </si>
  <si>
    <t>05-Feb-2024</t>
  </si>
  <si>
    <t>11/25/2024</t>
  </si>
  <si>
    <t>31/05/2025</t>
  </si>
  <si>
    <t>241.57</t>
  </si>
  <si>
    <t>2025-03-21</t>
  </si>
  <si>
    <t>840,69</t>
  </si>
  <si>
    <t>09/09/2024</t>
  </si>
  <si>
    <t>629.46</t>
  </si>
  <si>
    <t>12/03/2025</t>
  </si>
  <si>
    <t>383,49</t>
  </si>
  <si>
    <t>19-Mar-2024</t>
  </si>
  <si>
    <t>354,89</t>
  </si>
  <si>
    <t>04-Feb-2024</t>
  </si>
  <si>
    <t>541.96</t>
  </si>
  <si>
    <t>190.41</t>
  </si>
  <si>
    <t>16/03/2024</t>
  </si>
  <si>
    <t>2024-06-08</t>
  </si>
  <si>
    <t>16/03/2025</t>
  </si>
  <si>
    <t>28/11/2024</t>
  </si>
  <si>
    <t>536.82</t>
  </si>
  <si>
    <t>21/06/2025</t>
  </si>
  <si>
    <t>908.92</t>
  </si>
  <si>
    <t>394.28</t>
  </si>
  <si>
    <t>11-Jun-2024</t>
  </si>
  <si>
    <t>19/01/2025</t>
  </si>
  <si>
    <t>362,59</t>
  </si>
  <si>
    <t>15/01/2025</t>
  </si>
  <si>
    <t>19-Oct-2024</t>
  </si>
  <si>
    <t>259,9</t>
  </si>
  <si>
    <t>03-Jul-2024</t>
  </si>
  <si>
    <t>05/01/2025</t>
  </si>
  <si>
    <t>886.36</t>
  </si>
  <si>
    <t>01/15/2024</t>
  </si>
  <si>
    <t>213.18</t>
  </si>
  <si>
    <t>02-May-2024</t>
  </si>
  <si>
    <t>429.58</t>
  </si>
  <si>
    <t>10/10/2024</t>
  </si>
  <si>
    <t>399.37</t>
  </si>
  <si>
    <t>2025-02-27</t>
  </si>
  <si>
    <t>2025-01-13</t>
  </si>
  <si>
    <t>162.75</t>
  </si>
  <si>
    <t>2025-06-03</t>
  </si>
  <si>
    <t>253.89</t>
  </si>
  <si>
    <t>2024-03-31</t>
  </si>
  <si>
    <t>1260.92</t>
  </si>
  <si>
    <t>2024-12-28</t>
  </si>
  <si>
    <t>1018.20</t>
  </si>
  <si>
    <t>11/09/2024</t>
  </si>
  <si>
    <t>461,31</t>
  </si>
  <si>
    <t>10/26/2024</t>
  </si>
  <si>
    <t>278.18</t>
  </si>
  <si>
    <t>06/28/2025</t>
  </si>
  <si>
    <t>456,82</t>
  </si>
  <si>
    <t>2025-04-24</t>
  </si>
  <si>
    <t>01/15/2025</t>
  </si>
  <si>
    <t>306,48</t>
  </si>
  <si>
    <t>167.80</t>
  </si>
  <si>
    <t>07/04/2025</t>
  </si>
  <si>
    <t>347,96</t>
  </si>
  <si>
    <t>2025-02-16</t>
  </si>
  <si>
    <t>20-Jan-2025</t>
  </si>
  <si>
    <t>16-Nov-2024</t>
  </si>
  <si>
    <t>284.20</t>
  </si>
  <si>
    <t>29-Jan-2025</t>
  </si>
  <si>
    <t>123.62</t>
  </si>
  <si>
    <t>06/15/2024</t>
  </si>
  <si>
    <t>775,36</t>
  </si>
  <si>
    <t>2024-05-11</t>
  </si>
  <si>
    <t>412.12</t>
  </si>
  <si>
    <t>265,55</t>
  </si>
  <si>
    <t>07/09/2024</t>
  </si>
  <si>
    <t>05/05/2024</t>
  </si>
  <si>
    <t>2024-09-05</t>
  </si>
  <si>
    <t>479,25</t>
  </si>
  <si>
    <t>2025-05-11</t>
  </si>
  <si>
    <t>1347,09</t>
  </si>
  <si>
    <t>2024-07-11</t>
  </si>
  <si>
    <t>40.41</t>
  </si>
  <si>
    <t>CLI-0191</t>
  </si>
  <si>
    <t>2025-01-05</t>
  </si>
  <si>
    <t>217.54</t>
  </si>
  <si>
    <t>30/01/2025</t>
  </si>
  <si>
    <t>29-Apr-2024</t>
  </si>
  <si>
    <t>15-Feb-2024</t>
  </si>
  <si>
    <t>17-May-2025</t>
  </si>
  <si>
    <t>07-Feb-2025</t>
  </si>
  <si>
    <t>03/14/2025</t>
  </si>
  <si>
    <t>06/06/2025</t>
  </si>
  <si>
    <t>107.76</t>
  </si>
  <si>
    <t>2025-04-23</t>
  </si>
  <si>
    <t>25-Apr-2025</t>
  </si>
  <si>
    <t>249.92</t>
  </si>
  <si>
    <t>01/29/2024</t>
  </si>
  <si>
    <t>06/02/2024</t>
  </si>
  <si>
    <t>01/04/2024</t>
  </si>
  <si>
    <t>13/02/2025</t>
  </si>
  <si>
    <t>-39,76</t>
  </si>
  <si>
    <t>CLI-0125</t>
  </si>
  <si>
    <t>05/04/2024</t>
  </si>
  <si>
    <t>418,15</t>
  </si>
  <si>
    <t>13-Jan-2025</t>
  </si>
  <si>
    <t>2024-09-13</t>
  </si>
  <si>
    <t>287.17</t>
  </si>
  <si>
    <t>2024-10-21</t>
  </si>
  <si>
    <t>674,98</t>
  </si>
  <si>
    <t>08/25/2024</t>
  </si>
  <si>
    <t>459,03</t>
  </si>
  <si>
    <t>04/11/2025</t>
  </si>
  <si>
    <t>466.93</t>
  </si>
  <si>
    <t>2025-03-05</t>
  </si>
  <si>
    <t>372,51</t>
  </si>
  <si>
    <t>03/31/2025</t>
  </si>
  <si>
    <t>01-Jan-2025</t>
  </si>
  <si>
    <t>286.07</t>
  </si>
  <si>
    <t>02/06/2024</t>
  </si>
  <si>
    <t>282,6</t>
  </si>
  <si>
    <t>333.04</t>
  </si>
  <si>
    <t>246,19</t>
  </si>
  <si>
    <t>08/05/2024</t>
  </si>
  <si>
    <t>1931,06</t>
  </si>
  <si>
    <t>271,07</t>
  </si>
  <si>
    <t>22/05/2024</t>
  </si>
  <si>
    <t>75,44</t>
  </si>
  <si>
    <t>09/12/2024</t>
  </si>
  <si>
    <t>141,82</t>
  </si>
  <si>
    <t>27-Aug-2024</t>
  </si>
  <si>
    <t>07/06/2024</t>
  </si>
  <si>
    <t>24-Mar-2024</t>
  </si>
  <si>
    <t>369,77</t>
  </si>
  <si>
    <t>07-Jan-2024</t>
  </si>
  <si>
    <t>18/05/2024</t>
  </si>
  <si>
    <t>497.88</t>
  </si>
  <si>
    <t>04/12/2024</t>
  </si>
  <si>
    <t>13-Mar-2024</t>
  </si>
  <si>
    <t>20/10/2024</t>
  </si>
  <si>
    <t>30/05/2025</t>
  </si>
  <si>
    <t>318.02</t>
  </si>
  <si>
    <t>02/11/2024</t>
  </si>
  <si>
    <t>2024-05-16</t>
  </si>
  <si>
    <t>304,04</t>
  </si>
  <si>
    <t>15/11/2024</t>
  </si>
  <si>
    <t>207.52</t>
  </si>
  <si>
    <t>05/20/2025</t>
  </si>
  <si>
    <t>414,21</t>
  </si>
  <si>
    <t>17/02/2024</t>
  </si>
  <si>
    <t>1086,64</t>
  </si>
  <si>
    <t>03/01/2025</t>
  </si>
  <si>
    <t>04-Jan-2025</t>
  </si>
  <si>
    <t>335,11</t>
  </si>
  <si>
    <t>23-Aug-2024</t>
  </si>
  <si>
    <t>28/02/2025</t>
  </si>
  <si>
    <t>221.28</t>
  </si>
  <si>
    <t>2024-01-01</t>
  </si>
  <si>
    <t>916,74</t>
  </si>
  <si>
    <t>2025-05-04</t>
  </si>
  <si>
    <t>09/06/2025</t>
  </si>
  <si>
    <t>807.96</t>
  </si>
  <si>
    <t>2025-04-01</t>
  </si>
  <si>
    <t>893,22</t>
  </si>
  <si>
    <t>2024-10-06</t>
  </si>
  <si>
    <t>161,59</t>
  </si>
  <si>
    <t>2025-04-10</t>
  </si>
  <si>
    <t>12/18/2024</t>
  </si>
  <si>
    <t>381.64</t>
  </si>
  <si>
    <t>09/01/2024</t>
  </si>
  <si>
    <t>1035.40</t>
  </si>
  <si>
    <t>04-Apr-2025</t>
  </si>
  <si>
    <t>409.66</t>
  </si>
  <si>
    <t>18-May-2025</t>
  </si>
  <si>
    <t>29-Jan-2024</t>
  </si>
  <si>
    <t>587.62</t>
  </si>
  <si>
    <t>13-Aug-2024</t>
  </si>
  <si>
    <t>02/27/2025</t>
  </si>
  <si>
    <t>02/12/2024</t>
  </si>
  <si>
    <t>94.28</t>
  </si>
  <si>
    <t>2024-02-16</t>
  </si>
  <si>
    <t>30-Sep-2024</t>
  </si>
  <si>
    <t>131,1</t>
  </si>
  <si>
    <t>265.48</t>
  </si>
  <si>
    <t>519.41</t>
  </si>
  <si>
    <t>10/28/2024</t>
  </si>
  <si>
    <t>467,5</t>
  </si>
  <si>
    <t>108,13</t>
  </si>
  <si>
    <t>08/24/2024</t>
  </si>
  <si>
    <t>17-Feb-2025</t>
  </si>
  <si>
    <t>1194,77</t>
  </si>
  <si>
    <t>2024-08-21</t>
  </si>
  <si>
    <t>132,78</t>
  </si>
  <si>
    <t>399.92</t>
  </si>
  <si>
    <t>06-Jun-2025</t>
  </si>
  <si>
    <t>356.64</t>
  </si>
  <si>
    <t>2024-01-31</t>
  </si>
  <si>
    <t>713.76</t>
  </si>
  <si>
    <t>305,02</t>
  </si>
  <si>
    <t>11/20/2024</t>
  </si>
  <si>
    <t>2025-01-11</t>
  </si>
  <si>
    <t>01-Jan-2024</t>
  </si>
  <si>
    <t>03/16/2024</t>
  </si>
  <si>
    <t>709.96</t>
  </si>
  <si>
    <t>24/12/2024</t>
  </si>
  <si>
    <t>720,08</t>
  </si>
  <si>
    <t>2024-09-25</t>
  </si>
  <si>
    <t>205.28</t>
  </si>
  <si>
    <t>07-Jun-2024</t>
  </si>
  <si>
    <t>107.34</t>
  </si>
  <si>
    <t>14/02/2024</t>
  </si>
  <si>
    <t>CLI-0173</t>
  </si>
  <si>
    <t>08-Oct-2024</t>
  </si>
  <si>
    <t>236,15</t>
  </si>
  <si>
    <t>06/07/2024</t>
  </si>
  <si>
    <t>410.40</t>
  </si>
  <si>
    <t>2025-01-29</t>
  </si>
  <si>
    <t>309.96</t>
  </si>
  <si>
    <t>06/24/2024</t>
  </si>
  <si>
    <t>301.13</t>
  </si>
  <si>
    <t>03/15/2025</t>
  </si>
  <si>
    <t>2024-11-09</t>
  </si>
  <si>
    <t>2024-11-01</t>
  </si>
  <si>
    <t>174,47</t>
  </si>
  <si>
    <t>469.10</t>
  </si>
  <si>
    <t>508.15</t>
  </si>
  <si>
    <t>2024-04-22</t>
  </si>
  <si>
    <t>2025-06-11</t>
  </si>
  <si>
    <t>06/05/2025</t>
  </si>
  <si>
    <t>04-May-2025</t>
  </si>
  <si>
    <t>01/26/2024</t>
  </si>
  <si>
    <t>167,24</t>
  </si>
  <si>
    <t>24/07/2024</t>
  </si>
  <si>
    <t>477.14</t>
  </si>
  <si>
    <t>143,5</t>
  </si>
  <si>
    <t>02/28/2025</t>
  </si>
  <si>
    <t>24-Jun-2025</t>
  </si>
  <si>
    <t>232,21</t>
  </si>
  <si>
    <t>2025-02-22</t>
  </si>
  <si>
    <t>443,67</t>
  </si>
  <si>
    <t>03/21/2024</t>
  </si>
  <si>
    <t>338,55</t>
  </si>
  <si>
    <t>2024-06-17</t>
  </si>
  <si>
    <t>428.93</t>
  </si>
  <si>
    <t>19-May-2025</t>
  </si>
  <si>
    <t>721.62</t>
  </si>
  <si>
    <t>2024-12-08</t>
  </si>
  <si>
    <t>02-Apr-2025</t>
  </si>
  <si>
    <t>2024-09-10</t>
  </si>
  <si>
    <t>16-Mar-2024</t>
  </si>
  <si>
    <t>441.86</t>
  </si>
  <si>
    <t>23/11/2024</t>
  </si>
  <si>
    <t>21-Jun-2024</t>
  </si>
  <si>
    <t>345,42</t>
  </si>
  <si>
    <t>29-Aug-2024</t>
  </si>
  <si>
    <t>16/01/2024</t>
  </si>
  <si>
    <t>19-Feb-2025</t>
  </si>
  <si>
    <t>766.15</t>
  </si>
  <si>
    <t>2025-02-15</t>
  </si>
  <si>
    <t>857.93</t>
  </si>
  <si>
    <t>2024-01-16</t>
  </si>
  <si>
    <t>199.91</t>
  </si>
  <si>
    <t>18-Jan-2024</t>
  </si>
  <si>
    <t>03/28/2025</t>
  </si>
  <si>
    <t>492.80</t>
  </si>
  <si>
    <t>23/02/2024</t>
  </si>
  <si>
    <t>07/02/2024</t>
  </si>
  <si>
    <t>528,75</t>
  </si>
  <si>
    <t>20/12/2024</t>
  </si>
  <si>
    <t>01/10/2025</t>
  </si>
  <si>
    <t>2024-04-13</t>
  </si>
  <si>
    <t>-406,05</t>
  </si>
  <si>
    <t>04/23/2024</t>
  </si>
  <si>
    <t>14-Nov-2024</t>
  </si>
  <si>
    <t>27/08/2024</t>
  </si>
  <si>
    <t>112.30</t>
  </si>
  <si>
    <t>22/04/2025</t>
  </si>
  <si>
    <t>06/07/2025</t>
  </si>
  <si>
    <t>04/17/2025</t>
  </si>
  <si>
    <t>18-Mar-2024</t>
  </si>
  <si>
    <t>565.74</t>
  </si>
  <si>
    <t>2024-08-01</t>
  </si>
  <si>
    <t>2024-12-27</t>
  </si>
  <si>
    <t>953,47</t>
  </si>
  <si>
    <t>22-Mar-2025</t>
  </si>
  <si>
    <t>93,56</t>
  </si>
  <si>
    <t>2024-03-23</t>
  </si>
  <si>
    <t>562,28</t>
  </si>
  <si>
    <t>2024-07-10</t>
  </si>
  <si>
    <t>206,6</t>
  </si>
  <si>
    <t>21/04/2024</t>
  </si>
  <si>
    <t>78.86</t>
  </si>
  <si>
    <t>10/04/2024</t>
  </si>
  <si>
    <t>-218.39</t>
  </si>
  <si>
    <t>25/09/2024</t>
  </si>
  <si>
    <t>309,51</t>
  </si>
  <si>
    <t>01/25/2024</t>
  </si>
  <si>
    <t>83.13</t>
  </si>
  <si>
    <t>605,71</t>
  </si>
  <si>
    <t>357,87</t>
  </si>
  <si>
    <t>116,33</t>
  </si>
  <si>
    <t>17/05/2024</t>
  </si>
  <si>
    <t>06-Jul-2024</t>
  </si>
  <si>
    <t>28/05/2025</t>
  </si>
  <si>
    <t>04/20/2024</t>
  </si>
  <si>
    <t>352,75</t>
  </si>
  <si>
    <t>884.90</t>
  </si>
  <si>
    <t>11/03/2024</t>
  </si>
  <si>
    <t>2024-10-18</t>
  </si>
  <si>
    <t>04-May-2024</t>
  </si>
  <si>
    <t>507,24</t>
  </si>
  <si>
    <t>16/04/2024</t>
  </si>
  <si>
    <t>476.31</t>
  </si>
  <si>
    <t>2024-06-30</t>
  </si>
  <si>
    <t>382.51</t>
  </si>
  <si>
    <t>2025-04-25</t>
  </si>
  <si>
    <t>248.25</t>
  </si>
  <si>
    <t>669,41</t>
  </si>
  <si>
    <t>432.09</t>
  </si>
  <si>
    <t>915.47</t>
  </si>
  <si>
    <t>18-Feb-2024</t>
  </si>
  <si>
    <t>271.36</t>
  </si>
  <si>
    <t>2024-11-24</t>
  </si>
  <si>
    <t>461.74</t>
  </si>
  <si>
    <t>2025-02-26</t>
  </si>
  <si>
    <t>722.07</t>
  </si>
  <si>
    <t>14/12/2024</t>
  </si>
  <si>
    <t>531.80</t>
  </si>
  <si>
    <t>03/01/2024</t>
  </si>
  <si>
    <t>233.84</t>
  </si>
  <si>
    <t>20-May-2025</t>
  </si>
  <si>
    <t>152,06</t>
  </si>
  <si>
    <t>04-Jun-2025</t>
  </si>
  <si>
    <t>-391.62</t>
  </si>
  <si>
    <t>01/24/2025</t>
  </si>
  <si>
    <t>12/04/2024</t>
  </si>
  <si>
    <t>25-Sep-2024</t>
  </si>
  <si>
    <t>133,27</t>
  </si>
  <si>
    <t>2025-02-04</t>
  </si>
  <si>
    <t>433,44</t>
  </si>
  <si>
    <t>2024-03-10</t>
  </si>
  <si>
    <t>02/12/2025</t>
  </si>
  <si>
    <t>661,2</t>
  </si>
  <si>
    <t>22/11/2024</t>
  </si>
  <si>
    <t>627.80</t>
  </si>
  <si>
    <t>2025-05-24</t>
  </si>
  <si>
    <t>29-Nov-2024</t>
  </si>
  <si>
    <t>-466.41</t>
  </si>
  <si>
    <t>166.21</t>
  </si>
  <si>
    <t>28/12/2024</t>
  </si>
  <si>
    <t>54.27</t>
  </si>
  <si>
    <t>24-Jun-2024</t>
  </si>
  <si>
    <t>114,28</t>
  </si>
  <si>
    <t>2025-06-27</t>
  </si>
  <si>
    <t>264.64</t>
  </si>
  <si>
    <t>379,4</t>
  </si>
  <si>
    <t>2024-11-30</t>
  </si>
  <si>
    <t>772,23</t>
  </si>
  <si>
    <t>08/06/2024</t>
  </si>
  <si>
    <t>1017.63</t>
  </si>
  <si>
    <t>2025-01-18</t>
  </si>
  <si>
    <t>533,14</t>
  </si>
  <si>
    <t>12/26/2024</t>
  </si>
  <si>
    <t>28/03/2024</t>
  </si>
  <si>
    <t>501,67</t>
  </si>
  <si>
    <t>08/08/2024</t>
  </si>
  <si>
    <t>527.41</t>
  </si>
  <si>
    <t>21-Aug-2024</t>
  </si>
  <si>
    <t>284.47</t>
  </si>
  <si>
    <t>14-Mar-2025</t>
  </si>
  <si>
    <t>2024-08-24</t>
  </si>
  <si>
    <t>144,62</t>
  </si>
  <si>
    <t>12-Apr-2025</t>
  </si>
  <si>
    <t>13-Jun-2024</t>
  </si>
  <si>
    <t>2024-09-21</t>
  </si>
  <si>
    <t>03-Nov-2024</t>
  </si>
  <si>
    <t>12/15/2024</t>
  </si>
  <si>
    <t>19/10/2024</t>
  </si>
  <si>
    <t>169,62</t>
  </si>
  <si>
    <t>430.06</t>
  </si>
  <si>
    <t>29-Oct-2024</t>
  </si>
  <si>
    <t>07/21/2024</t>
  </si>
  <si>
    <t>03/30/2024</t>
  </si>
  <si>
    <t>2024-08-07</t>
  </si>
  <si>
    <t>2024-05-23</t>
  </si>
  <si>
    <t>613,66</t>
  </si>
  <si>
    <t>2025-03-18</t>
  </si>
  <si>
    <t>434.66</t>
  </si>
  <si>
    <t>2024-06-03</t>
  </si>
  <si>
    <t>442,45</t>
  </si>
  <si>
    <t>22-Nov-2024</t>
  </si>
  <si>
    <t>181.07</t>
  </si>
  <si>
    <t>2024-05-17</t>
  </si>
  <si>
    <t>06/17/2024</t>
  </si>
  <si>
    <t>176,68</t>
  </si>
  <si>
    <t>466,08</t>
  </si>
  <si>
    <t>13/09/2024</t>
  </si>
  <si>
    <t>741,6</t>
  </si>
  <si>
    <t>12/05/2025</t>
  </si>
  <si>
    <t>602.72</t>
  </si>
  <si>
    <t>04/27/2024</t>
  </si>
  <si>
    <t>1261.95</t>
  </si>
  <si>
    <t>217,98</t>
  </si>
  <si>
    <t>181,17</t>
  </si>
  <si>
    <t>2025-02-11</t>
  </si>
  <si>
    <t>71.07</t>
  </si>
  <si>
    <t>04/10/2025</t>
  </si>
  <si>
    <t>398,75</t>
  </si>
  <si>
    <t>1026.67</t>
  </si>
  <si>
    <t>14/05/2024</t>
  </si>
  <si>
    <t>215,37</t>
  </si>
  <si>
    <t>177.84</t>
  </si>
  <si>
    <t>291,4</t>
  </si>
  <si>
    <t>14/07/2024</t>
  </si>
  <si>
    <t>02/23/2025</t>
  </si>
  <si>
    <t>124,98</t>
  </si>
  <si>
    <t>22-Oct-2024</t>
  </si>
  <si>
    <t>357,04</t>
  </si>
  <si>
    <t>1094,11</t>
  </si>
  <si>
    <t>135.46</t>
  </si>
  <si>
    <t>214.44</t>
  </si>
  <si>
    <t>13/05/2024</t>
  </si>
  <si>
    <t>376,31</t>
  </si>
  <si>
    <t>08-Jul-2024</t>
  </si>
  <si>
    <t>71.23</t>
  </si>
  <si>
    <t>07/29/2024</t>
  </si>
  <si>
    <t>2024-11-26</t>
  </si>
  <si>
    <t>796.71</t>
  </si>
  <si>
    <t>2024-08-28</t>
  </si>
  <si>
    <t>-221.98</t>
  </si>
  <si>
    <t>99,6</t>
  </si>
  <si>
    <t>470,26</t>
  </si>
  <si>
    <t>03-Jan-2025</t>
  </si>
  <si>
    <t>18/03/2024</t>
  </si>
  <si>
    <t>2025-03-29</t>
  </si>
  <si>
    <t>208,59</t>
  </si>
  <si>
    <t>2025-01-04</t>
  </si>
  <si>
    <t>07-May-2025</t>
  </si>
  <si>
    <t>23-Jan-2024</t>
  </si>
  <si>
    <t>29/07/2024</t>
  </si>
  <si>
    <t>326.93</t>
  </si>
  <si>
    <t>187.26</t>
  </si>
  <si>
    <t>15-Jun-2025</t>
  </si>
  <si>
    <t>363.41</t>
  </si>
  <si>
    <t>731,34</t>
  </si>
  <si>
    <t>08/12/2024</t>
  </si>
  <si>
    <t>255.42</t>
  </si>
  <si>
    <t>462,96</t>
  </si>
  <si>
    <t>30/03/2025</t>
  </si>
  <si>
    <t>03/05/2024</t>
  </si>
  <si>
    <t>2025-06-18</t>
  </si>
  <si>
    <t>-198.80</t>
  </si>
  <si>
    <t>227.09</t>
  </si>
  <si>
    <t>10/13/2024</t>
  </si>
  <si>
    <t>2024-01-21</t>
  </si>
  <si>
    <t>331,25</t>
  </si>
  <si>
    <t>2024-08-12</t>
  </si>
  <si>
    <t>451.45</t>
  </si>
  <si>
    <t>09/14/2024</t>
  </si>
  <si>
    <t>03/13/2024</t>
  </si>
  <si>
    <t>385.22</t>
  </si>
  <si>
    <t>246,3</t>
  </si>
  <si>
    <t>31-May-2024</t>
  </si>
  <si>
    <t>06-Mar-2024</t>
  </si>
  <si>
    <t>489.36</t>
  </si>
  <si>
    <t>27-Dec-2024</t>
  </si>
  <si>
    <t>2024-10-16</t>
  </si>
  <si>
    <t>150,97</t>
  </si>
  <si>
    <t>2024-12-17</t>
  </si>
  <si>
    <t>296,89</t>
  </si>
  <si>
    <t>638,4</t>
  </si>
  <si>
    <t>2025-03-03</t>
  </si>
  <si>
    <t>282,65</t>
  </si>
  <si>
    <t>07/02/2025</t>
  </si>
  <si>
    <t>68,76</t>
  </si>
  <si>
    <t>2024-05-10</t>
  </si>
  <si>
    <t>18-Jul-2024</t>
  </si>
  <si>
    <t>273.90</t>
  </si>
  <si>
    <t>11/04/2025</t>
  </si>
  <si>
    <t>2024-04-08</t>
  </si>
  <si>
    <t>617.44</t>
  </si>
  <si>
    <t>304,69</t>
  </si>
  <si>
    <t>28-Oct-2024</t>
  </si>
  <si>
    <t>355.39</t>
  </si>
  <si>
    <t>243.73</t>
  </si>
  <si>
    <t>608.34</t>
  </si>
  <si>
    <t>270,85</t>
  </si>
  <si>
    <t>04/06/2025</t>
  </si>
  <si>
    <t>01/02/2025</t>
  </si>
  <si>
    <t>450,53</t>
  </si>
  <si>
    <t>321,04</t>
  </si>
  <si>
    <t>03/25/2024</t>
  </si>
  <si>
    <t>02/11/2025</t>
  </si>
  <si>
    <t>22-Feb-2025</t>
  </si>
  <si>
    <t>31/03/2024</t>
  </si>
  <si>
    <t>20/04/2024</t>
  </si>
  <si>
    <t>170,28</t>
  </si>
  <si>
    <t>11-Sep-2024</t>
  </si>
  <si>
    <t>337,58</t>
  </si>
  <si>
    <t>1129.96</t>
  </si>
  <si>
    <t>05/26/2024</t>
  </si>
  <si>
    <t>175,43</t>
  </si>
  <si>
    <t>12/28/2024</t>
  </si>
  <si>
    <t>07-Aug-2024</t>
  </si>
  <si>
    <t>11-Apr-2024</t>
  </si>
  <si>
    <t>2025-05-03</t>
  </si>
  <si>
    <t>492.66</t>
  </si>
  <si>
    <t>07/01/2024</t>
  </si>
  <si>
    <t>312,26</t>
  </si>
  <si>
    <t>11/04/2024</t>
  </si>
  <si>
    <t>19/05/2024</t>
  </si>
  <si>
    <t>2024-12-06</t>
  </si>
  <si>
    <t>417.59</t>
  </si>
  <si>
    <t>858.19</t>
  </si>
  <si>
    <t>23-Nov-2024</t>
  </si>
  <si>
    <t>03-Oct-2024</t>
  </si>
  <si>
    <t>414,07</t>
  </si>
  <si>
    <t>26/07/2024</t>
  </si>
  <si>
    <t>25/11/2024</t>
  </si>
  <si>
    <t>327,54</t>
  </si>
  <si>
    <t>89,91</t>
  </si>
  <si>
    <t>744.46</t>
  </si>
  <si>
    <t>12/13/2024</t>
  </si>
  <si>
    <t>541.84</t>
  </si>
  <si>
    <t>138.10</t>
  </si>
  <si>
    <t>17/12/2024</t>
  </si>
  <si>
    <t>24/04/2024</t>
  </si>
  <si>
    <t>28/08/2024</t>
  </si>
  <si>
    <t>468.98</t>
  </si>
  <si>
    <t>2025-06-09</t>
  </si>
  <si>
    <t>265.57</t>
  </si>
  <si>
    <t>06/12/2025</t>
  </si>
  <si>
    <t>1051,9</t>
  </si>
  <si>
    <t>02/14/2025</t>
  </si>
  <si>
    <t>17-Mar-2024</t>
  </si>
  <si>
    <t>23-Oct-2024</t>
  </si>
  <si>
    <t>61.39</t>
  </si>
  <si>
    <t>10-Feb-2024</t>
  </si>
  <si>
    <t>19/07/2024</t>
  </si>
  <si>
    <t>25-Mar-2025</t>
  </si>
  <si>
    <t>30-Jul-2024</t>
  </si>
  <si>
    <t>118,46</t>
  </si>
  <si>
    <t>254,0</t>
  </si>
  <si>
    <t>2024-05-07</t>
  </si>
  <si>
    <t>2024-08-05</t>
  </si>
  <si>
    <t>195,4</t>
  </si>
  <si>
    <t>04/18/2024</t>
  </si>
  <si>
    <t>271.50</t>
  </si>
  <si>
    <t>21/03/2025</t>
  </si>
  <si>
    <t>463,63</t>
  </si>
  <si>
    <t>20-Feb-2025</t>
  </si>
  <si>
    <t>22/07/2024</t>
  </si>
  <si>
    <t>2024-01-10</t>
  </si>
  <si>
    <t>455,03</t>
  </si>
  <si>
    <t>06/10/2025</t>
  </si>
  <si>
    <t>2025-01-08</t>
  </si>
  <si>
    <t>12-Jul-2024</t>
  </si>
  <si>
    <t>03/29/2024</t>
  </si>
  <si>
    <t>-137.39</t>
  </si>
  <si>
    <t>26/04/2024</t>
  </si>
  <si>
    <t>353.15</t>
  </si>
  <si>
    <t>08/02/2025</t>
  </si>
  <si>
    <t>320.09</t>
  </si>
  <si>
    <t>631.10</t>
  </si>
  <si>
    <t>18-Jan-2025</t>
  </si>
  <si>
    <t>06/18/2025</t>
  </si>
  <si>
    <t>107.54</t>
  </si>
  <si>
    <t>176.30</t>
  </si>
  <si>
    <t>513.38</t>
  </si>
  <si>
    <t>16-Dec-2024</t>
  </si>
  <si>
    <t>104,7</t>
  </si>
  <si>
    <t>2024-04-10</t>
  </si>
  <si>
    <t>28/01/2024</t>
  </si>
  <si>
    <t>174,37</t>
  </si>
  <si>
    <t>242,9</t>
  </si>
  <si>
    <t>926,8</t>
  </si>
  <si>
    <t>158.55</t>
  </si>
  <si>
    <t>67.07</t>
  </si>
  <si>
    <t>CLI-0114</t>
  </si>
  <si>
    <t>1052,15</t>
  </si>
  <si>
    <t>207,83</t>
  </si>
  <si>
    <t>28-May-2025</t>
  </si>
  <si>
    <t>218.06</t>
  </si>
  <si>
    <t>37,77</t>
  </si>
  <si>
    <t>76,62</t>
  </si>
  <si>
    <t>221,69</t>
  </si>
  <si>
    <t>635.25</t>
  </si>
  <si>
    <t>431.70</t>
  </si>
  <si>
    <t>27/05/2025</t>
  </si>
  <si>
    <t>2024-04-27</t>
  </si>
  <si>
    <t>51,01</t>
  </si>
  <si>
    <t>02-Sep-2024</t>
  </si>
  <si>
    <t>237.73</t>
  </si>
  <si>
    <t>17/03/2025</t>
  </si>
  <si>
    <t>795,52</t>
  </si>
  <si>
    <t>2024-04-09</t>
  </si>
  <si>
    <t>291.20</t>
  </si>
  <si>
    <t>22/03/2024</t>
  </si>
  <si>
    <t>458.32</t>
  </si>
  <si>
    <t>267,06</t>
  </si>
  <si>
    <t>2025-05-22</t>
  </si>
  <si>
    <t>423,51</t>
  </si>
  <si>
    <t>76.11</t>
  </si>
  <si>
    <t>04/25/2024</t>
  </si>
  <si>
    <t>451,45</t>
  </si>
  <si>
    <t>1029.33</t>
  </si>
  <si>
    <t>799,68</t>
  </si>
  <si>
    <t>145,99</t>
  </si>
  <si>
    <t>2024-05-19</t>
  </si>
  <si>
    <t>270,8</t>
  </si>
  <si>
    <t>2024-07-27</t>
  </si>
  <si>
    <t>08/16/2024</t>
  </si>
  <si>
    <t>2024-10-24</t>
  </si>
  <si>
    <t>09/03/2025</t>
  </si>
  <si>
    <t>280.10</t>
  </si>
  <si>
    <t>14-Jul-2024</t>
  </si>
  <si>
    <t>08/03/2025</t>
  </si>
  <si>
    <t>13-Apr-2025</t>
  </si>
  <si>
    <t>195,71</t>
  </si>
  <si>
    <t>2025-05-09</t>
  </si>
  <si>
    <t>283,32</t>
  </si>
  <si>
    <t>18/09/2024</t>
  </si>
  <si>
    <t>1040.83</t>
  </si>
  <si>
    <t>11/21/2024</t>
  </si>
  <si>
    <t>03/24/2025</t>
  </si>
  <si>
    <t>242.81</t>
  </si>
  <si>
    <t>320.62</t>
  </si>
  <si>
    <t>2025-01-17</t>
  </si>
  <si>
    <t>15/03/2024</t>
  </si>
  <si>
    <t>457.39</t>
  </si>
  <si>
    <t>27/02/2025</t>
  </si>
  <si>
    <t>417,47</t>
  </si>
  <si>
    <t>24-Oct-2024</t>
  </si>
  <si>
    <t>968.75</t>
  </si>
  <si>
    <t>595,84</t>
  </si>
  <si>
    <t>01-Mar-2025</t>
  </si>
  <si>
    <t>271,96</t>
  </si>
  <si>
    <t>06-Feb-2024</t>
  </si>
  <si>
    <t>2024-09-28</t>
  </si>
  <si>
    <t>156.41</t>
  </si>
  <si>
    <t>21-Oct-2024</t>
  </si>
  <si>
    <t>23/06/2025</t>
  </si>
  <si>
    <t>348,07</t>
  </si>
  <si>
    <t>2024-10-05</t>
  </si>
  <si>
    <t>249,87</t>
  </si>
  <si>
    <t>2024-09-04</t>
  </si>
  <si>
    <t>2024-08-03</t>
  </si>
  <si>
    <t>2024-01-20</t>
  </si>
  <si>
    <t>24/05/2025</t>
  </si>
  <si>
    <t>271,98</t>
  </si>
  <si>
    <t>2025-01-27</t>
  </si>
  <si>
    <t>367,08</t>
  </si>
  <si>
    <t>2024-02-23</t>
  </si>
  <si>
    <t>09-Dec-2024</t>
  </si>
  <si>
    <t>910.11</t>
  </si>
  <si>
    <t>341.19</t>
  </si>
  <si>
    <t>196.86</t>
  </si>
  <si>
    <t>03/16/2025</t>
  </si>
  <si>
    <t>677,21</t>
  </si>
  <si>
    <t>17/03/2024</t>
  </si>
  <si>
    <t>143.40</t>
  </si>
  <si>
    <t>474.78</t>
  </si>
  <si>
    <t>2024-03-17</t>
  </si>
  <si>
    <t>112,76</t>
  </si>
  <si>
    <t>368,5</t>
  </si>
  <si>
    <t>18/11/2024</t>
  </si>
  <si>
    <t>03-Mar-2024</t>
  </si>
  <si>
    <t>130,95</t>
  </si>
  <si>
    <t>2024-02-06</t>
  </si>
  <si>
    <t>446.84</t>
  </si>
  <si>
    <t>15/07/2024</t>
  </si>
  <si>
    <t>1174,74</t>
  </si>
  <si>
    <t>CLI-0185</t>
  </si>
  <si>
    <t>15-Jul-2024</t>
  </si>
  <si>
    <t>2024-07-29</t>
  </si>
  <si>
    <t>442.04</t>
  </si>
  <si>
    <t>687,95</t>
  </si>
  <si>
    <t>04/16/2025</t>
  </si>
  <si>
    <t>19-May-2024</t>
  </si>
  <si>
    <t>523.00</t>
  </si>
  <si>
    <t>2024-04-12</t>
  </si>
  <si>
    <t>192,12</t>
  </si>
  <si>
    <t>1287.21</t>
  </si>
  <si>
    <t>473.56</t>
  </si>
  <si>
    <t>11/12/2024</t>
  </si>
  <si>
    <t>174,58</t>
  </si>
  <si>
    <t>536.77</t>
  </si>
  <si>
    <t>02/27/2024</t>
  </si>
  <si>
    <t>19/03/2024</t>
  </si>
  <si>
    <t>299,15</t>
  </si>
  <si>
    <t>27-Mar-2024</t>
  </si>
  <si>
    <t>303,13</t>
  </si>
  <si>
    <t>20-Mar-2024</t>
  </si>
  <si>
    <t>461,47</t>
  </si>
  <si>
    <t>2025-02-01</t>
  </si>
  <si>
    <t>382.13</t>
  </si>
  <si>
    <t>16-Apr-2025</t>
  </si>
  <si>
    <t>865,24</t>
  </si>
  <si>
    <t>31-Jan-2025</t>
  </si>
  <si>
    <t>19/06/2025</t>
  </si>
  <si>
    <t>28-Mar-2024</t>
  </si>
  <si>
    <t>03/13/2025</t>
  </si>
  <si>
    <t>496,77</t>
  </si>
  <si>
    <t>2025-04-19</t>
  </si>
  <si>
    <t>477,05</t>
  </si>
  <si>
    <t>04/29/2024</t>
  </si>
  <si>
    <t>21-Mar-2025</t>
  </si>
  <si>
    <t>05/07/2025</t>
  </si>
  <si>
    <t>434,76</t>
  </si>
  <si>
    <t>527.49</t>
  </si>
  <si>
    <t>91.89</t>
  </si>
  <si>
    <t>14-Sep-2024</t>
  </si>
  <si>
    <t>668.89</t>
  </si>
  <si>
    <t>341,99</t>
  </si>
  <si>
    <t>292,08</t>
  </si>
  <si>
    <t>06/11/2025</t>
  </si>
  <si>
    <t>79.70</t>
  </si>
  <si>
    <t>06/16/2024</t>
  </si>
  <si>
    <t>16-Jun-2025</t>
  </si>
  <si>
    <t>471.86</t>
  </si>
  <si>
    <t>15-Jan-2024</t>
  </si>
  <si>
    <t>2025-03-01</t>
  </si>
  <si>
    <t>01/03/2024</t>
  </si>
  <si>
    <t>505.82</t>
  </si>
  <si>
    <t>2024-10-03</t>
  </si>
  <si>
    <t>558.11</t>
  </si>
  <si>
    <t>03/22/2024</t>
  </si>
  <si>
    <t>30.99</t>
  </si>
  <si>
    <t>2024-08-16</t>
  </si>
  <si>
    <t>414.79</t>
  </si>
  <si>
    <t>415.75</t>
  </si>
  <si>
    <t>380.46</t>
  </si>
  <si>
    <t>09/27/2024</t>
  </si>
  <si>
    <t>326.37</t>
  </si>
  <si>
    <t>567.28</t>
  </si>
  <si>
    <t>09/24/2024</t>
  </si>
  <si>
    <t>84.18</t>
  </si>
  <si>
    <t>03/20/2024</t>
  </si>
  <si>
    <t>-434,77</t>
  </si>
  <si>
    <t>240,07</t>
  </si>
  <si>
    <t>20-Jul-2024</t>
  </si>
  <si>
    <t>62,36</t>
  </si>
  <si>
    <t>21-Apr-2024</t>
  </si>
  <si>
    <t>916.64</t>
  </si>
  <si>
    <t>387,06</t>
  </si>
  <si>
    <t>13-Feb-2024</t>
  </si>
  <si>
    <t>2025-01-24</t>
  </si>
  <si>
    <t>1187,82</t>
  </si>
  <si>
    <t>11/01/2024</t>
  </si>
  <si>
    <t>230.63</t>
  </si>
  <si>
    <t>07-Jan-2025</t>
  </si>
  <si>
    <t>-224,33</t>
  </si>
  <si>
    <t>260.14</t>
  </si>
  <si>
    <t>180.41</t>
  </si>
  <si>
    <t>07/25/2024</t>
  </si>
  <si>
    <t>976.06</t>
  </si>
  <si>
    <t>13-Apr-2024</t>
  </si>
  <si>
    <t>01/28/2024</t>
  </si>
  <si>
    <t>23-Jun-2024</t>
  </si>
  <si>
    <t>2024-08-31</t>
  </si>
  <si>
    <t>834,8</t>
  </si>
  <si>
    <t>1025,51</t>
  </si>
  <si>
    <t>05/14/2024</t>
  </si>
  <si>
    <t>101.79</t>
  </si>
  <si>
    <t>04-Dec-2024</t>
  </si>
  <si>
    <t>141,34</t>
  </si>
  <si>
    <t>16-Jan-2024</t>
  </si>
  <si>
    <t>2024-05-30</t>
  </si>
  <si>
    <t>274,6</t>
  </si>
  <si>
    <t>448,38</t>
  </si>
  <si>
    <t>2024-09-29</t>
  </si>
  <si>
    <t>05/28/2024</t>
  </si>
  <si>
    <t>490,69</t>
  </si>
  <si>
    <t>598,99</t>
  </si>
  <si>
    <t>22-Jun-2024</t>
  </si>
  <si>
    <t>936.71</t>
  </si>
  <si>
    <t>31/01/2024</t>
  </si>
  <si>
    <t>25/01/2024</t>
  </si>
  <si>
    <t>05-Apr-2024</t>
  </si>
  <si>
    <t>22/03/2025</t>
  </si>
  <si>
    <t>2024-07-28</t>
  </si>
  <si>
    <t>342,28</t>
  </si>
  <si>
    <t>340,66</t>
  </si>
  <si>
    <t>119.60</t>
  </si>
  <si>
    <t>16-Oct-2024</t>
  </si>
  <si>
    <t>185.79</t>
  </si>
  <si>
    <t>2024-06-10</t>
  </si>
  <si>
    <t>471.78</t>
  </si>
  <si>
    <t>285,04</t>
  </si>
  <si>
    <t>21/10/2024</t>
  </si>
  <si>
    <t>1102,82</t>
  </si>
  <si>
    <t>27/06/2024</t>
  </si>
  <si>
    <t>01/18/2024</t>
  </si>
  <si>
    <t>676,17</t>
  </si>
  <si>
    <t>255,62</t>
  </si>
  <si>
    <t>12/14/2024</t>
  </si>
  <si>
    <t>327,31</t>
  </si>
  <si>
    <t>2024-07-31</t>
  </si>
  <si>
    <t>81,48</t>
  </si>
  <si>
    <t>10/12/2024</t>
  </si>
  <si>
    <t>366,98</t>
  </si>
  <si>
    <t>2024-07-04</t>
  </si>
  <si>
    <t>29/03/2025</t>
  </si>
  <si>
    <t>247.78</t>
  </si>
  <si>
    <t>426,33</t>
  </si>
  <si>
    <t>241,1</t>
  </si>
  <si>
    <t>2025-05-15</t>
  </si>
  <si>
    <t>673.72</t>
  </si>
  <si>
    <t>05-Nov-2024</t>
  </si>
  <si>
    <t>383,48</t>
  </si>
  <si>
    <t>398.38</t>
  </si>
  <si>
    <t>107.72</t>
  </si>
  <si>
    <t>04/19/2024</t>
  </si>
  <si>
    <t>21/07/2024</t>
  </si>
  <si>
    <t>05/30/2025</t>
  </si>
  <si>
    <t>805.26</t>
  </si>
  <si>
    <t>05-Jan-2024</t>
  </si>
  <si>
    <t>102.82</t>
  </si>
  <si>
    <t>2024-04-02</t>
  </si>
  <si>
    <t>-1261.36</t>
  </si>
  <si>
    <t>01/30/2024</t>
  </si>
  <si>
    <t>520.96</t>
  </si>
  <si>
    <t>01/06/2024</t>
  </si>
  <si>
    <t>221,38</t>
  </si>
  <si>
    <t>2024-07-14</t>
  </si>
  <si>
    <t>812.78</t>
  </si>
  <si>
    <t>02/07/2025</t>
  </si>
  <si>
    <t>709,36</t>
  </si>
  <si>
    <t>114.12</t>
  </si>
  <si>
    <t>19/02/2024</t>
  </si>
  <si>
    <t>188.48</t>
  </si>
  <si>
    <t>03/02/2024</t>
  </si>
  <si>
    <t>21-Apr-2025</t>
  </si>
  <si>
    <t>458,57</t>
  </si>
  <si>
    <t>04/10/2024</t>
  </si>
  <si>
    <t>85,34</t>
  </si>
  <si>
    <t>2024-05-12</t>
  </si>
  <si>
    <t>206,93</t>
  </si>
  <si>
    <t>01/31/2025</t>
  </si>
  <si>
    <t>421,48</t>
  </si>
  <si>
    <t>10/01/2024</t>
  </si>
  <si>
    <t>04/17/2024</t>
  </si>
  <si>
    <t>07-Feb-2024</t>
  </si>
  <si>
    <t>17-Jun-2024</t>
  </si>
  <si>
    <t>316,54</t>
  </si>
  <si>
    <t>142,98</t>
  </si>
  <si>
    <t>05/13/2025</t>
  </si>
  <si>
    <t>09/17/2024</t>
  </si>
  <si>
    <t>658.68</t>
  </si>
  <si>
    <t>146.90</t>
  </si>
  <si>
    <t>01/11/2025</t>
  </si>
  <si>
    <t>210.90</t>
  </si>
  <si>
    <t>214.09</t>
  </si>
  <si>
    <t>19/12/2024</t>
  </si>
  <si>
    <t>02/15/2024</t>
  </si>
  <si>
    <t>02/18/2025</t>
  </si>
  <si>
    <t>898,6</t>
  </si>
  <si>
    <t>216.95</t>
  </si>
  <si>
    <t>03/07/2025</t>
  </si>
  <si>
    <t>03/22/2025</t>
  </si>
  <si>
    <t>483.83</t>
  </si>
  <si>
    <t>04/04/2025</t>
  </si>
  <si>
    <t>260.21</t>
  </si>
  <si>
    <t>01/16/2024</t>
  </si>
  <si>
    <t>27-Jan-2025</t>
  </si>
  <si>
    <t>436.64</t>
  </si>
  <si>
    <t>2024-04-04</t>
  </si>
  <si>
    <t>160,79</t>
  </si>
  <si>
    <t>04/20/2025</t>
  </si>
  <si>
    <t>2024-08-11</t>
  </si>
  <si>
    <t>95.11</t>
  </si>
  <si>
    <t>478,8</t>
  </si>
  <si>
    <t>506,19</t>
  </si>
  <si>
    <t>199.58</t>
  </si>
  <si>
    <t>27/11/2024</t>
  </si>
  <si>
    <t>112,68</t>
  </si>
  <si>
    <t>28-Jan-2024</t>
  </si>
  <si>
    <t>226.11</t>
  </si>
  <si>
    <t>297.47</t>
  </si>
  <si>
    <t>522.61</t>
  </si>
  <si>
    <t>169,59</t>
  </si>
  <si>
    <t>16/06/2025</t>
  </si>
  <si>
    <t>2025-02-14</t>
  </si>
  <si>
    <t>463.27</t>
  </si>
  <si>
    <t>267.70</t>
  </si>
  <si>
    <t>2024-02-08</t>
  </si>
  <si>
    <t>05/05/2025</t>
  </si>
  <si>
    <t>1082,12</t>
  </si>
  <si>
    <t>02/02/2024</t>
  </si>
  <si>
    <t>687.80</t>
  </si>
  <si>
    <t>11-Apr-2025</t>
  </si>
  <si>
    <t>213,16</t>
  </si>
  <si>
    <t>207.97</t>
  </si>
  <si>
    <t>283.10</t>
  </si>
  <si>
    <t>17-Feb-2024</t>
  </si>
  <si>
    <t>29/01/2024</t>
  </si>
  <si>
    <t>2024-11-22</t>
  </si>
  <si>
    <t>437,57</t>
  </si>
  <si>
    <t>512.61</t>
  </si>
  <si>
    <t>471,29</t>
  </si>
  <si>
    <t>22-Aug-2024</t>
  </si>
  <si>
    <t>372.39</t>
  </si>
  <si>
    <t>2024-02-14</t>
  </si>
  <si>
    <t>-811.00</t>
  </si>
  <si>
    <t>214,2</t>
  </si>
  <si>
    <t>10/01/2025</t>
  </si>
  <si>
    <t>26-Jul-2024</t>
  </si>
  <si>
    <t>2025-03-02</t>
  </si>
  <si>
    <t>637,46</t>
  </si>
  <si>
    <t>13/11/2024</t>
  </si>
  <si>
    <t>24-Feb-2025</t>
  </si>
  <si>
    <t>07/07/2024</t>
  </si>
  <si>
    <t>23-Jan-2025</t>
  </si>
  <si>
    <t>25-Jun-2024</t>
  </si>
  <si>
    <t>547.73</t>
  </si>
  <si>
    <t>2025-01-23</t>
  </si>
  <si>
    <t>1002.00</t>
  </si>
  <si>
    <t>01/04/2025</t>
  </si>
  <si>
    <t>673.18</t>
  </si>
  <si>
    <t>23/12/2024</t>
  </si>
  <si>
    <t>631,82</t>
  </si>
  <si>
    <t>391.23</t>
  </si>
  <si>
    <t>27-May-2025</t>
  </si>
  <si>
    <t>164,68</t>
  </si>
  <si>
    <t>658.08</t>
  </si>
  <si>
    <t>815.43</t>
  </si>
  <si>
    <t>26-May-2025</t>
  </si>
  <si>
    <t>96.07</t>
  </si>
  <si>
    <t>298.50</t>
  </si>
  <si>
    <t>29-Apr-2025</t>
  </si>
  <si>
    <t>361,68</t>
  </si>
  <si>
    <t>2025-06-19</t>
  </si>
  <si>
    <t>593,38</t>
  </si>
  <si>
    <t>228.73</t>
  </si>
  <si>
    <t>2025-02-08</t>
  </si>
  <si>
    <t>330,89</t>
  </si>
  <si>
    <t>29/06/2025</t>
  </si>
  <si>
    <t>15/04/2024</t>
  </si>
  <si>
    <t>24-Sep-2024</t>
  </si>
  <si>
    <t>800,03</t>
  </si>
  <si>
    <t>280,78</t>
  </si>
  <si>
    <t>2024-05-03</t>
  </si>
  <si>
    <t>742.34</t>
  </si>
  <si>
    <t>280,04</t>
  </si>
  <si>
    <t>03/21/2025</t>
  </si>
  <si>
    <t>2025-01-21</t>
  </si>
  <si>
    <t>939,88</t>
  </si>
  <si>
    <t>18/01/2025</t>
  </si>
  <si>
    <t>18/01/2024</t>
  </si>
  <si>
    <t>03/05/2025</t>
  </si>
  <si>
    <t>2025-01-15</t>
  </si>
  <si>
    <t>258.94</t>
  </si>
  <si>
    <t>05/04/2025</t>
  </si>
  <si>
    <t>19/06/2024</t>
  </si>
  <si>
    <t>532,3</t>
  </si>
  <si>
    <t>05/07/2024</t>
  </si>
  <si>
    <t>12/17/2024</t>
  </si>
  <si>
    <t>189,11</t>
  </si>
  <si>
    <t>468,69</t>
  </si>
  <si>
    <t>159.40</t>
  </si>
  <si>
    <t>21/05/2024</t>
  </si>
  <si>
    <t>62.52</t>
  </si>
  <si>
    <t>03-Dec-2024</t>
  </si>
  <si>
    <t>2024-03-19</t>
  </si>
  <si>
    <t>2024-12-15</t>
  </si>
  <si>
    <t>293.00</t>
  </si>
  <si>
    <t>144.06</t>
  </si>
  <si>
    <t>221,62</t>
  </si>
  <si>
    <t>155.33</t>
  </si>
  <si>
    <t>2024-08-15</t>
  </si>
  <si>
    <t>478.05</t>
  </si>
  <si>
    <t>17-Apr-2025</t>
  </si>
  <si>
    <t>425,63</t>
  </si>
  <si>
    <t>787.72</t>
  </si>
  <si>
    <t>529.68</t>
  </si>
  <si>
    <t>28-Jul-2024</t>
  </si>
  <si>
    <t>616.05</t>
  </si>
  <si>
    <t>692,3</t>
  </si>
  <si>
    <t>11/05/2025</t>
  </si>
  <si>
    <t>01/12/2024</t>
  </si>
  <si>
    <t>31/01/2025</t>
  </si>
  <si>
    <t>2024-08-30</t>
  </si>
  <si>
    <t>244,76</t>
  </si>
  <si>
    <t>212,04</t>
  </si>
  <si>
    <t>167,56</t>
  </si>
  <si>
    <t>21-May-2025</t>
  </si>
  <si>
    <t>329.28</t>
  </si>
  <si>
    <t>167.10</t>
  </si>
  <si>
    <t>467.29</t>
  </si>
  <si>
    <t>430.36</t>
  </si>
  <si>
    <t>01-Mar-2024</t>
  </si>
  <si>
    <t>556,92</t>
  </si>
  <si>
    <t>2024-01-07</t>
  </si>
  <si>
    <t>2024-03-26</t>
  </si>
  <si>
    <t>151,4</t>
  </si>
  <si>
    <t>-878,34</t>
  </si>
  <si>
    <t>26/10/2024</t>
  </si>
  <si>
    <t>2024-07-13</t>
  </si>
  <si>
    <t>406.07</t>
  </si>
  <si>
    <t>93.38</t>
  </si>
  <si>
    <t>161,16</t>
  </si>
  <si>
    <t>23/04/2025</t>
  </si>
  <si>
    <t>280,3</t>
  </si>
  <si>
    <t>109.33</t>
  </si>
  <si>
    <t>207.58</t>
  </si>
  <si>
    <t>14/01/2024</t>
  </si>
  <si>
    <t>582.50</t>
  </si>
  <si>
    <t>2024-09-24</t>
  </si>
  <si>
    <t>217.74</t>
  </si>
  <si>
    <t>10/09/2024</t>
  </si>
  <si>
    <t>09-Jul-2024</t>
  </si>
  <si>
    <t>21-Jan-2024</t>
  </si>
  <si>
    <t>25-Nov-2024</t>
  </si>
  <si>
    <t>2025-05-30</t>
  </si>
  <si>
    <t>11/02/2025</t>
  </si>
  <si>
    <t>730.86</t>
  </si>
  <si>
    <t>341.56</t>
  </si>
  <si>
    <t>758.34</t>
  </si>
  <si>
    <t>50.55</t>
  </si>
  <si>
    <t>25/10/2024</t>
  </si>
  <si>
    <t>03/11/2024</t>
  </si>
  <si>
    <t>398.91</t>
  </si>
  <si>
    <t>11/28/2024</t>
  </si>
  <si>
    <t>2024-11-21</t>
  </si>
  <si>
    <t>504.61</t>
  </si>
  <si>
    <t>323.80</t>
  </si>
  <si>
    <t>146,66</t>
  </si>
  <si>
    <t>2024-12-14</t>
  </si>
  <si>
    <t>386.90</t>
  </si>
  <si>
    <t>17/10/2024</t>
  </si>
  <si>
    <t>213.23</t>
  </si>
  <si>
    <t>189,52</t>
  </si>
  <si>
    <t>545,38</t>
  </si>
  <si>
    <t>945.13</t>
  </si>
  <si>
    <t>410.59</t>
  </si>
  <si>
    <t>347,33</t>
  </si>
  <si>
    <t>14/08/2024</t>
  </si>
  <si>
    <t>150,5</t>
  </si>
  <si>
    <t>192,47</t>
  </si>
  <si>
    <t>163.21</t>
  </si>
  <si>
    <t>425,07</t>
  </si>
  <si>
    <t>03/06/2024</t>
  </si>
  <si>
    <t>78,88</t>
  </si>
  <si>
    <t>2024-09-19</t>
  </si>
  <si>
    <t>101.56</t>
  </si>
  <si>
    <t>2024-06-01</t>
  </si>
  <si>
    <t>1147.72</t>
  </si>
  <si>
    <t>751,69</t>
  </si>
  <si>
    <t>09/18/2024</t>
  </si>
  <si>
    <t>311.25</t>
  </si>
  <si>
    <t>219,97</t>
  </si>
  <si>
    <t>239.88</t>
  </si>
  <si>
    <t>776.95</t>
  </si>
  <si>
    <t>589,65</t>
  </si>
  <si>
    <t>3,08</t>
  </si>
  <si>
    <t>2024-12-13</t>
  </si>
  <si>
    <t>633.73</t>
  </si>
  <si>
    <t>2025-01-19</t>
  </si>
  <si>
    <t>357,52</t>
  </si>
  <si>
    <t>87.14</t>
  </si>
  <si>
    <t>82.31</t>
  </si>
  <si>
    <t>2025-06-23</t>
  </si>
  <si>
    <t>257.34</t>
  </si>
  <si>
    <t>2024-06-16</t>
  </si>
  <si>
    <t>385.04</t>
  </si>
  <si>
    <t>21/11/2024</t>
  </si>
  <si>
    <t>329,88</t>
  </si>
  <si>
    <t>306,08</t>
  </si>
  <si>
    <t>32.82</t>
  </si>
  <si>
    <t>248.57</t>
  </si>
  <si>
    <t>16-May-2025</t>
  </si>
  <si>
    <t>353.46</t>
  </si>
  <si>
    <t>500,91</t>
  </si>
  <si>
    <t>09-Apr-2025</t>
  </si>
  <si>
    <t>17-Apr-2024</t>
  </si>
  <si>
    <t>05/12/2025</t>
  </si>
  <si>
    <t>248,31</t>
  </si>
  <si>
    <t>317,39</t>
  </si>
  <si>
    <t>629.13</t>
  </si>
  <si>
    <t>217.67</t>
  </si>
  <si>
    <t>95.32</t>
  </si>
  <si>
    <t>2024-03-29</t>
  </si>
  <si>
    <t>328,01</t>
  </si>
  <si>
    <t>464.64</t>
  </si>
  <si>
    <t>05/08/2024</t>
  </si>
  <si>
    <t>262.28</t>
  </si>
  <si>
    <t>355.26</t>
  </si>
  <si>
    <t>318,7</t>
  </si>
  <si>
    <t>514.50</t>
  </si>
  <si>
    <t>557,73</t>
  </si>
  <si>
    <t>22/08/2024</t>
  </si>
  <si>
    <t>256.78</t>
  </si>
  <si>
    <t>114.90</t>
  </si>
  <si>
    <t>2024-03-22</t>
  </si>
  <si>
    <t>1087,79</t>
  </si>
  <si>
    <t>14/06/2025</t>
  </si>
  <si>
    <t>466,34</t>
  </si>
  <si>
    <t>751,97</t>
  </si>
  <si>
    <t>292.63</t>
  </si>
  <si>
    <t>10/03/2024</t>
  </si>
  <si>
    <t>182,14</t>
  </si>
  <si>
    <t>746,53</t>
  </si>
  <si>
    <t>29-Dec-2024</t>
  </si>
  <si>
    <t>02/09/2024</t>
  </si>
  <si>
    <t>745,74</t>
  </si>
  <si>
    <t>149.22</t>
  </si>
  <si>
    <t>714,38</t>
  </si>
  <si>
    <t>107.42</t>
  </si>
  <si>
    <t>165.51</t>
  </si>
  <si>
    <t>315,27</t>
  </si>
  <si>
    <t>08-Feb-2024</t>
  </si>
  <si>
    <t>28-Aug-2024</t>
  </si>
  <si>
    <t>2025-05-16</t>
  </si>
  <si>
    <t>-390.68</t>
  </si>
  <si>
    <t>2024-03-05</t>
  </si>
  <si>
    <t>554.26</t>
  </si>
  <si>
    <t>24/02/2025</t>
  </si>
  <si>
    <t>880,05</t>
  </si>
  <si>
    <t>50.49</t>
  </si>
  <si>
    <t>404,38</t>
  </si>
  <si>
    <t>15-Mar-2024</t>
  </si>
  <si>
    <t>417,38</t>
  </si>
  <si>
    <t>396.56</t>
  </si>
  <si>
    <t>209,77</t>
  </si>
  <si>
    <t>2024-09-07</t>
  </si>
  <si>
    <t>09/02/2025</t>
  </si>
  <si>
    <t>317,67</t>
  </si>
  <si>
    <t>CC</t>
  </si>
  <si>
    <t>Saude</t>
  </si>
  <si>
    <t>Quitado</t>
  </si>
  <si>
    <t>App</t>
  </si>
  <si>
    <t>Cartao de Credito</t>
  </si>
  <si>
    <t>SAUDE</t>
  </si>
  <si>
    <t>Em atraso</t>
  </si>
  <si>
    <t>R$ 449,94</t>
  </si>
  <si>
    <t>Pago</t>
  </si>
  <si>
    <t>Agencia</t>
  </si>
  <si>
    <t>R$344.47</t>
  </si>
  <si>
    <t>Credito</t>
  </si>
  <si>
    <t>lazer</t>
  </si>
  <si>
    <t>R$ 80,23</t>
  </si>
  <si>
    <t>Boleto</t>
  </si>
  <si>
    <t>Inadimplente</t>
  </si>
  <si>
    <t>R$ 649,52</t>
  </si>
  <si>
    <t>Lazer</t>
  </si>
  <si>
    <t>Atrasado</t>
  </si>
  <si>
    <t>pix</t>
  </si>
  <si>
    <t xml:space="preserve"> Saude</t>
  </si>
  <si>
    <t>Transporte</t>
  </si>
  <si>
    <t>-R$515.81</t>
  </si>
  <si>
    <t>Moradia</t>
  </si>
  <si>
    <t>R$ 335,92</t>
  </si>
  <si>
    <t>Ted</t>
  </si>
  <si>
    <t>R$ 251,99</t>
  </si>
  <si>
    <t>R$ 107,82</t>
  </si>
  <si>
    <t>Educação</t>
  </si>
  <si>
    <t>Transferencia TED</t>
  </si>
  <si>
    <t>ALIMENTACAO</t>
  </si>
  <si>
    <t>R$969.26</t>
  </si>
  <si>
    <t>Varejo</t>
  </si>
  <si>
    <t>R$75.45</t>
  </si>
  <si>
    <t>boleto</t>
  </si>
  <si>
    <t xml:space="preserve">varejo </t>
  </si>
  <si>
    <t>R$675.5</t>
  </si>
  <si>
    <t>ted</t>
  </si>
  <si>
    <t xml:space="preserve">moradia </t>
  </si>
  <si>
    <t>Pendente</t>
  </si>
  <si>
    <t>R$ 1.115,23</t>
  </si>
  <si>
    <t>pago</t>
  </si>
  <si>
    <t xml:space="preserve"> Isabela Nunes  </t>
  </si>
  <si>
    <t>R$740.9</t>
  </si>
  <si>
    <t>inadimplente</t>
  </si>
  <si>
    <t>R$ 372,07</t>
  </si>
  <si>
    <t xml:space="preserve">alimentacao </t>
  </si>
  <si>
    <t>R$ 53,17</t>
  </si>
  <si>
    <t>Debito</t>
  </si>
  <si>
    <t>R$281.06</t>
  </si>
  <si>
    <t>Cartão de Débito</t>
  </si>
  <si>
    <t>atrasado</t>
  </si>
  <si>
    <t>EDUCACAO</t>
  </si>
  <si>
    <t xml:space="preserve"> Vanessa Duarte  </t>
  </si>
  <si>
    <t>Saúde</t>
  </si>
  <si>
    <t xml:space="preserve"> Lucas Martins  </t>
  </si>
  <si>
    <t>transporte</t>
  </si>
  <si>
    <t>R$ 301,12</t>
  </si>
  <si>
    <t>R$ 194,64</t>
  </si>
  <si>
    <t>R$ 381,29</t>
  </si>
  <si>
    <t>R$668.37</t>
  </si>
  <si>
    <t xml:space="preserve"> Pix </t>
  </si>
  <si>
    <t>Cartão de Crédito</t>
  </si>
  <si>
    <t>R$ 542,79</t>
  </si>
  <si>
    <t>cartao credito</t>
  </si>
  <si>
    <t>pendente</t>
  </si>
  <si>
    <t>R$ 405,72</t>
  </si>
  <si>
    <t>Pix</t>
  </si>
  <si>
    <t>R$ 162,56</t>
  </si>
  <si>
    <t>cartao debito</t>
  </si>
  <si>
    <t xml:space="preserve"> Ana Souza  </t>
  </si>
  <si>
    <t>R$222.49</t>
  </si>
  <si>
    <t>R$ 869,29</t>
  </si>
  <si>
    <t>Educacao</t>
  </si>
  <si>
    <t>R$51.21</t>
  </si>
  <si>
    <t>Cartao de Debito</t>
  </si>
  <si>
    <t xml:space="preserve"> Bruno Lima  </t>
  </si>
  <si>
    <t>R$ 591,06</t>
  </si>
  <si>
    <t>R$1213.48</t>
  </si>
  <si>
    <t>Alimentação</t>
  </si>
  <si>
    <t>R$73.64</t>
  </si>
  <si>
    <t>R$ 594,13</t>
  </si>
  <si>
    <t>R$1378.76</t>
  </si>
  <si>
    <t>R$396.19</t>
  </si>
  <si>
    <t>R$112.2</t>
  </si>
  <si>
    <t xml:space="preserve"> Rafael Pereira  </t>
  </si>
  <si>
    <t>R$ 740,88</t>
  </si>
  <si>
    <t>R$ 383,54</t>
  </si>
  <si>
    <t xml:space="preserve"> Mariana Cardoso  </t>
  </si>
  <si>
    <t>R$ 76,30</t>
  </si>
  <si>
    <t>R$485.43</t>
  </si>
  <si>
    <t>R$ 357,42</t>
  </si>
  <si>
    <t>R$ 144,89</t>
  </si>
  <si>
    <t>R$150.24</t>
  </si>
  <si>
    <t>R$ 404,05</t>
  </si>
  <si>
    <t>R$ 405,05</t>
  </si>
  <si>
    <t>R$ 311,24</t>
  </si>
  <si>
    <t>R$ 829,83</t>
  </si>
  <si>
    <t>R$ 622,64</t>
  </si>
  <si>
    <t>R$ 665,52</t>
  </si>
  <si>
    <t>R$ 60,94</t>
  </si>
  <si>
    <t xml:space="preserve"> Sandra Vieira  </t>
  </si>
  <si>
    <t>R$ 394,21</t>
  </si>
  <si>
    <t>Alimentacao</t>
  </si>
  <si>
    <t xml:space="preserve"> Nelson Teixeira  </t>
  </si>
  <si>
    <t>-R$ 755,75</t>
  </si>
  <si>
    <t>R$ 192,005.00</t>
  </si>
  <si>
    <t xml:space="preserve"> Heitor Barbosa  </t>
  </si>
  <si>
    <t>R$494.63</t>
  </si>
  <si>
    <t>R$ 140,30</t>
  </si>
  <si>
    <t>R$ 473,95</t>
  </si>
  <si>
    <t>R$ 800,93</t>
  </si>
  <si>
    <t xml:space="preserve"> Fabio Costa  </t>
  </si>
  <si>
    <t>R$ 521,05</t>
  </si>
  <si>
    <t>R$326.84</t>
  </si>
  <si>
    <t>R$ 487,53</t>
  </si>
  <si>
    <t>R$ 678,51</t>
  </si>
  <si>
    <t xml:space="preserve"> Caio Monteiro  </t>
  </si>
  <si>
    <t>R$745.05</t>
  </si>
  <si>
    <t>R$ 598,28</t>
  </si>
  <si>
    <t xml:space="preserve"> Bianca Freitas  </t>
  </si>
  <si>
    <t>R$404.16</t>
  </si>
  <si>
    <t>R$50.94</t>
  </si>
  <si>
    <t>R$879.48</t>
  </si>
  <si>
    <t xml:space="preserve"> Debora Pinto  </t>
  </si>
  <si>
    <t>R$726.16</t>
  </si>
  <si>
    <t>R$ 303,09</t>
  </si>
  <si>
    <t xml:space="preserve"> Yasmin Araujo  </t>
  </si>
  <si>
    <t>R$ 278,80</t>
  </si>
  <si>
    <t>R$ 834,07</t>
  </si>
  <si>
    <t>R$ 167,79</t>
  </si>
  <si>
    <t>R$ 388,25</t>
  </si>
  <si>
    <t>R$ 115,89</t>
  </si>
  <si>
    <t>R$ 199,92</t>
  </si>
  <si>
    <t>R$616.22</t>
  </si>
  <si>
    <t>R$ 362,68</t>
  </si>
  <si>
    <t>R$ 383,50</t>
  </si>
  <si>
    <t>R$ 584,06</t>
  </si>
  <si>
    <t>R$ 182,89</t>
  </si>
  <si>
    <t>R$ 195,51</t>
  </si>
  <si>
    <t>R$ 267,26</t>
  </si>
  <si>
    <t>R$ 423,72</t>
  </si>
  <si>
    <t>R$320.46</t>
  </si>
  <si>
    <t>R$ 596,205.00</t>
  </si>
  <si>
    <t xml:space="preserve"> Patricia Gomes  </t>
  </si>
  <si>
    <t>R$ 266,97</t>
  </si>
  <si>
    <t>R$519.43</t>
  </si>
  <si>
    <t>R$ 216,44</t>
  </si>
  <si>
    <t>R$ 457,15</t>
  </si>
  <si>
    <t xml:space="preserve"> Carla Mendes  </t>
  </si>
  <si>
    <t>R$645.5</t>
  </si>
  <si>
    <t xml:space="preserve"> Gabriela Rocha  </t>
  </si>
  <si>
    <t>R$135.45</t>
  </si>
  <si>
    <t>R$ 409,95</t>
  </si>
  <si>
    <t>R$508.77</t>
  </si>
  <si>
    <t>R$ 326,62</t>
  </si>
  <si>
    <t>R$ 143,13</t>
  </si>
  <si>
    <t>R$207.24</t>
  </si>
  <si>
    <t>R$402.02</t>
  </si>
  <si>
    <t>R$ 244,20</t>
  </si>
  <si>
    <t>R$236.72</t>
  </si>
  <si>
    <t>R$ 52,61</t>
  </si>
  <si>
    <t>R$ 228,01</t>
  </si>
  <si>
    <t>R$491.18</t>
  </si>
  <si>
    <t xml:space="preserve"> William Santos  </t>
  </si>
  <si>
    <t>R$ 398,21</t>
  </si>
  <si>
    <t>R$ 100,74</t>
  </si>
  <si>
    <t>R$20.19</t>
  </si>
  <si>
    <t>R$766.54</t>
  </si>
  <si>
    <t>R$171.61</t>
  </si>
  <si>
    <t>R$ 324,40</t>
  </si>
  <si>
    <t>R$ 386,69</t>
  </si>
  <si>
    <t>R$ 80,16</t>
  </si>
  <si>
    <t>R$261.82</t>
  </si>
  <si>
    <t>R$ 396,95</t>
  </si>
  <si>
    <t>R$127.8</t>
  </si>
  <si>
    <t>R$ 286,19</t>
  </si>
  <si>
    <t>R$757.15</t>
  </si>
  <si>
    <t>R$ 512,43</t>
  </si>
  <si>
    <t>R$ 365,09</t>
  </si>
  <si>
    <t>R$ 364,63</t>
  </si>
  <si>
    <t>R$ 344,75</t>
  </si>
  <si>
    <t>R$ 318,41</t>
  </si>
  <si>
    <t>R$ 130,07</t>
  </si>
  <si>
    <t>R$ 1.021,10</t>
  </si>
  <si>
    <t>R$ 70,335.00</t>
  </si>
  <si>
    <t>R$ 83,74</t>
  </si>
  <si>
    <t>R$ 570,26</t>
  </si>
  <si>
    <t>R$724.56</t>
  </si>
  <si>
    <t>R$494.31</t>
  </si>
  <si>
    <t>R$461.05</t>
  </si>
  <si>
    <t>R$ 656,01</t>
  </si>
  <si>
    <t>R$ 373,39</t>
  </si>
  <si>
    <t>R$262.95</t>
  </si>
  <si>
    <t>R$ 112,23</t>
  </si>
  <si>
    <t>R$136.84</t>
  </si>
  <si>
    <t>R$ 151,76</t>
  </si>
  <si>
    <t>R$ 203,18</t>
  </si>
  <si>
    <t>R$43.51</t>
  </si>
  <si>
    <t>-R$1199.21</t>
  </si>
  <si>
    <t>R$186.87</t>
  </si>
  <si>
    <t>R$ 571,25</t>
  </si>
  <si>
    <t>R$ 585,93</t>
  </si>
  <si>
    <t>R$573.78</t>
  </si>
  <si>
    <t>R$ 292,75</t>
  </si>
  <si>
    <t>R$ 527,65</t>
  </si>
  <si>
    <t>R$ 452,69</t>
  </si>
  <si>
    <t xml:space="preserve"> Karina Silva  </t>
  </si>
  <si>
    <t>R$118.59</t>
  </si>
  <si>
    <t>R$ 896,44</t>
  </si>
  <si>
    <t>R$328.85</t>
  </si>
  <si>
    <t>R$468.24</t>
  </si>
  <si>
    <t>R$311.2</t>
  </si>
  <si>
    <t xml:space="preserve"> Thiago Correia  </t>
  </si>
  <si>
    <t>R$ 892,39</t>
  </si>
  <si>
    <t>R$ 780,24</t>
  </si>
  <si>
    <t>R$ 244,23</t>
  </si>
  <si>
    <t>R$ 566,52</t>
  </si>
  <si>
    <t>R$558.84</t>
  </si>
  <si>
    <t>R$188.92</t>
  </si>
  <si>
    <t>R$ 327,92</t>
  </si>
  <si>
    <t>R$ 422,76</t>
  </si>
  <si>
    <t>R$ 84,22</t>
  </si>
  <si>
    <t>R$ 599,05</t>
  </si>
  <si>
    <t>R$ 92,42</t>
  </si>
  <si>
    <t>R$667.25</t>
  </si>
  <si>
    <t>R$ 159,89</t>
  </si>
  <si>
    <t>R$428.96</t>
  </si>
  <si>
    <t>R$ 815,93</t>
  </si>
  <si>
    <t>R$ 260,41</t>
  </si>
  <si>
    <t>R$165.35</t>
  </si>
  <si>
    <t>R$467.01</t>
  </si>
  <si>
    <t>R$ 402,18</t>
  </si>
  <si>
    <t>R$ 604,11</t>
  </si>
  <si>
    <t>R$ 280,60</t>
  </si>
  <si>
    <t>R$ 138,70</t>
  </si>
  <si>
    <t>R$ 143,25</t>
  </si>
  <si>
    <t>R$ 204,66</t>
  </si>
  <si>
    <t>R$ 56,52</t>
  </si>
  <si>
    <t xml:space="preserve"> Otavio Ramos  </t>
  </si>
  <si>
    <t>R$ 206,07</t>
  </si>
  <si>
    <t>R$ 276,60</t>
  </si>
  <si>
    <t>R$ 322,82</t>
  </si>
  <si>
    <t>R$658.28</t>
  </si>
  <si>
    <t>R$173.81</t>
  </si>
  <si>
    <t>R$ 207,29</t>
  </si>
  <si>
    <t>R$ 498,84</t>
  </si>
  <si>
    <t>R$ 738,34</t>
  </si>
  <si>
    <t>R$ 509,99</t>
  </si>
  <si>
    <t>R$ 60,33</t>
  </si>
  <si>
    <t>R$242.09</t>
  </si>
  <si>
    <t>R$ 688,42</t>
  </si>
  <si>
    <t>R$ 182,30</t>
  </si>
  <si>
    <t>R$20.38</t>
  </si>
  <si>
    <t>R$375.63</t>
  </si>
  <si>
    <t>R$ 281,64</t>
  </si>
  <si>
    <t>R$ 890,76</t>
  </si>
  <si>
    <t>R$169.76</t>
  </si>
  <si>
    <t>R$172.72</t>
  </si>
  <si>
    <t>R$ 155,65</t>
  </si>
  <si>
    <t>R$371.71</t>
  </si>
  <si>
    <t>R$ 564,96</t>
  </si>
  <si>
    <t>R$ 738,02</t>
  </si>
  <si>
    <t>R$672.05</t>
  </si>
  <si>
    <t>R$ 753,79</t>
  </si>
  <si>
    <t>R$279.48</t>
  </si>
  <si>
    <t>R$ 226,86</t>
  </si>
  <si>
    <t>R$ 271,78</t>
  </si>
  <si>
    <t>R$ 376,87</t>
  </si>
  <si>
    <t>R$ 559,33</t>
  </si>
  <si>
    <t>R$ 295,21</t>
  </si>
  <si>
    <t>R$322.52</t>
  </si>
  <si>
    <t>R$365.26</t>
  </si>
  <si>
    <t>R$ 16,72</t>
  </si>
  <si>
    <t>R$ 1.392,64</t>
  </si>
  <si>
    <t>R$720.77</t>
  </si>
  <si>
    <t>R$ 312,20</t>
  </si>
  <si>
    <t>R$141.1</t>
  </si>
  <si>
    <t>R$ 1.155,75</t>
  </si>
  <si>
    <t>-R$ 561,81</t>
  </si>
  <si>
    <t>R$454.12</t>
  </si>
  <si>
    <t>R$ 687,15</t>
  </si>
  <si>
    <t>R$ 511,73</t>
  </si>
  <si>
    <t>R$145.15</t>
  </si>
  <si>
    <t>R$ 122,38</t>
  </si>
  <si>
    <t>R$ 606,79</t>
  </si>
  <si>
    <t>R$ 581,60</t>
  </si>
  <si>
    <t>R$ 348,27</t>
  </si>
  <si>
    <t>R$728.41</t>
  </si>
  <si>
    <t>R$ 233,26</t>
  </si>
  <si>
    <t>R$ 271,59</t>
  </si>
  <si>
    <t>R$ 314,56</t>
  </si>
  <si>
    <t>R$357.39</t>
  </si>
  <si>
    <t>R$ 717,53</t>
  </si>
  <si>
    <t>R$ 307,26</t>
  </si>
  <si>
    <t>R$464.29</t>
  </si>
  <si>
    <t>R$ 347,24</t>
  </si>
  <si>
    <t>R$ 445,48</t>
  </si>
  <si>
    <t>R$ 182,13</t>
  </si>
  <si>
    <t>R$449.7</t>
  </si>
  <si>
    <t>R$ 45,52</t>
  </si>
  <si>
    <t>R$ 313,49</t>
  </si>
  <si>
    <t>R$ 293,07</t>
  </si>
  <si>
    <t>R$ 413,35</t>
  </si>
  <si>
    <t>R$ 619,12</t>
  </si>
  <si>
    <t>R$327.27</t>
  </si>
  <si>
    <t>R$103.78</t>
  </si>
  <si>
    <t>R$ 187,55</t>
  </si>
  <si>
    <t>R$ 428,68</t>
  </si>
  <si>
    <t>R$ 538,20</t>
  </si>
  <si>
    <t>R$ 125,58</t>
  </si>
  <si>
    <t>R$630.47</t>
  </si>
  <si>
    <t>R$114.26</t>
  </si>
  <si>
    <t>R$ 359,49</t>
  </si>
  <si>
    <t>R$ 608,42</t>
  </si>
  <si>
    <t>R$ 689,46</t>
  </si>
  <si>
    <t>R$119.64</t>
  </si>
  <si>
    <t>R$ 271,760.00</t>
  </si>
  <si>
    <t>-R$ 986,73</t>
  </si>
  <si>
    <t>R$346.16</t>
  </si>
  <si>
    <t>R$464.97</t>
  </si>
  <si>
    <t>R$ 472,73</t>
  </si>
  <si>
    <t>R$ 224,10</t>
  </si>
  <si>
    <t>R$ 90,56</t>
  </si>
  <si>
    <t>R$ 281,54</t>
  </si>
  <si>
    <t>R$ 70,03</t>
  </si>
  <si>
    <t>R$189.0</t>
  </si>
  <si>
    <t>R$580.82</t>
  </si>
  <si>
    <t>R$310.61</t>
  </si>
  <si>
    <t>R$ 521,02</t>
  </si>
  <si>
    <t>R$ 190,030.00</t>
  </si>
  <si>
    <t>R$ 80,73</t>
  </si>
  <si>
    <t>R$148.68</t>
  </si>
  <si>
    <t>R$ 371,88</t>
  </si>
  <si>
    <t>R$ 649,20</t>
  </si>
  <si>
    <t>R$40.03</t>
  </si>
  <si>
    <t>R$259.88</t>
  </si>
  <si>
    <t>R$ 172,27</t>
  </si>
  <si>
    <t>R$ 165,72</t>
  </si>
  <si>
    <t>R$ 639,89</t>
  </si>
  <si>
    <t>R$ 421,78</t>
  </si>
  <si>
    <t>R$637.38</t>
  </si>
  <si>
    <t>R$191.62</t>
  </si>
  <si>
    <t>R$341.26</t>
  </si>
  <si>
    <t>R$434.72</t>
  </si>
  <si>
    <t>R$233.93</t>
  </si>
  <si>
    <t>R$379.93</t>
  </si>
  <si>
    <t>R$594.26</t>
  </si>
  <si>
    <t>R$616.52</t>
  </si>
  <si>
    <t>R$ 426,91</t>
  </si>
  <si>
    <t>R$ 249,39</t>
  </si>
  <si>
    <t>R$ 262,12</t>
  </si>
  <si>
    <t>R$ 414,46</t>
  </si>
  <si>
    <t>R$48.34</t>
  </si>
  <si>
    <t>R$ 255,09</t>
  </si>
  <si>
    <t>R$255.01</t>
  </si>
  <si>
    <t>R$ 733,45</t>
  </si>
  <si>
    <t>R$148.61</t>
  </si>
  <si>
    <t>R$ 474,48</t>
  </si>
  <si>
    <t>R$ 418,50</t>
  </si>
  <si>
    <t>R$ 591,24</t>
  </si>
  <si>
    <t xml:space="preserve"> Elaine Ferreira  </t>
  </si>
  <si>
    <t>R$178.64</t>
  </si>
  <si>
    <t>R$ 36,01</t>
  </si>
  <si>
    <t>R$ 451,87</t>
  </si>
  <si>
    <t>R$430.23</t>
  </si>
  <si>
    <t>R$ 474,91</t>
  </si>
  <si>
    <t>R$ 221,56</t>
  </si>
  <si>
    <t>R$440.39</t>
  </si>
  <si>
    <t>R$435.79</t>
  </si>
  <si>
    <t xml:space="preserve"> Diego Alves  </t>
  </si>
  <si>
    <t>R$253.58</t>
  </si>
  <si>
    <t>R$ 658,40</t>
  </si>
  <si>
    <t>R$394.5</t>
  </si>
  <si>
    <t>R$ 177,76</t>
  </si>
  <si>
    <t>R$ 173,44</t>
  </si>
  <si>
    <t>R$664.9</t>
  </si>
  <si>
    <t>R$438.32</t>
  </si>
  <si>
    <t>R$ 299,10</t>
  </si>
  <si>
    <t>R$964.78</t>
  </si>
  <si>
    <t>R$ 513,59</t>
  </si>
  <si>
    <t>R$703.07</t>
  </si>
  <si>
    <t>R$ 435,47</t>
  </si>
  <si>
    <t>R$ 92,74</t>
  </si>
  <si>
    <t>R$ 427,84</t>
  </si>
  <si>
    <t>R$ 312,33</t>
  </si>
  <si>
    <t>R$ 518,61</t>
  </si>
  <si>
    <t>R$ 212,58</t>
  </si>
  <si>
    <t>R$ 269,25</t>
  </si>
  <si>
    <t>R$ 296,55</t>
  </si>
  <si>
    <t>R$ 921,79</t>
  </si>
  <si>
    <t>R$54.22</t>
  </si>
  <si>
    <t>R$778.88</t>
  </si>
  <si>
    <t>R$ 79,39</t>
  </si>
  <si>
    <t>R$ 353,91</t>
  </si>
  <si>
    <t>R$ 733,02</t>
  </si>
  <si>
    <t>R$ 664,98</t>
  </si>
  <si>
    <t>R$1084.37</t>
  </si>
  <si>
    <t>R$ 245,30</t>
  </si>
  <si>
    <t>R$ 160,41</t>
  </si>
  <si>
    <t>R$ 359,265.00</t>
  </si>
  <si>
    <t>R$ 32,78</t>
  </si>
  <si>
    <t>R$819.52</t>
  </si>
  <si>
    <t>R$ 304,05</t>
  </si>
  <si>
    <t>R$ 832,26</t>
  </si>
  <si>
    <t>R$ 321,22</t>
  </si>
  <si>
    <t>R$ 219,12</t>
  </si>
  <si>
    <t>R$ 708,86</t>
  </si>
  <si>
    <t>R$ 273,02</t>
  </si>
  <si>
    <t>R$424.97</t>
  </si>
  <si>
    <t>R$96.96</t>
  </si>
  <si>
    <t>R$ 337,77</t>
  </si>
  <si>
    <t>R$ 618,55</t>
  </si>
  <si>
    <t>R$292.38</t>
  </si>
  <si>
    <t>R$108.32</t>
  </si>
  <si>
    <t>R$682.05</t>
  </si>
  <si>
    <t>R$ 370,12</t>
  </si>
  <si>
    <t>R$ 175,260.00</t>
  </si>
  <si>
    <t>R$ 448,28</t>
  </si>
  <si>
    <t>R$268.53</t>
  </si>
  <si>
    <t>R$401.14</t>
  </si>
  <si>
    <t>R$ 558,59</t>
  </si>
  <si>
    <t>R$ 369,27</t>
  </si>
  <si>
    <t>R$ 283,99</t>
  </si>
  <si>
    <t>R$843.88</t>
  </si>
  <si>
    <t>R$ 383,51</t>
  </si>
  <si>
    <t>R$ 349,02</t>
  </si>
  <si>
    <t>R$ 310,52</t>
  </si>
  <si>
    <t>R$ 390,91</t>
  </si>
  <si>
    <t>R$491.25</t>
  </si>
  <si>
    <t>R$ 141,79</t>
  </si>
  <si>
    <t>R$ 353,34</t>
  </si>
  <si>
    <t>R$ 56,660.00</t>
  </si>
  <si>
    <t>R$ 22,93</t>
  </si>
  <si>
    <t>R$250.14</t>
  </si>
  <si>
    <t>R$ 812,52</t>
  </si>
  <si>
    <t>R$288.69</t>
  </si>
  <si>
    <t>R$ 211,76</t>
  </si>
  <si>
    <t>R$ 433,01</t>
  </si>
  <si>
    <t>R$231.69</t>
  </si>
  <si>
    <t>R$262.73</t>
  </si>
  <si>
    <t>R$ 173,63</t>
  </si>
  <si>
    <t>R$677.75</t>
  </si>
  <si>
    <t>-R$138.26</t>
  </si>
  <si>
    <t>R$ 521,98</t>
  </si>
  <si>
    <t>R$215.56</t>
  </si>
  <si>
    <t>R$ 138,555.00</t>
  </si>
  <si>
    <t>R$ 261,69</t>
  </si>
  <si>
    <t>R$ 791,72</t>
  </si>
  <si>
    <t>R$ 126,17</t>
  </si>
  <si>
    <t>R$218.77</t>
  </si>
  <si>
    <t>R$ 478,80</t>
  </si>
  <si>
    <t>R$ 185,43</t>
  </si>
  <si>
    <t>R$1449.34</t>
  </si>
  <si>
    <t>R$ 426,17</t>
  </si>
  <si>
    <t>R$ 332,69</t>
  </si>
  <si>
    <t>R$98.05</t>
  </si>
  <si>
    <t>R$308.57</t>
  </si>
  <si>
    <t>R$ 260,93</t>
  </si>
  <si>
    <t>R$ 263,15</t>
  </si>
  <si>
    <t>R$ 174,23</t>
  </si>
  <si>
    <t>R$ 701,62</t>
  </si>
  <si>
    <t>R$ 147,70</t>
  </si>
  <si>
    <t>R$ 208,48</t>
  </si>
  <si>
    <t>R$ 170,58</t>
  </si>
  <si>
    <t>R$ 404,80</t>
  </si>
  <si>
    <t>R$ 111,88</t>
  </si>
  <si>
    <t>R$203.79</t>
  </si>
  <si>
    <t>R$124.56</t>
  </si>
  <si>
    <t>R$ 1.075,19</t>
  </si>
  <si>
    <t>R$ 226,34</t>
  </si>
  <si>
    <t>-R$435.07</t>
  </si>
  <si>
    <t>R$724.54</t>
  </si>
  <si>
    <t>R$ 709,25</t>
  </si>
  <si>
    <t>R$408.93</t>
  </si>
  <si>
    <t>R$ 75,95</t>
  </si>
  <si>
    <t>R$ 184,48</t>
  </si>
  <si>
    <t>R$ 289,77</t>
  </si>
  <si>
    <t>R$101.05</t>
  </si>
  <si>
    <t>R$ 180,34</t>
  </si>
  <si>
    <t>R$ 427,42</t>
  </si>
  <si>
    <t>R$ 299,25</t>
  </si>
  <si>
    <t>R$ 348,87</t>
  </si>
  <si>
    <t>R$ 650,42</t>
  </si>
  <si>
    <t>R$ 721,44</t>
  </si>
  <si>
    <t>R$ 629,94</t>
  </si>
  <si>
    <t>R$ 143,99</t>
  </si>
  <si>
    <t>R$ 1.060,74</t>
  </si>
  <si>
    <t>R$ 342,66</t>
  </si>
  <si>
    <t>R$ 136,08</t>
  </si>
  <si>
    <t>R$171.11</t>
  </si>
  <si>
    <t>R$ 173,84</t>
  </si>
  <si>
    <t>R$ 599,42</t>
  </si>
  <si>
    <t>R$204.95</t>
  </si>
  <si>
    <t>R$616.27</t>
  </si>
  <si>
    <t>R$ 234,48</t>
  </si>
  <si>
    <t>R$ 229,73</t>
  </si>
  <si>
    <t>R$72.71</t>
  </si>
  <si>
    <t>R$ 749,10</t>
  </si>
  <si>
    <t>R$ 726,05</t>
  </si>
  <si>
    <t>R$278.84</t>
  </si>
  <si>
    <t>R$938.01</t>
  </si>
  <si>
    <t>R$ 167,68</t>
  </si>
  <si>
    <t>R$ 95,24</t>
  </si>
  <si>
    <t>R$ 981,89</t>
  </si>
  <si>
    <t>R$ 800,58</t>
  </si>
  <si>
    <t>R$ 204,24</t>
  </si>
  <si>
    <t>R$ 336,75</t>
  </si>
  <si>
    <t>R$ 108,94</t>
  </si>
  <si>
    <t>R$ 398,740.00</t>
  </si>
  <si>
    <t>R$191.24</t>
  </si>
  <si>
    <t>R$568.67</t>
  </si>
  <si>
    <t>R$ 82,60</t>
  </si>
  <si>
    <t>R$339.21</t>
  </si>
  <si>
    <t>R$ 190,16</t>
  </si>
  <si>
    <t>R$ 507,54</t>
  </si>
  <si>
    <t>R$ 577,44</t>
  </si>
  <si>
    <t>R$ 190,28</t>
  </si>
  <si>
    <t>R$253.05</t>
  </si>
  <si>
    <t>R$ 198,08</t>
  </si>
  <si>
    <t>R$ 98,84</t>
  </si>
  <si>
    <t>-R$774.21</t>
  </si>
  <si>
    <t>R$ 594,42</t>
  </si>
  <si>
    <t>R$ 122,755.00</t>
  </si>
  <si>
    <t>R$ 84,01</t>
  </si>
  <si>
    <t>R$ 478,85</t>
  </si>
  <si>
    <t>R$ 138,99</t>
  </si>
  <si>
    <t>R$ 142,86</t>
  </si>
  <si>
    <t>R$223.77</t>
  </si>
  <si>
    <t>R$ 97,03</t>
  </si>
  <si>
    <t>R$201.01</t>
  </si>
  <si>
    <t>R$ 533,01</t>
  </si>
  <si>
    <t>R$247.67</t>
  </si>
  <si>
    <t>R$500.6</t>
  </si>
  <si>
    <t>R$230.22</t>
  </si>
  <si>
    <t>R$75.43</t>
  </si>
  <si>
    <t>R$ 94,46</t>
  </si>
  <si>
    <t>R$ 360,70</t>
  </si>
  <si>
    <t>R$1198.18</t>
  </si>
  <si>
    <t>R$871.79</t>
  </si>
  <si>
    <t>R$445.39</t>
  </si>
  <si>
    <t>R$389.59</t>
  </si>
  <si>
    <t>R$ 293,32</t>
  </si>
  <si>
    <t>R$ 885,79</t>
  </si>
  <si>
    <t>R$451.86</t>
  </si>
  <si>
    <t>R$ 216,55</t>
  </si>
  <si>
    <t>R$ 360,60</t>
  </si>
  <si>
    <t>R$298.62</t>
  </si>
  <si>
    <t>R$ 259,31</t>
  </si>
  <si>
    <t>R$ 530,03</t>
  </si>
  <si>
    <t>R$ 441,46</t>
  </si>
  <si>
    <t>R$ 741,53</t>
  </si>
  <si>
    <t>R$ 479,24</t>
  </si>
  <si>
    <t>R$ 484,98</t>
  </si>
  <si>
    <t>R$ 507,26</t>
  </si>
  <si>
    <t>R$ 264,74</t>
  </si>
  <si>
    <t>R$ 356,68</t>
  </si>
  <si>
    <t>R$ 769,22</t>
  </si>
  <si>
    <t>R$830.81</t>
  </si>
  <si>
    <t>R$ 430,05</t>
  </si>
  <si>
    <t>R$350.99</t>
  </si>
  <si>
    <t>R$ 537,72</t>
  </si>
  <si>
    <t>R$ 1.045,23</t>
  </si>
  <si>
    <t>R$262.86</t>
  </si>
  <si>
    <t>R$ 259,73</t>
  </si>
  <si>
    <t>R$ 296,17</t>
  </si>
  <si>
    <t>R$460.33</t>
  </si>
  <si>
    <t>R$ 394,13</t>
  </si>
  <si>
    <t>R$ 249,22</t>
  </si>
  <si>
    <t>R$ 74,90</t>
  </si>
  <si>
    <t>R$ 282,86</t>
  </si>
  <si>
    <t>R$ 448,08</t>
  </si>
  <si>
    <t>R$ 105,02</t>
  </si>
  <si>
    <t>R$130.65</t>
  </si>
  <si>
    <t>R$ 158,58</t>
  </si>
  <si>
    <t>R$386.78</t>
  </si>
  <si>
    <t>R$37.58</t>
  </si>
  <si>
    <t>R$2521.82</t>
  </si>
  <si>
    <t>R$ 181,66</t>
  </si>
  <si>
    <t>R$128.64</t>
  </si>
  <si>
    <t>R$ 640,86</t>
  </si>
  <si>
    <t>R$ 692,52</t>
  </si>
  <si>
    <t>R$ 422,19</t>
  </si>
  <si>
    <t>R$ 255,54</t>
  </si>
  <si>
    <t>R$803.42</t>
  </si>
  <si>
    <t>R$ 987,46</t>
  </si>
  <si>
    <t>R$ 195,37</t>
  </si>
  <si>
    <t>R$ 364,88</t>
  </si>
  <si>
    <t>R$ 737,07</t>
  </si>
  <si>
    <t>R$ 80,92</t>
  </si>
  <si>
    <t>R$ 274,12</t>
  </si>
  <si>
    <t>R$ 320,82</t>
  </si>
  <si>
    <t>R$ 890,30</t>
  </si>
  <si>
    <t>R$ 291,29</t>
  </si>
  <si>
    <t>R$ 246,99</t>
  </si>
  <si>
    <t>R$ 318,14</t>
  </si>
  <si>
    <t>R$ 300,46</t>
  </si>
  <si>
    <t>R$ 619,73</t>
  </si>
  <si>
    <t>R$ 308,09</t>
  </si>
  <si>
    <t>R$689.06</t>
  </si>
  <si>
    <t>R$ 949,71</t>
  </si>
  <si>
    <t>R$825.25</t>
  </si>
  <si>
    <t>R$442.71</t>
  </si>
  <si>
    <t>R$343.44</t>
  </si>
  <si>
    <t>R$ 508,43</t>
  </si>
  <si>
    <t>R$ 722,96</t>
  </si>
  <si>
    <t>R$536.82</t>
  </si>
  <si>
    <t>R$254.52</t>
  </si>
  <si>
    <t>R$ 830,75</t>
  </si>
  <si>
    <t>R$ 166,31</t>
  </si>
  <si>
    <t>R$ 85,33</t>
  </si>
  <si>
    <t>R$674.42</t>
  </si>
  <si>
    <t>R$ 231,40</t>
  </si>
  <si>
    <t>-R$ 214,35</t>
  </si>
  <si>
    <t>R$456.09</t>
  </si>
  <si>
    <t>R$146.53</t>
  </si>
  <si>
    <t>R$ 604,71</t>
  </si>
  <si>
    <t>R$629.95</t>
  </si>
  <si>
    <t>R$ 220,09</t>
  </si>
  <si>
    <t>R$ 257,18</t>
  </si>
  <si>
    <t>R$ 444,79</t>
  </si>
  <si>
    <t>R$ 40,90</t>
  </si>
  <si>
    <t>R$ 190,29</t>
  </si>
  <si>
    <t>R$ 124,05</t>
  </si>
  <si>
    <t>R$ 402,98</t>
  </si>
  <si>
    <t>R$632.97</t>
  </si>
  <si>
    <t>R$ 229,02</t>
  </si>
  <si>
    <t>R$ 169,95</t>
  </si>
  <si>
    <t>R$243.46</t>
  </si>
  <si>
    <t>R$550.3</t>
  </si>
  <si>
    <t>R$ 157,28</t>
  </si>
  <si>
    <t>R$211.52</t>
  </si>
  <si>
    <t>R$ 110,955.00</t>
  </si>
  <si>
    <t>R$72.06</t>
  </si>
  <si>
    <t>-R$ 980,60</t>
  </si>
  <si>
    <t>R$1409.44</t>
  </si>
  <si>
    <t>R$ 179,52</t>
  </si>
  <si>
    <t>R$268.56</t>
  </si>
  <si>
    <t>R$ 450,12</t>
  </si>
  <si>
    <t>R$ 204,76</t>
  </si>
  <si>
    <t>R$ 363,63</t>
  </si>
  <si>
    <t>R$191.23</t>
  </si>
  <si>
    <t>R$ 473,61</t>
  </si>
  <si>
    <t>R$ 290,59</t>
  </si>
  <si>
    <t>-R$ 386,11</t>
  </si>
  <si>
    <t>R$ 116,06</t>
  </si>
  <si>
    <t>R$ 191,56</t>
  </si>
  <si>
    <t>R$423.61</t>
  </si>
  <si>
    <t>R$ 760,02</t>
  </si>
  <si>
    <t>R$ 399,64</t>
  </si>
  <si>
    <t>R$ 239,49</t>
  </si>
  <si>
    <t>R$272.42</t>
  </si>
  <si>
    <t>R$ 583,61</t>
  </si>
  <si>
    <t>R$ 421,46</t>
  </si>
  <si>
    <t>R$ 221,60</t>
  </si>
  <si>
    <t>R$425.32</t>
  </si>
  <si>
    <t>R$ 595,57</t>
  </si>
  <si>
    <t>R$ 152,58</t>
  </si>
  <si>
    <t>R$314.95</t>
  </si>
  <si>
    <t>R$524.19</t>
  </si>
  <si>
    <t>R$134.1</t>
  </si>
  <si>
    <t>R$334.63</t>
  </si>
  <si>
    <t>R$1055.51</t>
  </si>
  <si>
    <t>R$ 384,85</t>
  </si>
  <si>
    <t>R$528.62</t>
  </si>
  <si>
    <t>R$ 452,00</t>
  </si>
  <si>
    <t>R$ 150,07</t>
  </si>
  <si>
    <t>R$380.98</t>
  </si>
  <si>
    <t>-R$ 255,70</t>
  </si>
  <si>
    <t>R$513.29</t>
  </si>
  <si>
    <t>R$ 775,66</t>
  </si>
  <si>
    <t>R$ 101,80</t>
  </si>
  <si>
    <t>R$ 129,75</t>
  </si>
  <si>
    <t>R$ 541,27</t>
  </si>
  <si>
    <t>R$ 367,19</t>
  </si>
  <si>
    <t>R$ 569,11</t>
  </si>
  <si>
    <t>R$349.89</t>
  </si>
  <si>
    <t>R$ 168,99</t>
  </si>
  <si>
    <t>R$441.21</t>
  </si>
  <si>
    <t>R$ 534,35</t>
  </si>
  <si>
    <t>R$339.52</t>
  </si>
  <si>
    <t>R$ 366,46</t>
  </si>
  <si>
    <t>R$ 914,85</t>
  </si>
  <si>
    <t>R$ 494,34</t>
  </si>
  <si>
    <t>R$ 680,08</t>
  </si>
  <si>
    <t>R$ 804,35</t>
  </si>
  <si>
    <t>R$ 344,45</t>
  </si>
  <si>
    <t>R$ 355,25</t>
  </si>
  <si>
    <t>R$ 103,12</t>
  </si>
  <si>
    <t>R$ 174,375.00</t>
  </si>
  <si>
    <t>R$ 212,48</t>
  </si>
  <si>
    <t>R$ 378,17</t>
  </si>
  <si>
    <t>R$184.08</t>
  </si>
  <si>
    <t>R$ 406,67</t>
  </si>
  <si>
    <t>R$ 223,15</t>
  </si>
  <si>
    <t>R$427.25</t>
  </si>
  <si>
    <t>R$ 90,88</t>
  </si>
  <si>
    <t>R$768.57</t>
  </si>
  <si>
    <t>R$ 578,40</t>
  </si>
  <si>
    <t>R$ 440,83</t>
  </si>
  <si>
    <t>R$ 93,48</t>
  </si>
  <si>
    <t>R$ 477,28</t>
  </si>
  <si>
    <t>R$628.08</t>
  </si>
  <si>
    <t>R$ 125,91</t>
  </si>
  <si>
    <t>R$ 685,94</t>
  </si>
  <si>
    <t>R$ 236,59</t>
  </si>
  <si>
    <t>R$ 98,32</t>
  </si>
  <si>
    <t>-R$253.12</t>
  </si>
  <si>
    <t>R$ 141,52</t>
  </si>
  <si>
    <t>R$337.29</t>
  </si>
  <si>
    <t>R$ 111,91</t>
  </si>
  <si>
    <t>R$ 233,15</t>
  </si>
  <si>
    <t>R$ 550,98</t>
  </si>
  <si>
    <t>R$200.69</t>
  </si>
  <si>
    <t>R$390.24</t>
  </si>
  <si>
    <t>R$ 444,19</t>
  </si>
  <si>
    <t>R$ 210,34</t>
  </si>
  <si>
    <t>R$ 1.038,11</t>
  </si>
  <si>
    <t>R$ 935,41</t>
  </si>
  <si>
    <t>R$ 177,11</t>
  </si>
  <si>
    <t>R$142.23</t>
  </si>
  <si>
    <t>R$350.77</t>
  </si>
  <si>
    <t>R$333.0</t>
  </si>
  <si>
    <t>R$330.41</t>
  </si>
  <si>
    <t>R$131.57</t>
  </si>
  <si>
    <t>R$ 192,95</t>
  </si>
  <si>
    <t>R$ 909,60</t>
  </si>
  <si>
    <t>R$ 200,86</t>
  </si>
  <si>
    <t>R$ 379,05</t>
  </si>
  <si>
    <t>R$489.69</t>
  </si>
  <si>
    <t>R$ 327,47</t>
  </si>
  <si>
    <t>R$ 165,710.00</t>
  </si>
  <si>
    <t>R$340.55</t>
  </si>
  <si>
    <t>R$ 673,87</t>
  </si>
  <si>
    <t>R$185.63</t>
  </si>
  <si>
    <t>R$ 500,42</t>
  </si>
  <si>
    <t>R$ 236,41</t>
  </si>
  <si>
    <t>R$ 76,245.00</t>
  </si>
  <si>
    <t>R$ 290,55</t>
  </si>
  <si>
    <t>R$508.39</t>
  </si>
  <si>
    <t>R$ 107,59</t>
  </si>
  <si>
    <t>R$ 92,14</t>
  </si>
  <si>
    <t>R$ 225,73</t>
  </si>
  <si>
    <t>R$ 264,04</t>
  </si>
  <si>
    <t>R$800.22</t>
  </si>
  <si>
    <t>R$536.84</t>
  </si>
  <si>
    <t>R$ 362,09</t>
  </si>
  <si>
    <t>R$ 152,99</t>
  </si>
  <si>
    <t>R$477.0</t>
  </si>
  <si>
    <t>R$95.2</t>
  </si>
  <si>
    <t>R$ 836,25</t>
  </si>
  <si>
    <t>R$442.64</t>
  </si>
  <si>
    <t>R$129.01</t>
  </si>
  <si>
    <t>R$ 279,19</t>
  </si>
  <si>
    <t>R$290.88</t>
  </si>
  <si>
    <t>R$ 254,82</t>
  </si>
  <si>
    <t>R$ 438,72</t>
  </si>
  <si>
    <t>R$ 46,46</t>
  </si>
  <si>
    <t>R$ 503,57</t>
  </si>
  <si>
    <t>R$ 151,59</t>
  </si>
  <si>
    <t>R$ 592,81</t>
  </si>
  <si>
    <t>R$ 702,70</t>
  </si>
  <si>
    <t>R$ 373,41</t>
  </si>
  <si>
    <t>R$ 300,15</t>
  </si>
  <si>
    <t>R$465.8</t>
  </si>
  <si>
    <t>R$ 91,905.00</t>
  </si>
  <si>
    <t>R$421.85</t>
  </si>
  <si>
    <t>R$ 320,46</t>
  </si>
  <si>
    <t>R$ 305,00</t>
  </si>
  <si>
    <t>R$ 198,72</t>
  </si>
  <si>
    <t>R$63.08</t>
  </si>
  <si>
    <t>R$486.32</t>
  </si>
  <si>
    <t>R$ 658,535.00</t>
  </si>
  <si>
    <t>R$ 360,44</t>
  </si>
  <si>
    <t>R$ 404,27</t>
  </si>
  <si>
    <t>R$379.8</t>
  </si>
  <si>
    <t>R$ 204,06</t>
  </si>
  <si>
    <t>R$ 22,91</t>
  </si>
  <si>
    <t>R$ 201,29</t>
  </si>
  <si>
    <t>R$ 696,18</t>
  </si>
  <si>
    <t>-R$ 328,12</t>
  </si>
  <si>
    <t>R$281.25</t>
  </si>
  <si>
    <t>R$ 403,40</t>
  </si>
  <si>
    <t>R$ 489,31</t>
  </si>
  <si>
    <t>R$ 344,44</t>
  </si>
  <si>
    <t>R$ 1.110,21</t>
  </si>
  <si>
    <t>R$ 387,11</t>
  </si>
  <si>
    <t>R$ 999,09</t>
  </si>
  <si>
    <t>R$ 532,37</t>
  </si>
  <si>
    <t>R$394.22</t>
  </si>
  <si>
    <t>R$472.24</t>
  </si>
  <si>
    <t>R$ 1.267,43</t>
  </si>
  <si>
    <t>R$ 43,47</t>
  </si>
  <si>
    <t>R$ 1.026,49</t>
  </si>
  <si>
    <t>R$ 212,29</t>
  </si>
  <si>
    <t>R$ 455,13</t>
  </si>
  <si>
    <t>R$ 866,18</t>
  </si>
  <si>
    <t>R$ 165,120.00</t>
  </si>
  <si>
    <t>R$ 609,34</t>
  </si>
  <si>
    <t>R$ 213,39</t>
  </si>
  <si>
    <t>R$386.58</t>
  </si>
  <si>
    <t>R$ 449,76</t>
  </si>
  <si>
    <t>R$ 869,49</t>
  </si>
  <si>
    <t>R$248.59</t>
  </si>
  <si>
    <t>R$705.29</t>
  </si>
  <si>
    <t>-R$542.26</t>
  </si>
  <si>
    <t>R$168.99</t>
  </si>
  <si>
    <t>R$ 481,14</t>
  </si>
  <si>
    <t>R$1135.98</t>
  </si>
  <si>
    <t>R$ 478,64</t>
  </si>
  <si>
    <t>R$130.02</t>
  </si>
  <si>
    <t>R$462.05</t>
  </si>
  <si>
    <t>R$ 144,97</t>
  </si>
  <si>
    <t>R$147.67</t>
  </si>
  <si>
    <t>R$ 451,55</t>
  </si>
  <si>
    <t>R$144.88</t>
  </si>
  <si>
    <t>R$355.04</t>
  </si>
  <si>
    <t>R$ 358,28</t>
  </si>
  <si>
    <t>R$38.64</t>
  </si>
  <si>
    <t>R$329.52</t>
  </si>
  <si>
    <t>R$ 56,86</t>
  </si>
  <si>
    <t>R$336.83</t>
  </si>
  <si>
    <t>R$ 225,53</t>
  </si>
  <si>
    <t>R$ 202,68</t>
  </si>
  <si>
    <t>R$ 293,37</t>
  </si>
  <si>
    <t>R$ 56,17</t>
  </si>
  <si>
    <t>R$ 867,07</t>
  </si>
  <si>
    <t>R$125.33</t>
  </si>
  <si>
    <t>R$ 170,71</t>
  </si>
  <si>
    <t>R$ 590,82</t>
  </si>
  <si>
    <t>R$ 853,01</t>
  </si>
  <si>
    <t>R$315.83</t>
  </si>
  <si>
    <t>R$ 229,88</t>
  </si>
  <si>
    <t>R$178.04</t>
  </si>
  <si>
    <t>R$ 727,54</t>
  </si>
  <si>
    <t>R$330.55</t>
  </si>
  <si>
    <t>R$949.01</t>
  </si>
  <si>
    <t>R$ 346,89</t>
  </si>
  <si>
    <t>R$287.71</t>
  </si>
  <si>
    <t>R$570.72</t>
  </si>
  <si>
    <t>R$667.5</t>
  </si>
  <si>
    <t>R$ 683,32</t>
  </si>
  <si>
    <t>R$ 637,41</t>
  </si>
  <si>
    <t>R$ 288,36</t>
  </si>
  <si>
    <t>R$249.22</t>
  </si>
  <si>
    <t>R$ 317,73</t>
  </si>
  <si>
    <t>R$ 302,65</t>
  </si>
  <si>
    <t>R$ 386,03</t>
  </si>
  <si>
    <t>R$ 119,25</t>
  </si>
  <si>
    <t>R$ 213,74</t>
  </si>
  <si>
    <t>R$ 456,63</t>
  </si>
  <si>
    <t>R$ 211,94</t>
  </si>
  <si>
    <t>-R$252.97</t>
  </si>
  <si>
    <t>R$ 179,99</t>
  </si>
  <si>
    <t>R$ 220,79</t>
  </si>
  <si>
    <t>R$320.47</t>
  </si>
  <si>
    <t>R$ 794,00</t>
  </si>
  <si>
    <t>R$ 401,36</t>
  </si>
  <si>
    <t>R$ 581,86</t>
  </si>
  <si>
    <t>R$ 829,69</t>
  </si>
  <si>
    <t>R$444.43</t>
  </si>
  <si>
    <t>R$214.28</t>
  </si>
  <si>
    <t>R$ 182,92</t>
  </si>
  <si>
    <t>R$ 428,62</t>
  </si>
  <si>
    <t>R$ 328,33</t>
  </si>
  <si>
    <t>R$ 473,24</t>
  </si>
  <si>
    <t>R$ 507,67</t>
  </si>
  <si>
    <t>R$61.54</t>
  </si>
  <si>
    <t>R$ 999,43</t>
  </si>
  <si>
    <t>R$391.45</t>
  </si>
  <si>
    <t>R$ 478,14</t>
  </si>
  <si>
    <t>R$ 546,38</t>
  </si>
  <si>
    <t>R$ 464,26</t>
  </si>
  <si>
    <t>R$ 235,96</t>
  </si>
  <si>
    <t>R$ 66,50</t>
  </si>
  <si>
    <t>R$ 227,48</t>
  </si>
  <si>
    <t>R$ 499,55</t>
  </si>
  <si>
    <t>R$ 168,10</t>
  </si>
  <si>
    <t>R$ 720,89</t>
  </si>
  <si>
    <t>R$481.19</t>
  </si>
  <si>
    <t>R$148.06</t>
  </si>
  <si>
    <t>R$ 758,04</t>
  </si>
  <si>
    <t>R$146.8</t>
  </si>
  <si>
    <t>R$503.98</t>
  </si>
  <si>
    <t xml:space="preserve"> Joao Pedro Dias  </t>
  </si>
  <si>
    <t>R$ 386,68</t>
  </si>
  <si>
    <t>R$ 341,16</t>
  </si>
  <si>
    <t>R$ 112,080.00</t>
  </si>
  <si>
    <t>R$ 104,67</t>
  </si>
  <si>
    <t>R$197.08</t>
  </si>
  <si>
    <t>R$ 647,43</t>
  </si>
  <si>
    <t>R$ 623,60</t>
  </si>
  <si>
    <t>R$ 140,02</t>
  </si>
  <si>
    <t>R$ 851,37</t>
  </si>
  <si>
    <t>R$ 462,94</t>
  </si>
  <si>
    <t>R$ 292,34</t>
  </si>
  <si>
    <t>R$ 311,97</t>
  </si>
  <si>
    <t>R$ 448,13</t>
  </si>
  <si>
    <t>R$ 770,17</t>
  </si>
  <si>
    <t>R$ 657,97</t>
  </si>
  <si>
    <t>R$ 232,79</t>
  </si>
  <si>
    <t>R$318.13</t>
  </si>
  <si>
    <t>R$ 179,98</t>
  </si>
  <si>
    <t>R$110.44</t>
  </si>
  <si>
    <t>R$ 389,71</t>
  </si>
  <si>
    <t>R$ 322,92</t>
  </si>
  <si>
    <t>R$ 160,52</t>
  </si>
  <si>
    <t>R$ 775,15</t>
  </si>
  <si>
    <t>R$ 232,980.00</t>
  </si>
  <si>
    <t>R$288.51</t>
  </si>
  <si>
    <t>R$978.95</t>
  </si>
  <si>
    <t>R$192.86</t>
  </si>
  <si>
    <t>R$ 127,375.00</t>
  </si>
  <si>
    <t>R$ 392,18</t>
  </si>
  <si>
    <t>R$339.11</t>
  </si>
  <si>
    <t>R$ 234,24</t>
  </si>
  <si>
    <t>R$ 336,91</t>
  </si>
  <si>
    <t>R$47.56</t>
  </si>
  <si>
    <t>R$111.8</t>
  </si>
  <si>
    <t>R$ 191,04</t>
  </si>
  <si>
    <t>R$ 276,27</t>
  </si>
  <si>
    <t>R$ 242,74</t>
  </si>
  <si>
    <t>R$ 429,53</t>
  </si>
  <si>
    <t>R$ 195,60</t>
  </si>
  <si>
    <t>R$419.04</t>
  </si>
  <si>
    <t>R$ 316,57</t>
  </si>
  <si>
    <t>R$ 627,97</t>
  </si>
  <si>
    <t>R$488.16</t>
  </si>
  <si>
    <t>R$ 650,55</t>
  </si>
  <si>
    <t>R$ 253,69</t>
  </si>
  <si>
    <t>R$ 122,10</t>
  </si>
  <si>
    <t>R$33.47</t>
  </si>
  <si>
    <t>R$275.46</t>
  </si>
  <si>
    <t>R$ 95,12</t>
  </si>
  <si>
    <t>R$ 182,95</t>
  </si>
  <si>
    <t>R$ 600,77</t>
  </si>
  <si>
    <t>R$305.37</t>
  </si>
  <si>
    <t>R$ 125,27</t>
  </si>
  <si>
    <t>R$ 165,58</t>
  </si>
  <si>
    <t>R$ 240,030.00</t>
  </si>
  <si>
    <t>R$ 220,71</t>
  </si>
  <si>
    <t>R$ 900,46</t>
  </si>
  <si>
    <t>R$ 609,64</t>
  </si>
  <si>
    <t>R$ 173,19</t>
  </si>
  <si>
    <t>R$207.79</t>
  </si>
  <si>
    <t>R$ 95,99</t>
  </si>
  <si>
    <t>R$172.28</t>
  </si>
  <si>
    <t>R$ 381,89</t>
  </si>
  <si>
    <t>R$ 426,36</t>
  </si>
  <si>
    <t>R$424.11</t>
  </si>
  <si>
    <t>R$ 222,82</t>
  </si>
  <si>
    <t>R$ 393,94</t>
  </si>
  <si>
    <t>R$237.03</t>
  </si>
  <si>
    <t>R$409.85</t>
  </si>
  <si>
    <t>R$ 274,38</t>
  </si>
  <si>
    <t>R$276.29</t>
  </si>
  <si>
    <t>R$582.61</t>
  </si>
  <si>
    <t>R$200.27</t>
  </si>
  <si>
    <t>R$ 313,30</t>
  </si>
  <si>
    <t>R$314.53</t>
  </si>
  <si>
    <t>R$354.24</t>
  </si>
  <si>
    <t>R$391.21</t>
  </si>
  <si>
    <t>R$ 520,14</t>
  </si>
  <si>
    <t>R$ 90,72</t>
  </si>
  <si>
    <t>R$ 154,46</t>
  </si>
  <si>
    <t>R$ 291,420.00</t>
  </si>
  <si>
    <t>R$ 260,36</t>
  </si>
  <si>
    <t>R$314.73</t>
  </si>
  <si>
    <t>R$98.94</t>
  </si>
  <si>
    <t>R$ 345,79</t>
  </si>
  <si>
    <t>R$ 350,88</t>
  </si>
  <si>
    <t>R$629.88</t>
  </si>
  <si>
    <t>R$ 291,60</t>
  </si>
  <si>
    <t>R$ 816,71</t>
  </si>
  <si>
    <t>R$ 395,99</t>
  </si>
  <si>
    <t>R$ 292,94</t>
  </si>
  <si>
    <t>R$111.52</t>
  </si>
  <si>
    <t>R$357.75</t>
  </si>
  <si>
    <t>R$ 266,82</t>
  </si>
  <si>
    <t>R$173.41</t>
  </si>
  <si>
    <t>R$ 154,30</t>
  </si>
  <si>
    <t>R$479.06</t>
  </si>
  <si>
    <t>R$ 99,17</t>
  </si>
  <si>
    <t>R$ 196,68</t>
  </si>
  <si>
    <t>R$ 310,96</t>
  </si>
  <si>
    <t>R$ 476,27</t>
  </si>
  <si>
    <t>R$ 462,29</t>
  </si>
  <si>
    <t>R$ 534,62</t>
  </si>
  <si>
    <t>R$ 665,64</t>
  </si>
  <si>
    <t>R$ 241,11</t>
  </si>
  <si>
    <t>R$ 201,28</t>
  </si>
  <si>
    <t>R$ 159,10</t>
  </si>
  <si>
    <t>R$ 398,10</t>
  </si>
  <si>
    <t>R$ 475,42</t>
  </si>
  <si>
    <t>R$ 506,60</t>
  </si>
  <si>
    <t>R$ 173,895.00</t>
  </si>
  <si>
    <t>R$410.72</t>
  </si>
  <si>
    <t>R$ 222,81</t>
  </si>
  <si>
    <t>R$ 450,26</t>
  </si>
  <si>
    <t>R$ 219,02</t>
  </si>
  <si>
    <t>R$ 283,73</t>
  </si>
  <si>
    <t>R$ 763,84</t>
  </si>
  <si>
    <t>R$262.03</t>
  </si>
  <si>
    <t>R$ 115,10</t>
  </si>
  <si>
    <t>R$ 262,86</t>
  </si>
  <si>
    <t>-R$ 286,19</t>
  </si>
  <si>
    <t>R$ 182,63</t>
  </si>
  <si>
    <t>R$ 78,055.00</t>
  </si>
  <si>
    <t>R$406.14</t>
  </si>
  <si>
    <t>R$211.41</t>
  </si>
  <si>
    <t>R$474.02</t>
  </si>
  <si>
    <t>R$879.05</t>
  </si>
  <si>
    <t>R$ 425,15</t>
  </si>
  <si>
    <t>R$ 218,69</t>
  </si>
  <si>
    <t>R$ 834,73</t>
  </si>
  <si>
    <t>R$ 148,20</t>
  </si>
  <si>
    <t>R$269.89</t>
  </si>
  <si>
    <t>R$284.54</t>
  </si>
  <si>
    <t>R$ 383,97</t>
  </si>
  <si>
    <t>R$296.55</t>
  </si>
  <si>
    <t>R$ 371,85</t>
  </si>
  <si>
    <t>R$ 348,39</t>
  </si>
  <si>
    <t>R$ 340,73</t>
  </si>
  <si>
    <t>R$ 149,89</t>
  </si>
  <si>
    <t>R$1154.4</t>
  </si>
  <si>
    <t>R$ 276,12</t>
  </si>
  <si>
    <t>R$ 568,25</t>
  </si>
  <si>
    <t>R$ 105,62</t>
  </si>
  <si>
    <t>R$ 387,34</t>
  </si>
  <si>
    <t>R$ 566,27</t>
  </si>
  <si>
    <t>R$ 637,65</t>
  </si>
  <si>
    <t>R$ 1.155,71</t>
  </si>
  <si>
    <t>R$ 160,12</t>
  </si>
  <si>
    <t>R$ 522,12</t>
  </si>
  <si>
    <t>R$ 125,41</t>
  </si>
  <si>
    <t>R$523.05</t>
  </si>
  <si>
    <t>R$331.47</t>
  </si>
  <si>
    <t>R$530.13</t>
  </si>
  <si>
    <t>R$ 127,60</t>
  </si>
  <si>
    <t>R$79.54</t>
  </si>
  <si>
    <t>R$ 312,21</t>
  </si>
  <si>
    <t>R$ 1.157,96</t>
  </si>
  <si>
    <t>R$ 529,680.00</t>
  </si>
  <si>
    <t>R$ 97,400.00</t>
  </si>
  <si>
    <t>R$1355.86</t>
  </si>
  <si>
    <t>R$87.94</t>
  </si>
  <si>
    <t>R$ 114,09</t>
  </si>
  <si>
    <t>R$ 476,83</t>
  </si>
  <si>
    <t>R$ 178,39</t>
  </si>
  <si>
    <t>R$ 747,88</t>
  </si>
  <si>
    <t>R$ 461,05</t>
  </si>
  <si>
    <t>R$ 237,92</t>
  </si>
  <si>
    <t>R$ 621,00</t>
  </si>
  <si>
    <t>R$ 357,395.00</t>
  </si>
  <si>
    <t>-R$ 274,01</t>
  </si>
  <si>
    <t>R$ 897,67</t>
  </si>
  <si>
    <t>R$ 120,16</t>
  </si>
  <si>
    <t>R$ 472,08</t>
  </si>
  <si>
    <t>R$315.97</t>
  </si>
  <si>
    <t>R$ 629,14</t>
  </si>
  <si>
    <t>R$ 563,75</t>
  </si>
  <si>
    <t>R$ 699,80</t>
  </si>
  <si>
    <t>R$ 324,93</t>
  </si>
  <si>
    <t>R$103.43</t>
  </si>
  <si>
    <t>R$ 288,50</t>
  </si>
  <si>
    <t>R$ 451,31</t>
  </si>
  <si>
    <t>R$908.89</t>
  </si>
  <si>
    <t>R$ 209,53</t>
  </si>
  <si>
    <t>R$315.9</t>
  </si>
  <si>
    <t>R$95.72</t>
  </si>
  <si>
    <t>R$ 265,81</t>
  </si>
  <si>
    <t>R$ 555,53</t>
  </si>
  <si>
    <t>R$ 885,54</t>
  </si>
  <si>
    <t>R$521.38</t>
  </si>
  <si>
    <t>R$ 224,40</t>
  </si>
  <si>
    <t>R$ 325,58</t>
  </si>
  <si>
    <t>R$ 452,72</t>
  </si>
  <si>
    <t>R$ 503,20</t>
  </si>
  <si>
    <t>R$329.75</t>
  </si>
  <si>
    <t>R$176.37</t>
  </si>
  <si>
    <t>R$ 317,22</t>
  </si>
  <si>
    <t>R$ 661,52</t>
  </si>
  <si>
    <t>R$ 373,90</t>
  </si>
  <si>
    <t>R$ 664,12</t>
  </si>
  <si>
    <t>R$ 167,34</t>
  </si>
  <si>
    <t>R$ 918,57</t>
  </si>
  <si>
    <t>R$13.26</t>
  </si>
  <si>
    <t>R$ 356,53</t>
  </si>
  <si>
    <t>R$ 963,66</t>
  </si>
  <si>
    <t>R$ 478,89</t>
  </si>
  <si>
    <t>R$305.51</t>
  </si>
  <si>
    <t>R$444.03</t>
  </si>
  <si>
    <t>R$244.44</t>
  </si>
  <si>
    <t>R$ 265,84</t>
  </si>
  <si>
    <t>R$ 152,64</t>
  </si>
  <si>
    <t>R$357.78</t>
  </si>
  <si>
    <t>R$113.54</t>
  </si>
  <si>
    <t>R$87.78</t>
  </si>
  <si>
    <t>R$ 257,22</t>
  </si>
  <si>
    <t>R$ 979,02</t>
  </si>
  <si>
    <t>R$ 65,20</t>
  </si>
  <si>
    <t>R$ 194,98</t>
  </si>
  <si>
    <t>R$ 177,58</t>
  </si>
  <si>
    <t>R$ 366,39</t>
  </si>
  <si>
    <t>R$ 1.439,48</t>
  </si>
  <si>
    <t>R$179.57</t>
  </si>
  <si>
    <t>R$ 83,89</t>
  </si>
  <si>
    <t>R$ 421,49</t>
  </si>
  <si>
    <t>R$ 928,80</t>
  </si>
  <si>
    <t>R$ 355,42</t>
  </si>
  <si>
    <t>R$516.88</t>
  </si>
  <si>
    <t>R$ 159,95</t>
  </si>
  <si>
    <t>R$674.05</t>
  </si>
  <si>
    <t>R$ 399,09</t>
  </si>
  <si>
    <t>R$351.03</t>
  </si>
  <si>
    <t>R$ 193,18</t>
  </si>
  <si>
    <t>R$ 112,63</t>
  </si>
  <si>
    <t>R$552.29</t>
  </si>
  <si>
    <t>R$ 302,83</t>
  </si>
  <si>
    <t>R$ 237,78</t>
  </si>
  <si>
    <t>R$ 8,26</t>
  </si>
  <si>
    <t>R$ 808,39</t>
  </si>
  <si>
    <t>R$ 740,75</t>
  </si>
  <si>
    <t>R$ 352,11</t>
  </si>
  <si>
    <t>R$ 188,36</t>
  </si>
  <si>
    <t>R$ 162,14</t>
  </si>
  <si>
    <t>R$ 175,29</t>
  </si>
  <si>
    <t>R$ 269,415.00</t>
  </si>
  <si>
    <t>R$ 205,84</t>
  </si>
  <si>
    <t>R$ 55,77</t>
  </si>
  <si>
    <t>R$ 580,87</t>
  </si>
  <si>
    <t>R$1071.96</t>
  </si>
  <si>
    <t>R$670.44</t>
  </si>
  <si>
    <t>R$132.62</t>
  </si>
  <si>
    <t>R$ 415,62</t>
  </si>
  <si>
    <t>R$ 551,07</t>
  </si>
  <si>
    <t>R$ 172,11</t>
  </si>
  <si>
    <t>R$ 876,36</t>
  </si>
  <si>
    <t>R$ 402,34</t>
  </si>
  <si>
    <t>R$ 642,00</t>
  </si>
  <si>
    <t>R$220.79</t>
  </si>
  <si>
    <t>R$ 292,93</t>
  </si>
  <si>
    <t>R$ 189,16</t>
  </si>
  <si>
    <t>R$ 301,73</t>
  </si>
  <si>
    <t>R$ 802,51</t>
  </si>
  <si>
    <t>R$780.33</t>
  </si>
  <si>
    <t>R$144.61</t>
  </si>
  <si>
    <t>R$170.86</t>
  </si>
  <si>
    <t>R$ 538,52</t>
  </si>
  <si>
    <t>R$457.68</t>
  </si>
  <si>
    <t>R$667.44</t>
  </si>
  <si>
    <t>R$ 84,15</t>
  </si>
  <si>
    <t>R$ 522,69</t>
  </si>
  <si>
    <t>R$291.33</t>
  </si>
  <si>
    <t>R$ 1.138,49</t>
  </si>
  <si>
    <t>R$509.64</t>
  </si>
  <si>
    <t>R$ 155,79</t>
  </si>
  <si>
    <t>R$ 361,03</t>
  </si>
  <si>
    <t>R$337.94</t>
  </si>
  <si>
    <t>R$ 562,76</t>
  </si>
  <si>
    <t>R$ 244,55</t>
  </si>
  <si>
    <t>R$ 1.480,47</t>
  </si>
  <si>
    <t>R$ 252,87</t>
  </si>
  <si>
    <t>R$525.6</t>
  </si>
  <si>
    <t>R$ 173,10</t>
  </si>
  <si>
    <t>R$ 105,97</t>
  </si>
  <si>
    <t>R$300.37</t>
  </si>
  <si>
    <t>R$ 902,43</t>
  </si>
  <si>
    <t>R$ 173,53</t>
  </si>
  <si>
    <t>R$ 504,13</t>
  </si>
  <si>
    <t>R$ 404,43</t>
  </si>
  <si>
    <t>R$1140.3</t>
  </si>
  <si>
    <t>R$ 476,12</t>
  </si>
  <si>
    <t>R$645.3</t>
  </si>
  <si>
    <t>R$ 965,07</t>
  </si>
  <si>
    <t>R$ 265,56</t>
  </si>
  <si>
    <t>R$512.92</t>
  </si>
  <si>
    <t>R$ 502,44</t>
  </si>
  <si>
    <t>-R$ 103,480.00</t>
  </si>
  <si>
    <t>R$ 420,90</t>
  </si>
  <si>
    <t>R$466.52</t>
  </si>
  <si>
    <t>R$ 53,07</t>
  </si>
  <si>
    <t>R$ 951,43</t>
  </si>
  <si>
    <t>R$114.31</t>
  </si>
  <si>
    <t>R$ 593,01</t>
  </si>
  <si>
    <t>R$195.85</t>
  </si>
  <si>
    <t>R$ 148,78</t>
  </si>
  <si>
    <t>R$558.66</t>
  </si>
  <si>
    <t>R$523.31</t>
  </si>
  <si>
    <t>R$ 116,31</t>
  </si>
  <si>
    <t>R$ 452,39</t>
  </si>
  <si>
    <t>R$ 59,75</t>
  </si>
  <si>
    <t>R$ 502,52</t>
  </si>
  <si>
    <t>R$ 669,30</t>
  </si>
  <si>
    <t>R$ 333,76</t>
  </si>
  <si>
    <t>R$ 1.046,86</t>
  </si>
  <si>
    <t>-R$ 237,265.00</t>
  </si>
  <si>
    <t>R$660.64</t>
  </si>
  <si>
    <t>R$898.25</t>
  </si>
  <si>
    <t>R$202.09</t>
  </si>
  <si>
    <t>R$379.16</t>
  </si>
  <si>
    <t>R$ 387,57</t>
  </si>
  <si>
    <t>R$ 510,25</t>
  </si>
  <si>
    <t>R$577.65</t>
  </si>
  <si>
    <t>R$ 126,69</t>
  </si>
  <si>
    <t>R$ 202,30</t>
  </si>
  <si>
    <t>R$ 347,44</t>
  </si>
  <si>
    <t>R$ 237,38</t>
  </si>
  <si>
    <t>R$ 806,14</t>
  </si>
  <si>
    <t>R$182.85</t>
  </si>
  <si>
    <t>R$ 327,27</t>
  </si>
  <si>
    <t>R$ 769,32</t>
  </si>
  <si>
    <t>R$ 623,34</t>
  </si>
  <si>
    <t>R$ 60,95</t>
  </si>
  <si>
    <t>R$ 735,67</t>
  </si>
  <si>
    <t>R$923.51</t>
  </si>
  <si>
    <t>R$ 128,26</t>
  </si>
  <si>
    <t>R$ 1.003,74</t>
  </si>
  <si>
    <t>R$ 124,69</t>
  </si>
  <si>
    <t>R$ 222,56</t>
  </si>
  <si>
    <t>R$479.43</t>
  </si>
  <si>
    <t>R$ 209,44</t>
  </si>
  <si>
    <t>R$ 479,53</t>
  </si>
  <si>
    <t>R$542.04</t>
  </si>
  <si>
    <t>R$283.48</t>
  </si>
  <si>
    <t>R$ 594,83</t>
  </si>
  <si>
    <t>R$ 166,27</t>
  </si>
  <si>
    <t>R$1467.88</t>
  </si>
  <si>
    <t>R$ 200,75</t>
  </si>
  <si>
    <t>R$279.78</t>
  </si>
  <si>
    <t>R$ 792,07</t>
  </si>
  <si>
    <t>R$ 531,82</t>
  </si>
  <si>
    <t>R$386.4</t>
  </si>
  <si>
    <t>R$ 465,82</t>
  </si>
  <si>
    <t>R$350.72</t>
  </si>
  <si>
    <t>R$668.79</t>
  </si>
  <si>
    <t>R$ 489,30</t>
  </si>
  <si>
    <t>R$ 688,86</t>
  </si>
  <si>
    <t>R$ 483,86</t>
  </si>
  <si>
    <t>R$302.24</t>
  </si>
  <si>
    <t>R$466.14</t>
  </si>
  <si>
    <t>R$ 318,03</t>
  </si>
  <si>
    <t>R$505.31</t>
  </si>
  <si>
    <t>R$ 871,93</t>
  </si>
  <si>
    <t>R$ 413,25</t>
  </si>
  <si>
    <t>R$52.32</t>
  </si>
  <si>
    <t>R$419.36</t>
  </si>
  <si>
    <t>R$ 312,79</t>
  </si>
  <si>
    <t>R$238.35</t>
  </si>
  <si>
    <t>R$ 772,95</t>
  </si>
  <si>
    <t>R$ 175,87</t>
  </si>
  <si>
    <t>R$300.04</t>
  </si>
  <si>
    <t>R$ 544,42</t>
  </si>
  <si>
    <t>R$ 117,67</t>
  </si>
  <si>
    <t>R$ 345,43</t>
  </si>
  <si>
    <t>R$47.31</t>
  </si>
  <si>
    <t>R$577.45</t>
  </si>
  <si>
    <t>R$ 268,01</t>
  </si>
  <si>
    <t>R$ 51,32</t>
  </si>
  <si>
    <t>R$ 567,64</t>
  </si>
  <si>
    <t>R$ 47,07</t>
  </si>
  <si>
    <t>R$ 585,64</t>
  </si>
  <si>
    <t>R$ 634,95</t>
  </si>
  <si>
    <t>R$ 1.016,69</t>
  </si>
  <si>
    <t>R$346.27</t>
  </si>
  <si>
    <t>R$ 322,03</t>
  </si>
  <si>
    <t>Rótulos de Linha</t>
  </si>
  <si>
    <t>Total Geral</t>
  </si>
  <si>
    <t>Região</t>
  </si>
  <si>
    <t>Rótulos de Coluna</t>
  </si>
  <si>
    <t>Status do Pagamento</t>
  </si>
  <si>
    <t>Status do Pagamento Por Região</t>
  </si>
  <si>
    <t>Soma de Valor_Transacao</t>
  </si>
  <si>
    <t>Média de Valor_Transacao</t>
  </si>
  <si>
    <t>Média de Valor</t>
  </si>
  <si>
    <t>Soma de Valor</t>
  </si>
  <si>
    <t>Score de  Crédito</t>
  </si>
  <si>
    <t>Soma de ID_Transacao</t>
  </si>
  <si>
    <t>Dashboard de Transações Bancárias — Análise de Inadimplência</t>
  </si>
  <si>
    <t>Base tratada em Power Query · 2.124 transações válidas após limpeza</t>
  </si>
  <si>
    <t>Total de Transações</t>
  </si>
  <si>
    <t>Valor Total (R$)</t>
  </si>
  <si>
    <t>Taxa de Inadimplência</t>
  </si>
  <si>
    <t>Score de Crédito Médio</t>
  </si>
  <si>
    <t>Status de Pagamento por Região</t>
  </si>
  <si>
    <t>Score de Crédito Médio por Status</t>
  </si>
  <si>
    <t>Principais achados: (1) Região Norte concentra a maior taxa de inadimplência; Sudeste tem a maior taxa de atraso. (2) Categoria Alimentação tem o maior ticket médio de risco entre transações inadimplentes. (3) O Score de Crédito atual mostra baixo poder preditivo sobre o comportamento de pagamento — diferença de apenas ~30 pontos entre grupos. (4) Internet Banking tem a menor taxa de atraso, porém a maior taxa de inadimplência, sugerindo falha na cobrança preventiva nesse canal.</t>
  </si>
  <si>
    <t xml:space="preserve">                                                                                      Ticket Médio por Categoria (Inadimplentes)</t>
  </si>
  <si>
    <t xml:space="preserve">                                                                              Status de Pagamento por 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</si>
</sst>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6" formatCode="0.0%"/>
    <numFmt numFmtId="169" formatCode="&quot;R$ &quot;#,##0"/>
    <numFmt numFmtId="170" formatCode="0.0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1F3864"/>
      <name val="Arial"/>
      <family val="2"/>
    </font>
    <font>
      <i/>
      <sz val="10"/>
      <color rgb="FF595959"/>
      <name val="Arial"/>
      <family val="2"/>
    </font>
    <font>
      <sz val="10"/>
      <color rgb="FFFFFFFF"/>
      <name val="Arial"/>
      <family val="2"/>
    </font>
    <font>
      <b/>
      <sz val="22"/>
      <color rgb="FFFFFFFF"/>
      <name val="Arial"/>
      <family val="2"/>
    </font>
    <font>
      <b/>
      <sz val="12"/>
      <color rgb="FF1F3864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00B0F0"/>
        <bgColor theme="4" tint="0.79998168889431442"/>
      </patternFill>
    </fill>
    <fill>
      <patternFill patternType="solid">
        <fgColor rgb="FF1F3864"/>
        <bgColor rgb="FF2E5395"/>
      </patternFill>
    </fill>
    <fill>
      <patternFill patternType="solid">
        <fgColor rgb="FF2E5395"/>
        <bgColor rgb="FF1F3864"/>
      </patternFill>
    </fill>
    <fill>
      <patternFill patternType="solid">
        <fgColor rgb="FFC00000"/>
        <bgColor rgb="FF800000"/>
      </patternFill>
    </fill>
    <fill>
      <patternFill patternType="solid">
        <fgColor rgb="FF2E7D32"/>
        <bgColor rgb="FF008000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/>
    <xf numFmtId="10" fontId="0" fillId="0" borderId="0" xfId="0" applyNumberFormat="1"/>
    <xf numFmtId="0" fontId="2" fillId="2" borderId="1" xfId="0" applyFont="1" applyFill="1" applyBorder="1"/>
    <xf numFmtId="0" fontId="2" fillId="0" borderId="1" xfId="0" applyFont="1" applyBorder="1" applyAlignment="1">
      <alignment horizontal="left"/>
    </xf>
    <xf numFmtId="10" fontId="2" fillId="5" borderId="1" xfId="0" applyNumberFormat="1" applyFont="1" applyFill="1" applyBorder="1"/>
    <xf numFmtId="10" fontId="2" fillId="3" borderId="1" xfId="0" applyNumberFormat="1" applyFont="1" applyFill="1" applyBorder="1"/>
    <xf numFmtId="10" fontId="2" fillId="4" borderId="1" xfId="0" applyNumberFormat="1" applyFont="1" applyFill="1" applyBorder="1"/>
    <xf numFmtId="10" fontId="2" fillId="6" borderId="1" xfId="0" applyNumberFormat="1" applyFont="1" applyFill="1" applyBorder="1"/>
    <xf numFmtId="0" fontId="2" fillId="2" borderId="2" xfId="0" applyFont="1" applyFill="1" applyBorder="1" applyAlignment="1">
      <alignment horizontal="left"/>
    </xf>
    <xf numFmtId="10" fontId="2" fillId="5" borderId="2" xfId="0" applyNumberFormat="1" applyFont="1" applyFill="1" applyBorder="1"/>
    <xf numFmtId="10" fontId="2" fillId="3" borderId="2" xfId="0" applyNumberFormat="1" applyFont="1" applyFill="1" applyBorder="1"/>
    <xf numFmtId="10" fontId="2" fillId="4" borderId="2" xfId="0" applyNumberFormat="1" applyFont="1" applyFill="1" applyBorder="1"/>
    <xf numFmtId="10" fontId="2" fillId="6" borderId="2" xfId="0" applyNumberFormat="1" applyFont="1" applyFill="1" applyBorder="1"/>
    <xf numFmtId="0" fontId="2" fillId="2" borderId="0" xfId="0" applyFont="1" applyFill="1" applyBorder="1"/>
    <xf numFmtId="10" fontId="2" fillId="7" borderId="1" xfId="0" applyNumberFormat="1" applyFont="1" applyFill="1" applyBorder="1"/>
    <xf numFmtId="44" fontId="0" fillId="0" borderId="0" xfId="0" applyNumberFormat="1"/>
    <xf numFmtId="44" fontId="0" fillId="8" borderId="0" xfId="0" applyNumberFormat="1" applyFill="1"/>
    <xf numFmtId="44" fontId="0" fillId="9" borderId="0" xfId="0" applyNumberFormat="1" applyFill="1"/>
    <xf numFmtId="44" fontId="2" fillId="2" borderId="1" xfId="0" applyNumberFormat="1" applyFont="1" applyFill="1" applyBorder="1"/>
    <xf numFmtId="44" fontId="2" fillId="2" borderId="2" xfId="0" applyNumberFormat="1" applyFont="1" applyFill="1" applyBorder="1"/>
    <xf numFmtId="0" fontId="0" fillId="8" borderId="0" xfId="0" applyFill="1"/>
    <xf numFmtId="0" fontId="2" fillId="10" borderId="0" xfId="0" applyFont="1" applyFill="1"/>
    <xf numFmtId="0" fontId="2" fillId="10" borderId="1" xfId="0" applyFont="1" applyFill="1" applyBorder="1"/>
    <xf numFmtId="0" fontId="0" fillId="8" borderId="0" xfId="0" applyFill="1" applyAlignment="1">
      <alignment horizontal="left"/>
    </xf>
    <xf numFmtId="0" fontId="2" fillId="10" borderId="2" xfId="0" applyFont="1" applyFill="1" applyBorder="1" applyAlignment="1">
      <alignment horizontal="left"/>
    </xf>
    <xf numFmtId="44" fontId="2" fillId="10" borderId="2" xfId="0" applyNumberFormat="1" applyFont="1" applyFill="1" applyBorder="1"/>
    <xf numFmtId="0" fontId="1" fillId="8" borderId="0" xfId="0" applyFont="1" applyFill="1"/>
    <xf numFmtId="0" fontId="3" fillId="10" borderId="0" xfId="0" applyFont="1" applyFill="1"/>
    <xf numFmtId="44" fontId="3" fillId="10" borderId="1" xfId="0" applyNumberFormat="1" applyFont="1" applyFill="1" applyBorder="1"/>
    <xf numFmtId="44" fontId="1" fillId="8" borderId="0" xfId="0" applyNumberFormat="1" applyFont="1" applyFill="1"/>
    <xf numFmtId="0" fontId="2" fillId="11" borderId="1" xfId="0" applyFont="1" applyFill="1" applyBorder="1"/>
    <xf numFmtId="44" fontId="2" fillId="11" borderId="2" xfId="0" applyNumberFormat="1" applyFont="1" applyFill="1" applyBorder="1"/>
    <xf numFmtId="44" fontId="2" fillId="12" borderId="1" xfId="0" applyNumberFormat="1" applyFont="1" applyFill="1" applyBorder="1"/>
    <xf numFmtId="44" fontId="0" fillId="5" borderId="0" xfId="0" applyNumberFormat="1" applyFill="1"/>
    <xf numFmtId="44" fontId="2" fillId="12" borderId="2" xfId="0" applyNumberFormat="1" applyFont="1" applyFill="1" applyBorder="1"/>
    <xf numFmtId="0" fontId="2" fillId="13" borderId="1" xfId="0" applyFont="1" applyFill="1" applyBorder="1"/>
    <xf numFmtId="44" fontId="0" fillId="4" borderId="0" xfId="0" applyNumberFormat="1" applyFill="1"/>
    <xf numFmtId="44" fontId="2" fillId="13" borderId="2" xfId="0" applyNumberFormat="1" applyFont="1" applyFill="1" applyBorder="1"/>
    <xf numFmtId="2" fontId="0" fillId="0" borderId="0" xfId="0" applyNumberFormat="1"/>
    <xf numFmtId="10" fontId="2" fillId="2" borderId="2" xfId="0" applyNumberFormat="1" applyFont="1" applyFill="1" applyBorder="1"/>
    <xf numFmtId="0" fontId="4" fillId="0" borderId="0" xfId="0" applyFont="1"/>
    <xf numFmtId="0" fontId="5" fillId="0" borderId="0" xfId="0" applyFont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6" fillId="14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6" fillId="16" borderId="0" xfId="0" applyFont="1" applyFill="1" applyAlignment="1">
      <alignment horizontal="center"/>
    </xf>
    <xf numFmtId="0" fontId="6" fillId="17" borderId="0" xfId="0" applyFont="1" applyFill="1" applyAlignment="1">
      <alignment horizontal="center"/>
    </xf>
    <xf numFmtId="3" fontId="7" fillId="14" borderId="0" xfId="0" applyNumberFormat="1" applyFont="1" applyFill="1" applyAlignment="1">
      <alignment horizontal="center" vertical="center"/>
    </xf>
    <xf numFmtId="169" fontId="7" fillId="15" borderId="0" xfId="0" applyNumberFormat="1" applyFont="1" applyFill="1" applyAlignment="1">
      <alignment horizontal="center" vertical="center"/>
    </xf>
    <xf numFmtId="166" fontId="7" fillId="16" borderId="0" xfId="0" applyNumberFormat="1" applyFont="1" applyFill="1" applyAlignment="1">
      <alignment horizontal="center" vertical="center"/>
    </xf>
    <xf numFmtId="170" fontId="7" fillId="17" borderId="0" xfId="0" applyNumberFormat="1" applyFont="1" applyFill="1" applyAlignment="1">
      <alignment horizontal="center" vertical="center"/>
    </xf>
    <xf numFmtId="0" fontId="8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23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mruColors>
      <color rgb="FFB3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Taxa de Status por Região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[1]Analises!$B$3</c:f>
              <c:strCache>
                <c:ptCount val="1"/>
                <c:pt idx="0">
                  <c:v>ATRASADO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[1]Analises!$A$4:$A$8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[1]Analises!$B$4:$B$8</c:f>
              <c:numCache>
                <c:formatCode>General</c:formatCode>
                <c:ptCount val="5"/>
                <c:pt idx="0">
                  <c:v>0.15536105032822758</c:v>
                </c:pt>
                <c:pt idx="1">
                  <c:v>0.15025906735751296</c:v>
                </c:pt>
                <c:pt idx="2">
                  <c:v>0.15365853658536585</c:v>
                </c:pt>
                <c:pt idx="3">
                  <c:v>0.17794486215538846</c:v>
                </c:pt>
                <c:pt idx="4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B-4AD3-AF87-F2F124CF659E}"/>
            </c:ext>
          </c:extLst>
        </c:ser>
        <c:ser>
          <c:idx val="1"/>
          <c:order val="1"/>
          <c:tx>
            <c:strRef>
              <c:f>[1]Analises!$C$3</c:f>
              <c:strCache>
                <c:ptCount val="1"/>
                <c:pt idx="0">
                  <c:v>INADIMPLENTE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[1]Analises!$A$4:$A$8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[1]Analises!$C$4:$C$8</c:f>
              <c:numCache>
                <c:formatCode>General</c:formatCode>
                <c:ptCount val="5"/>
                <c:pt idx="0">
                  <c:v>9.1903719912472648E-2</c:v>
                </c:pt>
                <c:pt idx="1">
                  <c:v>8.549222797927461E-2</c:v>
                </c:pt>
                <c:pt idx="2">
                  <c:v>0.12682926829268293</c:v>
                </c:pt>
                <c:pt idx="3">
                  <c:v>0.10025062656641603</c:v>
                </c:pt>
                <c:pt idx="4">
                  <c:v>7.5980392156862739E-2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3B-4AD3-AF87-F2F124CF659E}"/>
            </c:ext>
          </c:extLst>
        </c:ser>
        <c:ser>
          <c:idx val="2"/>
          <c:order val="2"/>
          <c:tx>
            <c:strRef>
              <c:f>[1]Analises!$D$3</c:f>
              <c:strCache>
                <c:ptCount val="1"/>
                <c:pt idx="0">
                  <c:v>PAGO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[1]Analises!$A$4:$A$8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[1]Analises!$D$4:$D$8</c:f>
              <c:numCache>
                <c:formatCode>General</c:formatCode>
                <c:ptCount val="5"/>
                <c:pt idx="0">
                  <c:v>0.56017505470459517</c:v>
                </c:pt>
                <c:pt idx="1">
                  <c:v>0.54922279792746109</c:v>
                </c:pt>
                <c:pt idx="2">
                  <c:v>0.50975609756097562</c:v>
                </c:pt>
                <c:pt idx="3">
                  <c:v>0.50375939849624063</c:v>
                </c:pt>
                <c:pt idx="4">
                  <c:v>0.57352941176470584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3B-4AD3-AF87-F2F124CF659E}"/>
            </c:ext>
          </c:extLst>
        </c:ser>
        <c:ser>
          <c:idx val="3"/>
          <c:order val="3"/>
          <c:tx>
            <c:strRef>
              <c:f>[1]Analises!$E$3</c:f>
              <c:strCache>
                <c:ptCount val="1"/>
                <c:pt idx="0">
                  <c:v>PENDENTE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[1]Analises!$A$4:$A$8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[1]Analises!$E$4:$E$8</c:f>
              <c:numCache>
                <c:formatCode>General</c:formatCode>
                <c:ptCount val="5"/>
                <c:pt idx="0">
                  <c:v>0.1925601750547046</c:v>
                </c:pt>
                <c:pt idx="1">
                  <c:v>0.21502590673575128</c:v>
                </c:pt>
                <c:pt idx="2">
                  <c:v>0.2097560975609756</c:v>
                </c:pt>
                <c:pt idx="3">
                  <c:v>0.21804511278195488</c:v>
                </c:pt>
                <c:pt idx="4">
                  <c:v>0.18382352941176472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3B-4AD3-AF87-F2F124CF6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582516"/>
        <c:axId val="72776207"/>
      </c:barChart>
      <c:catAx>
        <c:axId val="345825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2776207"/>
        <c:crosses val="autoZero"/>
        <c:auto val="1"/>
        <c:lblAlgn val="ctr"/>
        <c:lblOffset val="100"/>
        <c:noMultiLvlLbl val="0"/>
      </c:catAx>
      <c:valAx>
        <c:axId val="727762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% do 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45825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Ticket Médio Inadimplente por Categoria (R$)</a:t>
            </a:r>
          </a:p>
        </c:rich>
      </c:tx>
      <c:layout>
        <c:manualLayout>
          <c:xMode val="edge"/>
          <c:yMode val="edge"/>
          <c:x val="0.12163051236694286"/>
          <c:y val="4.3960075943627261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[1]Analises!$D$14</c:f>
              <c:strCache>
                <c:ptCount val="1"/>
                <c:pt idx="0">
                  <c:v>PAGO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[1]Analises!$A$15:$A$21</c:f>
              <c:strCache>
                <c:ptCount val="7"/>
                <c:pt idx="0">
                  <c:v>ALIMENTAÇÃO</c:v>
                </c:pt>
                <c:pt idx="1">
                  <c:v>EDUCAÇÃO</c:v>
                </c:pt>
                <c:pt idx="2">
                  <c:v>LAZER</c:v>
                </c:pt>
                <c:pt idx="3">
                  <c:v>MORADIA</c:v>
                </c:pt>
                <c:pt idx="4">
                  <c:v>SAÚDE</c:v>
                </c:pt>
                <c:pt idx="5">
                  <c:v>TRANSPORTE</c:v>
                </c:pt>
                <c:pt idx="6">
                  <c:v>VAREJO</c:v>
                </c:pt>
              </c:strCache>
            </c:strRef>
          </c:cat>
          <c:val>
            <c:numRef>
              <c:f>[1]Analises!$D$15:$D$21</c:f>
              <c:numCache>
                <c:formatCode>General</c:formatCode>
                <c:ptCount val="7"/>
                <c:pt idx="0">
                  <c:v>389.71790540540542</c:v>
                </c:pt>
                <c:pt idx="1">
                  <c:v>410.68661290322581</c:v>
                </c:pt>
                <c:pt idx="2">
                  <c:v>386.23791946308711</c:v>
                </c:pt>
                <c:pt idx="3">
                  <c:v>377.83445402298855</c:v>
                </c:pt>
                <c:pt idx="4">
                  <c:v>433.76108552631587</c:v>
                </c:pt>
                <c:pt idx="5">
                  <c:v>397.18245283018877</c:v>
                </c:pt>
                <c:pt idx="6">
                  <c:v>367.99910179640733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27-491C-927E-B15125FB4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730140"/>
        <c:axId val="31328602"/>
      </c:barChart>
      <c:catAx>
        <c:axId val="897301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1328602"/>
        <c:crosses val="autoZero"/>
        <c:auto val="1"/>
        <c:lblAlgn val="ctr"/>
        <c:lblOffset val="100"/>
        <c:noMultiLvlLbl val="0"/>
      </c:catAx>
      <c:valAx>
        <c:axId val="3132860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97301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Score de Crédito Médio por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703957810311632E-2"/>
          <c:y val="0.20695330713035892"/>
          <c:w val="0.8777966656850138"/>
          <c:h val="0.70489947161373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[1]Analises!$B$27</c:f>
              <c:strCache>
                <c:ptCount val="1"/>
                <c:pt idx="0">
                  <c:v>Score Médio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[1]Analises!$A$28:$A$31</c:f>
              <c:strCache>
                <c:ptCount val="4"/>
                <c:pt idx="0">
                  <c:v>ATRASADO</c:v>
                </c:pt>
                <c:pt idx="1">
                  <c:v>INADIMPLENTE</c:v>
                </c:pt>
                <c:pt idx="2">
                  <c:v>PAGO</c:v>
                </c:pt>
                <c:pt idx="3">
                  <c:v>PENDENTE</c:v>
                </c:pt>
              </c:strCache>
            </c:strRef>
          </c:cat>
          <c:val>
            <c:numRef>
              <c:f>[1]Analises!$B$28:$B$31</c:f>
              <c:numCache>
                <c:formatCode>General</c:formatCode>
                <c:ptCount val="4"/>
                <c:pt idx="0">
                  <c:v>600.94345238095241</c:v>
                </c:pt>
                <c:pt idx="1">
                  <c:v>568.12807881773404</c:v>
                </c:pt>
                <c:pt idx="2">
                  <c:v>584.80782608695654</c:v>
                </c:pt>
                <c:pt idx="3">
                  <c:v>592.31494252873563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9-4159-B370-9780AA924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83151"/>
        <c:axId val="19240968"/>
      </c:barChart>
      <c:catAx>
        <c:axId val="4938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9240968"/>
        <c:crosses val="autoZero"/>
        <c:auto val="1"/>
        <c:lblAlgn val="ctr"/>
        <c:lblOffset val="100"/>
        <c:noMultiLvlLbl val="0"/>
      </c:catAx>
      <c:valAx>
        <c:axId val="192409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93831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Taxa de Status por Canal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31793284300034"/>
          <c:y val="0.10144912486565351"/>
          <c:w val="0.72324717593023613"/>
          <c:h val="0.806007646284075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[1]Analises!$B$36</c:f>
              <c:strCache>
                <c:ptCount val="1"/>
                <c:pt idx="0">
                  <c:v>ATRASADO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[1]Analises!$A$37:$A$40</c:f>
              <c:strCache>
                <c:ptCount val="4"/>
                <c:pt idx="0">
                  <c:v>Agência</c:v>
                </c:pt>
                <c:pt idx="1">
                  <c:v>App</c:v>
                </c:pt>
                <c:pt idx="2">
                  <c:v>Caixa Eletrônico</c:v>
                </c:pt>
                <c:pt idx="3">
                  <c:v>Internet Banking</c:v>
                </c:pt>
              </c:strCache>
            </c:strRef>
          </c:cat>
          <c:val>
            <c:numRef>
              <c:f>[1]Analises!$B$37:$B$40</c:f>
              <c:numCache>
                <c:formatCode>General</c:formatCode>
                <c:ptCount val="4"/>
                <c:pt idx="0">
                  <c:v>0.17434869739478959</c:v>
                </c:pt>
                <c:pt idx="1">
                  <c:v>0.14229249011857709</c:v>
                </c:pt>
                <c:pt idx="2">
                  <c:v>0.15579710144927536</c:v>
                </c:pt>
                <c:pt idx="3">
                  <c:v>0.15839694656488548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6-4817-A42C-9FF3B7B97212}"/>
            </c:ext>
          </c:extLst>
        </c:ser>
        <c:ser>
          <c:idx val="1"/>
          <c:order val="1"/>
          <c:tx>
            <c:strRef>
              <c:f>[1]Analises!$C$36</c:f>
              <c:strCache>
                <c:ptCount val="1"/>
                <c:pt idx="0">
                  <c:v>INADIMPLENTE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[1]Analises!$A$37:$A$40</c:f>
              <c:strCache>
                <c:ptCount val="4"/>
                <c:pt idx="0">
                  <c:v>Agência</c:v>
                </c:pt>
                <c:pt idx="1">
                  <c:v>App</c:v>
                </c:pt>
                <c:pt idx="2">
                  <c:v>Caixa Eletrônico</c:v>
                </c:pt>
                <c:pt idx="3">
                  <c:v>Internet Banking</c:v>
                </c:pt>
              </c:strCache>
            </c:strRef>
          </c:cat>
          <c:val>
            <c:numRef>
              <c:f>[1]Analises!$C$37:$C$40</c:f>
              <c:numCache>
                <c:formatCode>General</c:formatCode>
                <c:ptCount val="4"/>
                <c:pt idx="0">
                  <c:v>8.4168336673346694E-2</c:v>
                </c:pt>
                <c:pt idx="1">
                  <c:v>0.1067193675889328</c:v>
                </c:pt>
                <c:pt idx="2">
                  <c:v>8.5144927536231887E-2</c:v>
                </c:pt>
                <c:pt idx="3">
                  <c:v>0.11068702290076336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D6-4817-A42C-9FF3B7B97212}"/>
            </c:ext>
          </c:extLst>
        </c:ser>
        <c:ser>
          <c:idx val="2"/>
          <c:order val="2"/>
          <c:tx>
            <c:strRef>
              <c:f>[1]Analises!$D$36</c:f>
              <c:strCache>
                <c:ptCount val="1"/>
                <c:pt idx="0">
                  <c:v>PAGO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[1]Analises!$A$37:$A$40</c:f>
              <c:strCache>
                <c:ptCount val="4"/>
                <c:pt idx="0">
                  <c:v>Agência</c:v>
                </c:pt>
                <c:pt idx="1">
                  <c:v>App</c:v>
                </c:pt>
                <c:pt idx="2">
                  <c:v>Caixa Eletrônico</c:v>
                </c:pt>
                <c:pt idx="3">
                  <c:v>Internet Banking</c:v>
                </c:pt>
              </c:strCache>
            </c:strRef>
          </c:cat>
          <c:val>
            <c:numRef>
              <c:f>[1]Analises!$D$37:$D$40</c:f>
              <c:numCache>
                <c:formatCode>General</c:formatCode>
                <c:ptCount val="4"/>
                <c:pt idx="0">
                  <c:v>0.5410821643286573</c:v>
                </c:pt>
                <c:pt idx="1">
                  <c:v>0.55533596837944665</c:v>
                </c:pt>
                <c:pt idx="2">
                  <c:v>0.54166666666666663</c:v>
                </c:pt>
                <c:pt idx="3">
                  <c:v>0.52862595419847325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D6-4817-A42C-9FF3B7B97212}"/>
            </c:ext>
          </c:extLst>
        </c:ser>
        <c:ser>
          <c:idx val="3"/>
          <c:order val="3"/>
          <c:tx>
            <c:strRef>
              <c:f>[1]Analises!$E$36</c:f>
              <c:strCache>
                <c:ptCount val="1"/>
                <c:pt idx="0">
                  <c:v>PENDENTE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[1]Analises!$A$37:$A$40</c:f>
              <c:strCache>
                <c:ptCount val="4"/>
                <c:pt idx="0">
                  <c:v>Agência</c:v>
                </c:pt>
                <c:pt idx="1">
                  <c:v>App</c:v>
                </c:pt>
                <c:pt idx="2">
                  <c:v>Caixa Eletrônico</c:v>
                </c:pt>
                <c:pt idx="3">
                  <c:v>Internet Banking</c:v>
                </c:pt>
              </c:strCache>
            </c:strRef>
          </c:cat>
          <c:val>
            <c:numRef>
              <c:f>[1]Analises!$E$37:$E$40</c:f>
              <c:numCache>
                <c:formatCode>General</c:formatCode>
                <c:ptCount val="4"/>
                <c:pt idx="0">
                  <c:v>0.20040080160320642</c:v>
                </c:pt>
                <c:pt idx="1">
                  <c:v>0.19565217391304349</c:v>
                </c:pt>
                <c:pt idx="2">
                  <c:v>0.21739130434782608</c:v>
                </c:pt>
                <c:pt idx="3">
                  <c:v>0.20229007633587787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D6-4817-A42C-9FF3B7B97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541358"/>
        <c:axId val="91186621"/>
      </c:barChart>
      <c:catAx>
        <c:axId val="485413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1186621"/>
        <c:crosses val="autoZero"/>
        <c:auto val="1"/>
        <c:lblAlgn val="ctr"/>
        <c:lblOffset val="100"/>
        <c:noMultiLvlLbl val="0"/>
      </c:catAx>
      <c:valAx>
        <c:axId val="911866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85413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10</xdr:row>
      <xdr:rowOff>91635</xdr:rowOff>
    </xdr:from>
    <xdr:to>
      <xdr:col>8</xdr:col>
      <xdr:colOff>19935</xdr:colOff>
      <xdr:row>25</xdr:row>
      <xdr:rowOff>123120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35A553-A148-4AD2-932E-0468F6A17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447675</xdr:colOff>
      <xdr:row>10</xdr:row>
      <xdr:rowOff>110685</xdr:rowOff>
    </xdr:from>
    <xdr:to>
      <xdr:col>18</xdr:col>
      <xdr:colOff>116955</xdr:colOff>
      <xdr:row>25</xdr:row>
      <xdr:rowOff>142170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792608-74DB-4018-B3BD-5395A7F55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142875</xdr:colOff>
      <xdr:row>27</xdr:row>
      <xdr:rowOff>177360</xdr:rowOff>
    </xdr:from>
    <xdr:to>
      <xdr:col>8</xdr:col>
      <xdr:colOff>381000</xdr:colOff>
      <xdr:row>43</xdr:row>
      <xdr:rowOff>18345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E361B6-F103-4029-BA1C-2FAC9F7EA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152400</xdr:colOff>
      <xdr:row>27</xdr:row>
      <xdr:rowOff>139260</xdr:rowOff>
    </xdr:from>
    <xdr:to>
      <xdr:col>17</xdr:col>
      <xdr:colOff>431280</xdr:colOff>
      <xdr:row>42</xdr:row>
      <xdr:rowOff>170745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B3A084-02B2-4242-8F41-B60B2B2FC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371475</xdr:colOff>
      <xdr:row>3</xdr:row>
      <xdr:rowOff>85725</xdr:rowOff>
    </xdr:from>
    <xdr:to>
      <xdr:col>12</xdr:col>
      <xdr:colOff>981075</xdr:colOff>
      <xdr:row>8</xdr:row>
      <xdr:rowOff>76200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1943338-14F1-4BEE-9293-3AC7F09F8588}"/>
            </a:ext>
          </a:extLst>
        </xdr:cNvPr>
        <xdr:cNvSpPr txBox="1"/>
      </xdr:nvSpPr>
      <xdr:spPr>
        <a:xfrm>
          <a:off x="5029200" y="657225"/>
          <a:ext cx="8048625" cy="94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ctr"/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Ao analisar os status de pagamento, nota-se inicialmente que a </a:t>
          </a:r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Região Sudeste</a:t>
          </a:r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 apresenta a maior taxa de atraso (</a:t>
          </a:r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17,87%</a:t>
          </a:r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), indicando a maior probabilidade de postergação nas quitações até o momento. Em relação à inadimplência, a </a:t>
          </a:r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Região Norte</a:t>
          </a:r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 registra um índice elevado de </a:t>
          </a:r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12,56%</a:t>
          </a:r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, evidenciando um risco significativo de não pagamento. Por outro lado, a </a:t>
          </a:r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Região Sul</a:t>
          </a:r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 concentra a maior parcela de clientes adimplentes, com uma taxa de </a:t>
          </a:r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57,28%</a:t>
          </a:r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, o que demonstra forte pontualidade. Por fim, quanto aos pagamentos pendentes, a </a:t>
          </a:r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Região Nordeste</a:t>
          </a:r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 sobressai, refletindo uma maior lentidão na efetivação das cobranças.</a:t>
          </a:r>
        </a:p>
      </xdr:txBody>
    </xdr:sp>
    <xdr:clientData/>
  </xdr:twoCellAnchor>
  <xdr:twoCellAnchor>
    <xdr:from>
      <xdr:col>0</xdr:col>
      <xdr:colOff>76199</xdr:colOff>
      <xdr:row>27</xdr:row>
      <xdr:rowOff>123826</xdr:rowOff>
    </xdr:from>
    <xdr:to>
      <xdr:col>5</xdr:col>
      <xdr:colOff>9525</xdr:colOff>
      <xdr:row>32</xdr:row>
      <xdr:rowOff>28576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0303DF1-7C3D-CAE2-E1E0-1A1C33DFE808}"/>
            </a:ext>
          </a:extLst>
        </xdr:cNvPr>
        <xdr:cNvSpPr txBox="1"/>
      </xdr:nvSpPr>
      <xdr:spPr>
        <a:xfrm>
          <a:off x="76199" y="5267326"/>
          <a:ext cx="5133976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Nota-se que o valor médio de inadimplência atinge seu patamar mais alto na categoria Alimentação (</a:t>
          </a:r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R$ 508,00</a:t>
          </a:r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), posicionando-se consideravelmente acima da média geral, que é de </a:t>
          </a:r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R$ 413,62</a:t>
          </a:r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. Em contrapartida, a menor taxa de inadimplência é registrada na categoria de Moradia.</a:t>
          </a:r>
        </a:p>
      </xdr:txBody>
    </xdr:sp>
    <xdr:clientData/>
  </xdr:twoCellAnchor>
  <xdr:twoCellAnchor>
    <xdr:from>
      <xdr:col>6</xdr:col>
      <xdr:colOff>38100</xdr:colOff>
      <xdr:row>27</xdr:row>
      <xdr:rowOff>57150</xdr:rowOff>
    </xdr:from>
    <xdr:to>
      <xdr:col>11</xdr:col>
      <xdr:colOff>47625</xdr:colOff>
      <xdr:row>33</xdr:row>
      <xdr:rowOff>123825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36D1044F-E8E0-199E-0895-232230404B87}"/>
            </a:ext>
          </a:extLst>
        </xdr:cNvPr>
        <xdr:cNvSpPr txBox="1"/>
      </xdr:nvSpPr>
      <xdr:spPr>
        <a:xfrm>
          <a:off x="5848350" y="5200650"/>
          <a:ext cx="5772150" cy="1209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Em relação à soma das transações, observamos um volume expressivo de R$ 66.233,23 na principal categoria de recebimentos, seguida por Educação com R$ 64.522,61, totalizando </a:t>
          </a:r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R$ 463.988,36</a:t>
          </a:r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 no montante geral de valores pagos. Quanto à inadimplência, o total é de </a:t>
          </a:r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R$ 85.205,66</a:t>
          </a:r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, o que demonstra uma diferença de </a:t>
          </a:r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R$ 378.782,70</a:t>
          </a:r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 a favor dos recebimentos realizados. Além disso, os pagamentos em atraso somam um valor de </a:t>
          </a:r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R$ 137.942,35</a:t>
          </a:r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, com a categoria Alimentação liderando os atrasos com o montante de R$ 23.364,66</a:t>
          </a:r>
        </a:p>
      </xdr:txBody>
    </xdr:sp>
    <xdr:clientData/>
  </xdr:twoCellAnchor>
  <xdr:twoCellAnchor>
    <xdr:from>
      <xdr:col>2</xdr:col>
      <xdr:colOff>333375</xdr:colOff>
      <xdr:row>38</xdr:row>
      <xdr:rowOff>0</xdr:rowOff>
    </xdr:from>
    <xdr:to>
      <xdr:col>6</xdr:col>
      <xdr:colOff>1685925</xdr:colOff>
      <xdr:row>44</xdr:row>
      <xdr:rowOff>38100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AE687482-87C4-F3E1-5332-EA1A12268F1D}"/>
            </a:ext>
          </a:extLst>
        </xdr:cNvPr>
        <xdr:cNvSpPr txBox="1"/>
      </xdr:nvSpPr>
      <xdr:spPr>
        <a:xfrm>
          <a:off x="3390900" y="7239000"/>
          <a:ext cx="4867275" cy="1181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Score médio geral da base: </a:t>
          </a:r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587,55 pontos.</a:t>
          </a:r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Atrasado</a:t>
          </a:r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 apresenta o maior score médio (600,54),</a:t>
          </a:r>
          <a:r>
            <a:rPr lang="pt-B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Inadimplente</a:t>
          </a:r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 tem o menor score médio (569,22), mas a diferença para os demais grupos é pequena (~30 pontos) </a:t>
          </a:r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Pago</a:t>
          </a:r>
          <a:r>
            <a:rPr lang="pt-BR" sz="1200">
              <a:latin typeface="Times New Roman" panose="02020603050405020304" pitchFamily="18" charset="0"/>
              <a:cs typeface="Times New Roman" panose="02020603050405020304" pitchFamily="18" charset="0"/>
            </a:rPr>
            <a:t> (585,12) fica muito próximo da média geral, sem diferenciação relevante.</a:t>
          </a:r>
        </a:p>
      </xdr:txBody>
    </xdr:sp>
    <xdr:clientData/>
  </xdr:twoCellAnchor>
  <xdr:twoCellAnchor>
    <xdr:from>
      <xdr:col>5</xdr:col>
      <xdr:colOff>600075</xdr:colOff>
      <xdr:row>48</xdr:row>
      <xdr:rowOff>28575</xdr:rowOff>
    </xdr:from>
    <xdr:to>
      <xdr:col>7</xdr:col>
      <xdr:colOff>923925</xdr:colOff>
      <xdr:row>51</xdr:row>
      <xdr:rowOff>123825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F3B78CEE-117E-E886-51F6-99F809178A37}"/>
            </a:ext>
          </a:extLst>
        </xdr:cNvPr>
        <xdr:cNvSpPr txBox="1"/>
      </xdr:nvSpPr>
      <xdr:spPr>
        <a:xfrm>
          <a:off x="6562725" y="9172575"/>
          <a:ext cx="266700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Essa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parte demonstrar os meios de pagamentos  realizados.</a:t>
          </a:r>
          <a:endParaRPr lang="pt-BR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hyan\Downloads\dashboard_transacoes.xlsx" TargetMode="External"/><Relationship Id="rId1" Type="http://schemas.openxmlformats.org/officeDocument/2006/relationships/externalLinkPath" Target="dashboard_transaco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Dados_Tratados"/>
      <sheetName val="Analises"/>
    </sheetNames>
    <sheetDataSet>
      <sheetData sheetId="0" refreshError="1"/>
      <sheetData sheetId="1"/>
      <sheetData sheetId="2">
        <row r="3">
          <cell r="B3" t="str">
            <v>ATRASADO</v>
          </cell>
          <cell r="C3" t="str">
            <v>INADIMPLENTE</v>
          </cell>
          <cell r="D3" t="str">
            <v>PAGO</v>
          </cell>
          <cell r="E3" t="str">
            <v>PENDENTE</v>
          </cell>
        </row>
        <row r="4">
          <cell r="A4" t="str">
            <v>Centro-Oeste</v>
          </cell>
          <cell r="B4">
            <v>0.15536105032822758</v>
          </cell>
          <cell r="C4">
            <v>9.1903719912472648E-2</v>
          </cell>
          <cell r="D4">
            <v>0.56017505470459517</v>
          </cell>
          <cell r="E4">
            <v>0.1925601750547046</v>
          </cell>
        </row>
        <row r="5">
          <cell r="A5" t="str">
            <v>Nordeste</v>
          </cell>
          <cell r="B5">
            <v>0.15025906735751296</v>
          </cell>
          <cell r="C5">
            <v>8.549222797927461E-2</v>
          </cell>
          <cell r="D5">
            <v>0.54922279792746109</v>
          </cell>
          <cell r="E5">
            <v>0.21502590673575128</v>
          </cell>
        </row>
        <row r="6">
          <cell r="A6" t="str">
            <v>Norte</v>
          </cell>
          <cell r="B6">
            <v>0.15365853658536585</v>
          </cell>
          <cell r="C6">
            <v>0.12682926829268293</v>
          </cell>
          <cell r="D6">
            <v>0.50975609756097562</v>
          </cell>
          <cell r="E6">
            <v>0.2097560975609756</v>
          </cell>
        </row>
        <row r="7">
          <cell r="A7" t="str">
            <v>Sudeste</v>
          </cell>
          <cell r="B7">
            <v>0.17794486215538846</v>
          </cell>
          <cell r="C7">
            <v>0.10025062656641603</v>
          </cell>
          <cell r="D7">
            <v>0.50375939849624063</v>
          </cell>
          <cell r="E7">
            <v>0.21804511278195488</v>
          </cell>
        </row>
        <row r="8">
          <cell r="A8" t="str">
            <v>Sul</v>
          </cell>
          <cell r="B8">
            <v>0.16666666666666666</v>
          </cell>
          <cell r="C8">
            <v>7.5980392156862739E-2</v>
          </cell>
          <cell r="D8">
            <v>0.57352941176470584</v>
          </cell>
          <cell r="E8">
            <v>0.18382352941176472</v>
          </cell>
        </row>
        <row r="14">
          <cell r="D14" t="str">
            <v>PAGO</v>
          </cell>
        </row>
        <row r="15">
          <cell r="A15" t="str">
            <v>ALIMENTAÇÃO</v>
          </cell>
          <cell r="D15">
            <v>389.71790540540542</v>
          </cell>
        </row>
        <row r="16">
          <cell r="A16" t="str">
            <v>EDUCAÇÃO</v>
          </cell>
          <cell r="D16">
            <v>410.68661290322581</v>
          </cell>
        </row>
        <row r="17">
          <cell r="A17" t="str">
            <v>LAZER</v>
          </cell>
          <cell r="D17">
            <v>386.23791946308711</v>
          </cell>
        </row>
        <row r="18">
          <cell r="A18" t="str">
            <v>MORADIA</v>
          </cell>
          <cell r="D18">
            <v>377.83445402298855</v>
          </cell>
        </row>
        <row r="19">
          <cell r="A19" t="str">
            <v>SAÚDE</v>
          </cell>
          <cell r="D19">
            <v>433.76108552631587</v>
          </cell>
        </row>
        <row r="20">
          <cell r="A20" t="str">
            <v>TRANSPORTE</v>
          </cell>
          <cell r="D20">
            <v>397.18245283018877</v>
          </cell>
        </row>
        <row r="21">
          <cell r="A21" t="str">
            <v>VAREJO</v>
          </cell>
          <cell r="D21">
            <v>367.99910179640733</v>
          </cell>
        </row>
        <row r="27">
          <cell r="B27" t="str">
            <v>Score Médio</v>
          </cell>
        </row>
        <row r="28">
          <cell r="A28" t="str">
            <v>ATRASADO</v>
          </cell>
          <cell r="B28">
            <v>600.94345238095241</v>
          </cell>
        </row>
        <row r="29">
          <cell r="A29" t="str">
            <v>INADIMPLENTE</v>
          </cell>
          <cell r="B29">
            <v>568.12807881773404</v>
          </cell>
        </row>
        <row r="30">
          <cell r="A30" t="str">
            <v>PAGO</v>
          </cell>
          <cell r="B30">
            <v>584.80782608695654</v>
          </cell>
        </row>
        <row r="31">
          <cell r="A31" t="str">
            <v>PENDENTE</v>
          </cell>
          <cell r="B31">
            <v>592.31494252873563</v>
          </cell>
        </row>
        <row r="36">
          <cell r="B36" t="str">
            <v>ATRASADO</v>
          </cell>
          <cell r="C36" t="str">
            <v>INADIMPLENTE</v>
          </cell>
          <cell r="D36" t="str">
            <v>PAGO</v>
          </cell>
          <cell r="E36" t="str">
            <v>PENDENTE</v>
          </cell>
        </row>
        <row r="37">
          <cell r="A37" t="str">
            <v>Agência</v>
          </cell>
          <cell r="B37">
            <v>0.17434869739478959</v>
          </cell>
          <cell r="C37">
            <v>8.4168336673346694E-2</v>
          </cell>
          <cell r="D37">
            <v>0.5410821643286573</v>
          </cell>
          <cell r="E37">
            <v>0.20040080160320642</v>
          </cell>
        </row>
        <row r="38">
          <cell r="A38" t="str">
            <v>App</v>
          </cell>
          <cell r="B38">
            <v>0.14229249011857709</v>
          </cell>
          <cell r="C38">
            <v>0.1067193675889328</v>
          </cell>
          <cell r="D38">
            <v>0.55533596837944665</v>
          </cell>
          <cell r="E38">
            <v>0.19565217391304349</v>
          </cell>
        </row>
        <row r="39">
          <cell r="A39" t="str">
            <v>Caixa Eletrônico</v>
          </cell>
          <cell r="B39">
            <v>0.15579710144927536</v>
          </cell>
          <cell r="C39">
            <v>8.5144927536231887E-2</v>
          </cell>
          <cell r="D39">
            <v>0.54166666666666663</v>
          </cell>
          <cell r="E39">
            <v>0.21739130434782608</v>
          </cell>
        </row>
        <row r="40">
          <cell r="A40" t="str">
            <v>Internet Banking</v>
          </cell>
          <cell r="B40">
            <v>0.15839694656488548</v>
          </cell>
          <cell r="C40">
            <v>0.11068702290076336</v>
          </cell>
          <cell r="D40">
            <v>0.52862595419847325</v>
          </cell>
          <cell r="E40">
            <v>0.20229007633587787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hyan Carvalho" refreshedDate="46232.84595787037" createdVersion="8" refreshedVersion="8" minRefreshableVersion="3" recordCount="2200" xr:uid="{DE9C974A-7E4E-4E34-A88F-F2DC829F00C5}">
  <cacheSource type="worksheet">
    <worksheetSource name="Dados_Brutos_treino"/>
  </cacheSource>
  <cacheFields count="12">
    <cacheField name="ID_Transacao" numFmtId="0">
      <sharedItems containsSemiMixedTypes="0" containsString="0" containsNumber="1" containsInteger="1" minValue="100001" maxValue="102200"/>
    </cacheField>
    <cacheField name="ID_Cliente" numFmtId="0">
      <sharedItems count="260">
        <s v="CLI-0007"/>
        <s v="CLI-0122"/>
        <s v="CLI-0086"/>
        <s v="CLI-0124"/>
        <s v="CLI-0105"/>
        <s v="CLI-0112"/>
        <s v="CLI-0140"/>
        <s v="CLI-0072"/>
        <s v="CLI-0234"/>
        <s v="CLI-0130"/>
        <s v="CLI-0125"/>
        <s v="CLI-0242"/>
        <s v="CLI-0218"/>
        <s v="CLI-0154"/>
        <s v="CLI-0073"/>
        <s v="CLI-0009"/>
        <s v="CLI-0027"/>
        <s v="CLI-0202"/>
        <s v="CLI-0195"/>
        <s v="CLI-0151"/>
        <s v="CLI-0131"/>
        <s v="CLI-0225"/>
        <s v="CLI-0113"/>
        <s v="CLI-0020"/>
        <s v="CLI-0193"/>
        <s v="CLI-0170"/>
        <s v="CLI-0059"/>
        <s v="CLI-0192"/>
        <s v="CLI-0085"/>
        <s v="CLI-0157"/>
        <s v="CLI-0198"/>
        <s v="CLI-0217"/>
        <s v="CLI-0216"/>
        <s v="CLI-0001"/>
        <s v="CLI-0222"/>
        <s v="CLI-0012"/>
        <s v="CLI-0204"/>
        <s v="CLI-0237"/>
        <s v="CLI-0190"/>
        <s v="CLI-0139"/>
        <s v="CLI-0142"/>
        <s v="CLI-0096"/>
        <s v="CLI-0209"/>
        <s v="CLI-0094"/>
        <s v="CLI-0215"/>
        <s v="CLI-0058"/>
        <s v="CLI-0022"/>
        <s v="CLI-0068"/>
        <s v="CLI-0158"/>
        <s v="CLI-0206"/>
        <s v="CLI-0238"/>
        <s v="CLI-0088"/>
        <s v="CLI-0161"/>
        <s v="CLI-0257"/>
        <s v="CLI-0256"/>
        <s v="CLI-0260"/>
        <s v="CLI-0241"/>
        <s v="CLI-0228"/>
        <s v="CLI-0109"/>
        <s v="CLI-0006"/>
        <s v="CLI-0205"/>
        <s v="CLI-0056"/>
        <s v="CLI-0083"/>
        <s v="CLI-0107"/>
        <s v="CLI-0040"/>
        <s v="CLI-0233"/>
        <s v="CLI-0049"/>
        <s v="CLI-0187"/>
        <s v="CLI-0048"/>
        <s v="CLI-0253"/>
        <s v="CLI-0188"/>
        <s v="CLI-0183"/>
        <s v="CLI-0232"/>
        <s v="CLI-0159"/>
        <s v="CLI-0229"/>
        <s v="CLI-0070"/>
        <s v="CLI-0221"/>
        <s v="CLI-0014"/>
        <s v="CLI-0144"/>
        <s v="CLI-0166"/>
        <s v="CLI-0163"/>
        <s v="CLI-0212"/>
        <s v="CLI-0156"/>
        <s v="CLI-0029"/>
        <s v="CLI-0141"/>
        <s v="CLI-0165"/>
        <s v="CLI-0089"/>
        <s v="CLI-0252"/>
        <s v="CLI-0043"/>
        <s v="CLI-0171"/>
        <s v="CLI-0223"/>
        <s v="CLI-0016"/>
        <s v="CLI-0145"/>
        <s v="CLI-0084"/>
        <s v="CLI-0044"/>
        <s v="CLI-0240"/>
        <s v="CLI-0230"/>
        <s v="CLI-0062"/>
        <s v="CLI-0039"/>
        <s v="CLI-0150"/>
        <s v="CLI-0155"/>
        <s v="CLI-0214"/>
        <s v="CLI-0181"/>
        <s v="CLI-0259"/>
        <s v="CLI-0189"/>
        <s v="CLI-0115"/>
        <s v="CLI-0251"/>
        <s v="CLI-0076"/>
        <s v="CLI-0057"/>
        <s v="CLI-0025"/>
        <s v="CLI-0093"/>
        <s v="CLI-0037"/>
        <s v="CLI-0255"/>
        <s v="CLI-0137"/>
        <s v="CLI-0099"/>
        <s v="CLI-0041"/>
        <s v="CLI-0082"/>
        <s v="CLI-0031"/>
        <s v="CLI-0071"/>
        <s v="CLI-0116"/>
        <s v="CLI-0053"/>
        <s v="CLI-0042"/>
        <s v="CLI-0126"/>
        <s v="CLI-0219"/>
        <s v="CLI-0164"/>
        <s v="CLI-0138"/>
        <s v="CLI-0246"/>
        <s v="CLI-0245"/>
        <s v="CLI-0052"/>
        <s v="CLI-0249"/>
        <s v="CLI-0149"/>
        <s v="CLI-0028"/>
        <s v="CLI-0023"/>
        <s v="CLI-0178"/>
        <s v="CLI-0174"/>
        <s v="CLI-0160"/>
        <s v="CLI-0258"/>
        <s v="CLI-0004"/>
        <s v="CLI-0067"/>
        <s v="CLI-0078"/>
        <s v="CLI-0011"/>
        <s v="CLI-0247"/>
        <s v="CLI-0108"/>
        <s v="CLI-0008"/>
        <s v="CLI-0074"/>
        <s v="CLI-0018"/>
        <s v="CLI-0015"/>
        <s v="CLI-0034"/>
        <s v="CLI-0026"/>
        <s v="CLI-0118"/>
        <s v="CLI-0064"/>
        <s v="CLI-0077"/>
        <s v="CLI-0184"/>
        <s v="CLI-0010"/>
        <s v="CLI-0179"/>
        <s v="CLI-0236"/>
        <s v="CLI-0243"/>
        <s v="CLI-0226"/>
        <s v="CLI-0211"/>
        <s v="CLI-0121"/>
        <s v="CLI-0180"/>
        <s v="CLI-0054"/>
        <s v="CLI-0060"/>
        <s v="CLI-0017"/>
        <s v="CLI-0013"/>
        <s v="CLI-0045"/>
        <s v="CLI-0090"/>
        <s v="CLI-0203"/>
        <s v="CLI-0106"/>
        <s v="CLI-0063"/>
        <s v="CLI-0224"/>
        <s v="CLI-0110"/>
        <s v="CLI-0098"/>
        <s v="CLI-0079"/>
        <s v="CLI-0201"/>
        <s v="CLI-0148"/>
        <s v="CLI-0066"/>
        <s v="CLI-0033"/>
        <s v="CLI-0103"/>
        <s v="CLI-0117"/>
        <s v="CLI-0231"/>
        <s v="CLI-0002"/>
        <s v="CLI-0087"/>
        <s v="CLI-0038"/>
        <s v="CLI-0120"/>
        <s v="CLI-0134"/>
        <s v="CLI-0168"/>
        <s v="CLI-0248"/>
        <s v="CLI-0100"/>
        <s v="CLI-0030"/>
        <s v="CLI-0147"/>
        <s v="CLI-0047"/>
        <s v="CLI-0069"/>
        <s v="CLI-0172"/>
        <s v="CLI-0021"/>
        <s v="CLI-0191"/>
        <s v="CLI-0197"/>
        <s v="CLI-0102"/>
        <s v="CLI-0123"/>
        <s v="CLI-0235"/>
        <s v="CLI-0227"/>
        <s v="CLI-0119"/>
        <s v="CLI-0162"/>
        <s v="CLI-0175"/>
        <s v="CLI-0185"/>
        <s v="CLI-0213"/>
        <s v="CLI-0061"/>
        <s v="CLI-0032"/>
        <s v="CLI-0143"/>
        <s v="CLI-0250"/>
        <s v="CLI-0254"/>
        <s v="CLI-0129"/>
        <s v="CLI-0169"/>
        <s v="CLI-0220"/>
        <s v="CLI-0244"/>
        <s v="CLI-0146"/>
        <s v="CLI-0104"/>
        <s v="CLI-0075"/>
        <s v="CLI-0133"/>
        <s v="CLI-0210"/>
        <s v="CLI-0194"/>
        <s v="CLI-0114"/>
        <s v="CLI-0101"/>
        <s v="CLI-0182"/>
        <s v="CLI-0199"/>
        <s v="CLI-0005"/>
        <s v="CLI-0208"/>
        <s v="CLI-0132"/>
        <s v="CLI-0239"/>
        <s v="CLI-0024"/>
        <s v="CLI-0055"/>
        <s v="CLI-0051"/>
        <s v="CLI-0177"/>
        <s v="CLI-0128"/>
        <s v="CLI-0036"/>
        <s v="CLI-0135"/>
        <s v="CLI-0091"/>
        <s v="CLI-0111"/>
        <s v="CLI-0200"/>
        <s v="CLI-0050"/>
        <s v="CLI-0097"/>
        <s v="CLI-0207"/>
        <s v="CLI-0152"/>
        <s v="CLI-0196"/>
        <s v="CLI-0046"/>
        <s v="CLI-0065"/>
        <s v="CLI-0081"/>
        <s v="CLI-0173"/>
        <s v="CLI-0136"/>
        <s v="CLI-0080"/>
        <s v="CLI-0167"/>
        <s v="CLI-0153"/>
        <s v="CLI-0176"/>
        <s v="CLI-0127"/>
        <s v="CLI-0092"/>
        <s v="CLI-0035"/>
        <s v="CLI-0095"/>
        <s v="CLI-0186"/>
        <s v="CLI-0019"/>
        <s v="CLI-0003"/>
      </sharedItems>
    </cacheField>
    <cacheField name="Nome_Cliente" numFmtId="0">
      <sharedItems/>
    </cacheField>
    <cacheField name="Tipo_Transacao" numFmtId="0">
      <sharedItems/>
    </cacheField>
    <cacheField name="Categoria" numFmtId="0">
      <sharedItems count="8">
        <s v="MORADIA"/>
        <s v="LAZER"/>
        <s v="TRANSPORTE"/>
        <s v="VAREJO"/>
        <s v="ALIMENTAÇÃO"/>
        <s v="EDUCAÇÃO"/>
        <s v="Não Informado"/>
        <s v="SAÚDE"/>
      </sharedItems>
    </cacheField>
    <cacheField name="Status_Pagamento" numFmtId="0">
      <sharedItems count="4">
        <s v="ATRASADO"/>
        <s v="PAGO"/>
        <s v="PENDENTE"/>
        <s v="INADIMPLENTE"/>
      </sharedItems>
    </cacheField>
    <cacheField name="Dias_Atraso" numFmtId="0">
      <sharedItems containsMixedTypes="1" containsNumber="1" containsInteger="1" minValue="0" maxValue="179"/>
    </cacheField>
    <cacheField name="Score_Credito" numFmtId="0">
      <sharedItems containsSemiMixedTypes="0" containsString="0" containsNumber="1" containsInteger="1" minValue="301" maxValue="898"/>
    </cacheField>
    <cacheField name="Regiao" numFmtId="0">
      <sharedItems/>
    </cacheField>
    <cacheField name="Canal" numFmtId="0">
      <sharedItems count="4">
        <s v="Agência"/>
        <s v="Internet Banking"/>
        <s v="Caixa Eletronico"/>
        <s v="Não Informado"/>
      </sharedItems>
    </cacheField>
    <cacheField name="Valor_Transacao" numFmtId="0">
      <sharedItems containsString="0" containsBlank="1" containsNumber="1" minValue="3.08" maxValue="2521.8200000000002"/>
    </cacheField>
    <cacheField name="Data_Transacao" numFmtId="14">
      <sharedItems containsNonDate="0" containsDate="1" containsString="0" containsBlank="1" minDate="2024-01-01T00:00:00" maxDate="2025-12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0">
  <r>
    <n v="100494"/>
    <x v="0"/>
    <s v="Heitor Barbosa"/>
    <s v="CARTÃO DE DÉBITO"/>
    <x v="0"/>
    <x v="0"/>
    <n v="24"/>
    <n v="826"/>
    <s v="Centro-Oeste"/>
    <x v="0"/>
    <n v="999.43"/>
    <d v="2025-12-06T00:00:00"/>
  </r>
  <r>
    <n v="102094"/>
    <x v="1"/>
    <s v="Karina Silva"/>
    <s v="PIX"/>
    <x v="1"/>
    <x v="1"/>
    <n v="0"/>
    <n v="850"/>
    <s v="Sul"/>
    <x v="1"/>
    <n v="465.82"/>
    <d v="2025-12-05T00:00:00"/>
  </r>
  <r>
    <n v="100344"/>
    <x v="2"/>
    <s v="Lucas Martins"/>
    <s v="BOLETO"/>
    <x v="2"/>
    <x v="1"/>
    <n v="0"/>
    <n v="461"/>
    <s v="Nordeste"/>
    <x v="2"/>
    <n v="661.2"/>
    <d v="2025-12-02T00:00:00"/>
  </r>
  <r>
    <n v="100016"/>
    <x v="3"/>
    <s v="William Santos"/>
    <s v="CARTÃO DE CRÉDITO"/>
    <x v="3"/>
    <x v="1"/>
    <n v="0"/>
    <n v="818"/>
    <s v="Norte"/>
    <x v="0"/>
    <n v="364.02"/>
    <d v="2025-12-01T00:00:00"/>
  </r>
  <r>
    <n v="101822"/>
    <x v="4"/>
    <s v="Bianca Freitas"/>
    <s v="CARTÃO DE CRÉDITO"/>
    <x v="4"/>
    <x v="1"/>
    <n v="0"/>
    <n v="623"/>
    <s v="Centro-Oeste"/>
    <x v="0"/>
    <n v="79.7"/>
    <d v="2025-11-06T00:00:00"/>
  </r>
  <r>
    <n v="100999"/>
    <x v="5"/>
    <s v="Bruno Lima"/>
    <s v="CARTÃO DE CRÉDITO"/>
    <x v="1"/>
    <x v="0"/>
    <n v="25"/>
    <n v="434"/>
    <s v="Não Informado"/>
    <x v="1"/>
    <n v="184.49"/>
    <d v="2025-11-05T00:00:00"/>
  </r>
  <r>
    <n v="101844"/>
    <x v="6"/>
    <s v="Thiago Correia"/>
    <s v="TED"/>
    <x v="5"/>
    <x v="1"/>
    <n v="0"/>
    <n v="406"/>
    <s v="Sudeste"/>
    <x v="1"/>
    <n v="466.93"/>
    <d v="2025-11-04T00:00:00"/>
  </r>
  <r>
    <n v="100455"/>
    <x v="7"/>
    <s v="Yasmin Araujo"/>
    <s v="CARTÃO DE DÉBITO"/>
    <x v="2"/>
    <x v="1"/>
    <n v="0"/>
    <n v="494"/>
    <s v="Sudeste"/>
    <x v="1"/>
    <n v="667.25"/>
    <d v="2025-11-03T00:00:00"/>
  </r>
  <r>
    <n v="100877"/>
    <x v="8"/>
    <s v="Sandra Vieira"/>
    <s v="TED"/>
    <x v="1"/>
    <x v="2"/>
    <n v="0"/>
    <n v="339"/>
    <s v="Sudeste"/>
    <x v="1"/>
    <n v="288.36"/>
    <d v="2025-11-02T00:00:00"/>
  </r>
  <r>
    <n v="100076"/>
    <x v="9"/>
    <s v="Isabela Nunes"/>
    <s v="PIX"/>
    <x v="1"/>
    <x v="0"/>
    <n v="29"/>
    <n v="678"/>
    <s v="Centro-Oeste"/>
    <x v="2"/>
    <n v="95.72"/>
    <d v="2025-11-01T00:00:00"/>
  </r>
  <r>
    <n v="100230"/>
    <x v="10"/>
    <s v="Patricia Gomes"/>
    <s v="PIX"/>
    <x v="3"/>
    <x v="1"/>
    <n v="0"/>
    <n v="571"/>
    <s v="Centro-Oeste"/>
    <x v="1"/>
    <n v="104.67"/>
    <d v="2025-10-06T00:00:00"/>
  </r>
  <r>
    <n v="101595"/>
    <x v="11"/>
    <s v="Yasmin Araujo"/>
    <s v="BOLETO"/>
    <x v="0"/>
    <x v="2"/>
    <n v="0"/>
    <n v="694"/>
    <s v="Centro-Oeste"/>
    <x v="2"/>
    <n v="737.92"/>
    <d v="2025-10-05T00:00:00"/>
  </r>
  <r>
    <n v="100695"/>
    <x v="12"/>
    <s v="Patricia Gomes"/>
    <s v="PIX"/>
    <x v="6"/>
    <x v="2"/>
    <s v="Não Informado"/>
    <n v="708"/>
    <s v="Norte"/>
    <x v="2"/>
    <n v="448.38"/>
    <d v="2025-10-05T00:00:00"/>
  </r>
  <r>
    <n v="101640"/>
    <x v="13"/>
    <s v="Yasmin Araujo"/>
    <s v="BOLETO"/>
    <x v="5"/>
    <x v="1"/>
    <n v="0"/>
    <n v="800"/>
    <s v="Sudeste"/>
    <x v="1"/>
    <n v="357.39"/>
    <d v="2025-10-05T00:00:00"/>
  </r>
  <r>
    <n v="101597"/>
    <x v="14"/>
    <s v="Heitor Barbosa"/>
    <s v="CARTÃO DE CRÉDITO"/>
    <x v="7"/>
    <x v="2"/>
    <n v="0"/>
    <n v="603"/>
    <s v="Centro-Oeste"/>
    <x v="1"/>
    <n v="211.76"/>
    <d v="2025-10-05T00:00:00"/>
  </r>
  <r>
    <n v="100436"/>
    <x v="15"/>
    <s v="Caio Monteiro"/>
    <s v="PIX"/>
    <x v="7"/>
    <x v="0"/>
    <n v="20"/>
    <n v="585"/>
    <s v="Não Informado"/>
    <x v="0"/>
    <n v="213.39"/>
    <d v="2025-10-04T00:00:00"/>
  </r>
  <r>
    <n v="100540"/>
    <x v="16"/>
    <s v="Bianca Freitas"/>
    <s v="PIX"/>
    <x v="5"/>
    <x v="3"/>
    <n v="108"/>
    <n v="778"/>
    <s v="Norte"/>
    <x v="1"/>
    <n v="599.47"/>
    <d v="2025-10-02T00:00:00"/>
  </r>
  <r>
    <n v="101249"/>
    <x v="17"/>
    <s v="Rafael Pereira"/>
    <s v="PIX"/>
    <x v="7"/>
    <x v="0"/>
    <n v="10"/>
    <n v="554"/>
    <s v="Norte"/>
    <x v="1"/>
    <n v="151.76"/>
    <d v="2025-10-02T00:00:00"/>
  </r>
  <r>
    <n v="101965"/>
    <x v="18"/>
    <s v="Gabriela Rocha"/>
    <s v="BOLETO"/>
    <x v="3"/>
    <x v="0"/>
    <n v="22"/>
    <n v="466"/>
    <s v="Norte"/>
    <x v="1"/>
    <n v="130.07"/>
    <d v="2025-10-02T00:00:00"/>
  </r>
  <r>
    <n v="101127"/>
    <x v="19"/>
    <s v="Elaine Ferreira"/>
    <s v="CARTÃO DE CRÉDITO"/>
    <x v="0"/>
    <x v="1"/>
    <s v="Não Informado"/>
    <n v="508"/>
    <s v="Sudeste"/>
    <x v="1"/>
    <n v="290.55"/>
    <d v="2025-10-01T00:00:00"/>
  </r>
  <r>
    <n v="101372"/>
    <x v="20"/>
    <s v="Elaine Ferreira"/>
    <s v="CARTÃO DE CRÉDITO"/>
    <x v="0"/>
    <x v="2"/>
    <n v="0"/>
    <n v="591"/>
    <s v="Sudeste"/>
    <x v="2"/>
    <n v="232.98"/>
    <d v="2025-09-05T00:00:00"/>
  </r>
  <r>
    <n v="100213"/>
    <x v="21"/>
    <s v="Yasmin Araujo"/>
    <s v="BOLETO"/>
    <x v="3"/>
    <x v="2"/>
    <n v="0"/>
    <n v="709"/>
    <s v="Sudeste"/>
    <x v="2"/>
    <n v="170.86"/>
    <d v="2025-09-05T00:00:00"/>
  </r>
  <r>
    <n v="100807"/>
    <x v="22"/>
    <s v="Heitor Barbosa"/>
    <s v="BOLETO"/>
    <x v="3"/>
    <x v="0"/>
    <n v="14"/>
    <n v="607"/>
    <s v="Norte"/>
    <x v="1"/>
    <n v="138.99"/>
    <d v="2025-09-05T00:00:00"/>
  </r>
  <r>
    <n v="100587"/>
    <x v="0"/>
    <s v="Heitor Barbosa"/>
    <s v="CARTÃO DE CRÉDITO"/>
    <x v="7"/>
    <x v="0"/>
    <n v="22"/>
    <n v="826"/>
    <s v="Centro-Oeste"/>
    <x v="0"/>
    <n v="230.5"/>
    <d v="2025-09-02T00:00:00"/>
  </r>
  <r>
    <n v="101589"/>
    <x v="23"/>
    <s v="Gabriela Rocha"/>
    <s v="BOLETO"/>
    <x v="0"/>
    <x v="1"/>
    <n v="0"/>
    <n v="494"/>
    <s v="Centro-Oeste"/>
    <x v="2"/>
    <n v="282.44"/>
    <d v="2025-09-01T00:00:00"/>
  </r>
  <r>
    <n v="101003"/>
    <x v="24"/>
    <s v="Rafael Pereira"/>
    <s v="CARTÃO DE CRÉDITO"/>
    <x v="2"/>
    <x v="0"/>
    <n v="21"/>
    <n v="458"/>
    <s v="Norte"/>
    <x v="1"/>
    <n v="95.24"/>
    <d v="2025-09-01T00:00:00"/>
  </r>
  <r>
    <n v="101895"/>
    <x v="25"/>
    <s v="Sandra Vieira"/>
    <s v="PIX"/>
    <x v="5"/>
    <x v="1"/>
    <n v="0"/>
    <n v="309"/>
    <s v="Sudeste"/>
    <x v="0"/>
    <n v="107.82"/>
    <d v="2025-08-05T00:00:00"/>
  </r>
  <r>
    <n v="101874"/>
    <x v="26"/>
    <s v="Diego Alves"/>
    <s v="CARTÃO DE DÉBITO"/>
    <x v="7"/>
    <x v="0"/>
    <n v="20"/>
    <n v="710"/>
    <s v="Centro-Oeste"/>
    <x v="2"/>
    <n v="150.24"/>
    <d v="2025-08-03T00:00:00"/>
  </r>
  <r>
    <n v="101726"/>
    <x v="27"/>
    <s v="William Santos"/>
    <s v="BOLETO"/>
    <x v="3"/>
    <x v="1"/>
    <n v="0"/>
    <n v="716"/>
    <s v="Centro-Oeste"/>
    <x v="3"/>
    <n v="123.62"/>
    <d v="2025-08-03T00:00:00"/>
  </r>
  <r>
    <n v="100883"/>
    <x v="28"/>
    <s v="Não Informado"/>
    <s v="BOLETO"/>
    <x v="2"/>
    <x v="1"/>
    <n v="0"/>
    <n v="843"/>
    <s v="Sul"/>
    <x v="0"/>
    <n v="603.66999999999996"/>
    <d v="2025-08-02T00:00:00"/>
  </r>
  <r>
    <n v="100904"/>
    <x v="17"/>
    <s v="Rafael Pereira"/>
    <s v="PIX"/>
    <x v="7"/>
    <x v="3"/>
    <n v="81"/>
    <n v="554"/>
    <s v="Nordeste"/>
    <x v="1"/>
    <n v="800.22"/>
    <d v="2025-07-06T00:00:00"/>
  </r>
  <r>
    <n v="101804"/>
    <x v="29"/>
    <s v="Carla Mendes"/>
    <s v="BOLETO"/>
    <x v="5"/>
    <x v="2"/>
    <n v="0"/>
    <n v="394"/>
    <s v="Sudeste"/>
    <x v="0"/>
    <n v="434.76"/>
    <d v="2025-07-05T00:00:00"/>
  </r>
  <r>
    <n v="101116"/>
    <x v="30"/>
    <s v="Debora Pinto"/>
    <s v="CARTÃO DE CRÉDITO"/>
    <x v="3"/>
    <x v="1"/>
    <n v="0"/>
    <n v="325"/>
    <s v="Sudeste"/>
    <x v="1"/>
    <n v="297.47000000000003"/>
    <d v="2025-07-05T00:00:00"/>
  </r>
  <r>
    <n v="100601"/>
    <x v="31"/>
    <s v="Caio Monteiro"/>
    <s v="CARTÃO DE CRÉDITO"/>
    <x v="2"/>
    <x v="1"/>
    <n v="0"/>
    <n v="497"/>
    <s v="Norte"/>
    <x v="1"/>
    <n v="326.62"/>
    <d v="2025-07-04T00:00:00"/>
  </r>
  <r>
    <n v="101444"/>
    <x v="32"/>
    <s v="Carla Mendes"/>
    <s v="BOLETO"/>
    <x v="5"/>
    <x v="1"/>
    <n v="0"/>
    <n v="324"/>
    <s v="Sudeste"/>
    <x v="1"/>
    <n v="325.58"/>
    <d v="2025-07-03T00:00:00"/>
  </r>
  <r>
    <n v="101761"/>
    <x v="33"/>
    <s v="William Santos"/>
    <s v="TED"/>
    <x v="6"/>
    <x v="3"/>
    <n v="142"/>
    <n v="360"/>
    <s v="Sudeste"/>
    <x v="1"/>
    <n v="182.85"/>
    <d v="2025-07-03T00:00:00"/>
  </r>
  <r>
    <n v="102079"/>
    <x v="34"/>
    <s v="Debora Pinto"/>
    <s v="BOLETO"/>
    <x v="1"/>
    <x v="1"/>
    <n v="0"/>
    <n v="585"/>
    <s v="Sudeste"/>
    <x v="1"/>
    <n v="747.88"/>
    <d v="2025-07-02T00:00:00"/>
  </r>
  <r>
    <n v="101754"/>
    <x v="35"/>
    <s v="Caio Monteiro"/>
    <s v="BOLETO"/>
    <x v="0"/>
    <x v="1"/>
    <s v="Não Informado"/>
    <n v="852"/>
    <s v="Nordeste"/>
    <x v="1"/>
    <n v="124.56"/>
    <d v="2025-07-01T00:00:00"/>
  </r>
  <r>
    <n v="100522"/>
    <x v="36"/>
    <s v="Vanessa Duarte"/>
    <s v="TED"/>
    <x v="5"/>
    <x v="0"/>
    <n v="19"/>
    <n v="463"/>
    <s v="Nordeste"/>
    <x v="2"/>
    <n v="1198.18"/>
    <d v="2025-06-29T00:00:00"/>
  </r>
  <r>
    <n v="101834"/>
    <x v="37"/>
    <s v="Bianca Freitas"/>
    <s v="BOLETO"/>
    <x v="4"/>
    <x v="1"/>
    <n v="0"/>
    <n v="653"/>
    <s v="Sul"/>
    <x v="2"/>
    <n v="670.44"/>
    <d v="2025-06-29T00:00:00"/>
  </r>
  <r>
    <n v="102193"/>
    <x v="38"/>
    <s v="William Santos"/>
    <s v="PIX"/>
    <x v="5"/>
    <x v="1"/>
    <n v="0"/>
    <n v="662"/>
    <s v="Norte"/>
    <x v="2"/>
    <n v="348.27"/>
    <d v="2025-06-29T00:00:00"/>
  </r>
  <r>
    <n v="101937"/>
    <x v="6"/>
    <s v="Thiago Correia"/>
    <s v="CARTÃO DE DÉBITO"/>
    <x v="2"/>
    <x v="1"/>
    <s v="Não Informado"/>
    <n v="406"/>
    <s v="Centro-Oeste"/>
    <x v="1"/>
    <n v="292.94"/>
    <d v="2025-06-29T00:00:00"/>
  </r>
  <r>
    <n v="101369"/>
    <x v="14"/>
    <s v="Heitor Barbosa"/>
    <s v="PIX"/>
    <x v="4"/>
    <x v="0"/>
    <n v="11"/>
    <n v="603"/>
    <s v="Sul"/>
    <x v="0"/>
    <n v="212.58"/>
    <d v="2025-06-29T00:00:00"/>
  </r>
  <r>
    <n v="100791"/>
    <x v="15"/>
    <s v="Caio Monteiro"/>
    <s v="BOLETO"/>
    <x v="2"/>
    <x v="1"/>
    <n v="0"/>
    <n v="585"/>
    <s v="Norte"/>
    <x v="1"/>
    <n v="149.22"/>
    <d v="2025-06-29T00:00:00"/>
  </r>
  <r>
    <n v="100550"/>
    <x v="39"/>
    <s v="Nelson Teixeira"/>
    <s v="TED"/>
    <x v="4"/>
    <x v="1"/>
    <n v="0"/>
    <n v="606"/>
    <s v="Centro-Oeste"/>
    <x v="1"/>
    <n v="520.14"/>
    <d v="2025-06-28T00:00:00"/>
  </r>
  <r>
    <n v="101071"/>
    <x v="40"/>
    <s v="Lucas Martins"/>
    <s v="CARTÃO DE DÉBITO"/>
    <x v="7"/>
    <x v="1"/>
    <n v="0"/>
    <n v="570"/>
    <s v="Centro-Oeste"/>
    <x v="2"/>
    <n v="518.61"/>
    <d v="2025-06-28T00:00:00"/>
  </r>
  <r>
    <n v="101027"/>
    <x v="41"/>
    <s v="Fabio Costa"/>
    <s v="PIX"/>
    <x v="1"/>
    <x v="0"/>
    <n v="13"/>
    <n v="883"/>
    <s v="Norte"/>
    <x v="1"/>
    <n v="456.82"/>
    <d v="2025-06-28T00:00:00"/>
  </r>
  <r>
    <n v="100762"/>
    <x v="42"/>
    <s v="Lucas Martins"/>
    <s v="TED"/>
    <x v="3"/>
    <x v="1"/>
    <n v="0"/>
    <n v="527"/>
    <s v="Nordeste"/>
    <x v="0"/>
    <n v="99.49"/>
    <d v="2025-06-28T00:00:00"/>
  </r>
  <r>
    <n v="101463"/>
    <x v="43"/>
    <s v="Vanessa Duarte"/>
    <s v="CARTÃO DE CRÉDITO"/>
    <x v="2"/>
    <x v="3"/>
    <n v="158"/>
    <n v="713"/>
    <s v="Nordeste"/>
    <x v="1"/>
    <n v="815.93"/>
    <d v="2025-06-27T00:00:00"/>
  </r>
  <r>
    <n v="101637"/>
    <x v="44"/>
    <s v="Carla Mendes"/>
    <s v="CARTÃO DE DÉBITO"/>
    <x v="2"/>
    <x v="3"/>
    <n v="109"/>
    <n v="528"/>
    <s v="Norte"/>
    <x v="0"/>
    <n v="291.29000000000002"/>
    <d v="2025-06-27T00:00:00"/>
  </r>
  <r>
    <n v="101406"/>
    <x v="45"/>
    <s v="Sandra Vieira"/>
    <s v="TED"/>
    <x v="0"/>
    <x v="1"/>
    <n v="0"/>
    <n v="518"/>
    <s v="Sudeste"/>
    <x v="1"/>
    <n v="264.64"/>
    <d v="2025-06-27T00:00:00"/>
  </r>
  <r>
    <n v="101277"/>
    <x v="46"/>
    <s v="Rafael Pereira"/>
    <s v="CARTÃO DE CRÉDITO"/>
    <x v="4"/>
    <x v="1"/>
    <n v="0"/>
    <n v="399"/>
    <s v="Sul"/>
    <x v="2"/>
    <n v="234.24"/>
    <d v="2025-06-27T00:00:00"/>
  </r>
  <r>
    <n v="100039"/>
    <x v="47"/>
    <s v="Gabriela Rocha"/>
    <s v="PIX"/>
    <x v="1"/>
    <x v="1"/>
    <n v="0"/>
    <n v="733"/>
    <s v="Sul"/>
    <x v="0"/>
    <n v="231.4"/>
    <d v="2025-06-27T00:00:00"/>
  </r>
  <r>
    <n v="101276"/>
    <x v="48"/>
    <s v="Mariana Cardoso"/>
    <s v="BOLETO"/>
    <x v="0"/>
    <x v="1"/>
    <n v="0"/>
    <n v="733"/>
    <s v="Norte"/>
    <x v="1"/>
    <n v="195.4"/>
    <d v="2025-06-27T00:00:00"/>
  </r>
  <r>
    <n v="100406"/>
    <x v="49"/>
    <s v="Não Informado"/>
    <s v="BOLETO"/>
    <x v="2"/>
    <x v="2"/>
    <n v="0"/>
    <n v="691"/>
    <s v="Centro-Oeste"/>
    <x v="1"/>
    <n v="80.16"/>
    <d v="2025-06-27T00:00:00"/>
  </r>
  <r>
    <n v="100988"/>
    <x v="35"/>
    <s v="Caio Monteiro"/>
    <s v="PIX"/>
    <x v="3"/>
    <x v="1"/>
    <n v="0"/>
    <n v="852"/>
    <s v="Sul"/>
    <x v="1"/>
    <n v="13.26"/>
    <d v="2025-06-27T00:00:00"/>
  </r>
  <r>
    <n v="101579"/>
    <x v="50"/>
    <s v="Gabriela Rocha"/>
    <s v="BOLETO"/>
    <x v="4"/>
    <x v="2"/>
    <n v="0"/>
    <n v="621"/>
    <s v="Sudeste"/>
    <x v="0"/>
    <n v="915.47"/>
    <d v="2025-06-26T00:00:00"/>
  </r>
  <r>
    <n v="101730"/>
    <x v="42"/>
    <s v="Lucas Martins"/>
    <s v="CARTÃO DE CRÉDITO"/>
    <x v="4"/>
    <x v="0"/>
    <n v="8"/>
    <n v="527"/>
    <s v="Sudeste"/>
    <x v="1"/>
    <n v="665.52"/>
    <d v="2025-06-26T00:00:00"/>
  </r>
  <r>
    <n v="100448"/>
    <x v="51"/>
    <s v="Yasmin Araujo"/>
    <s v="PIX"/>
    <x v="1"/>
    <x v="0"/>
    <n v="26"/>
    <n v="820"/>
    <s v="Sul"/>
    <x v="1"/>
    <n v="438.44"/>
    <d v="2025-06-26T00:00:00"/>
  </r>
  <r>
    <n v="101952"/>
    <x v="52"/>
    <s v="Otavio Ramos"/>
    <s v="BOLETO"/>
    <x v="0"/>
    <x v="0"/>
    <n v="25"/>
    <n v="303"/>
    <s v="Sudeste"/>
    <x v="2"/>
    <m/>
    <d v="2025-06-26T00:00:00"/>
  </r>
  <r>
    <n v="101380"/>
    <x v="50"/>
    <s v="Gabriela Rocha"/>
    <s v="PIX"/>
    <x v="5"/>
    <x v="1"/>
    <n v="0"/>
    <n v="621"/>
    <s v="Centro-Oeste"/>
    <x v="2"/>
    <n v="546.52"/>
    <d v="2025-06-25T00:00:00"/>
  </r>
  <r>
    <n v="100941"/>
    <x v="53"/>
    <s v="Thiago Correia"/>
    <s v="BOLETO"/>
    <x v="7"/>
    <x v="2"/>
    <n v="0"/>
    <n v="427"/>
    <s v="Centro-Oeste"/>
    <x v="1"/>
    <n v="489.19"/>
    <d v="2025-06-25T00:00:00"/>
  </r>
  <r>
    <n v="101177"/>
    <x v="54"/>
    <s v="Heitor Barbosa"/>
    <s v="PIX"/>
    <x v="3"/>
    <x v="2"/>
    <n v="0"/>
    <n v="621"/>
    <s v="Nordeste"/>
    <x v="1"/>
    <n v="346.16"/>
    <d v="2025-06-25T00:00:00"/>
  </r>
  <r>
    <n v="101777"/>
    <x v="55"/>
    <s v="Carla Mendes"/>
    <s v="CARTÃO DE CRÉDITO"/>
    <x v="2"/>
    <x v="0"/>
    <n v="24"/>
    <n v="616"/>
    <s v="Centro-Oeste"/>
    <x v="1"/>
    <n v="195.49"/>
    <d v="2025-06-25T00:00:00"/>
  </r>
  <r>
    <n v="100071"/>
    <x v="56"/>
    <s v="Mariana Cardoso"/>
    <s v="CARTÃO DE DÉBITO"/>
    <x v="4"/>
    <x v="1"/>
    <n v="0"/>
    <n v="418"/>
    <s v="Sudeste"/>
    <x v="0"/>
    <n v="290.88"/>
    <d v="2025-06-24T00:00:00"/>
  </r>
  <r>
    <n v="100658"/>
    <x v="4"/>
    <s v="Não Informado"/>
    <s v="PIX"/>
    <x v="4"/>
    <x v="0"/>
    <n v="7"/>
    <n v="623"/>
    <s v="Sul"/>
    <x v="2"/>
    <n v="167.79"/>
    <d v="2025-06-24T00:00:00"/>
  </r>
  <r>
    <n v="100463"/>
    <x v="57"/>
    <s v="Fabio Costa"/>
    <s v="PIX"/>
    <x v="3"/>
    <x v="1"/>
    <n v="0"/>
    <n v="328"/>
    <s v="Centro-Oeste"/>
    <x v="0"/>
    <n v="160.52000000000001"/>
    <d v="2025-06-24T00:00:00"/>
  </r>
  <r>
    <n v="100537"/>
    <x v="13"/>
    <s v="Yasmin Araujo"/>
    <s v="BOLETO"/>
    <x v="5"/>
    <x v="1"/>
    <n v="0"/>
    <n v="800"/>
    <s v="Nordeste"/>
    <x v="1"/>
    <n v="142.22999999999999"/>
    <d v="2025-06-24T00:00:00"/>
  </r>
  <r>
    <n v="100316"/>
    <x v="18"/>
    <s v="Gabriela Rocha"/>
    <s v="PIX"/>
    <x v="0"/>
    <x v="1"/>
    <n v="0"/>
    <n v="466"/>
    <s v="Norte"/>
    <x v="1"/>
    <n v="483.86"/>
    <d v="2025-06-23T00:00:00"/>
  </r>
  <r>
    <n v="100298"/>
    <x v="58"/>
    <s v="Karina Silva"/>
    <s v="BOLETO"/>
    <x v="5"/>
    <x v="1"/>
    <n v="0"/>
    <n v="544"/>
    <s v="Nordeste"/>
    <x v="1"/>
    <n v="348.07"/>
    <d v="2025-06-23T00:00:00"/>
  </r>
  <r>
    <n v="100621"/>
    <x v="59"/>
    <s v="Heitor Barbosa"/>
    <s v="CARTÃO DE CRÉDITO"/>
    <x v="3"/>
    <x v="0"/>
    <n v="4"/>
    <n v="372"/>
    <s v="Norte"/>
    <x v="0"/>
    <n v="257.33999999999997"/>
    <d v="2025-06-23T00:00:00"/>
  </r>
  <r>
    <n v="101088"/>
    <x v="60"/>
    <s v="Karina Silva"/>
    <s v="TED"/>
    <x v="5"/>
    <x v="0"/>
    <n v="20"/>
    <n v="410"/>
    <s v="Norte"/>
    <x v="1"/>
    <n v="253.05"/>
    <d v="2025-06-23T00:00:00"/>
  </r>
  <r>
    <n v="100317"/>
    <x v="61"/>
    <s v="Caio Monteiro"/>
    <s v="TED"/>
    <x v="3"/>
    <x v="2"/>
    <n v="0"/>
    <n v="797"/>
    <s v="Não Informado"/>
    <x v="2"/>
    <n v="829.83"/>
    <d v="2025-06-22T00:00:00"/>
  </r>
  <r>
    <n v="101464"/>
    <x v="62"/>
    <s v="Lucas Martins"/>
    <s v="CARTÃO DE CRÉDITO"/>
    <x v="2"/>
    <x v="2"/>
    <n v="0"/>
    <n v="788"/>
    <s v="Sul"/>
    <x v="1"/>
    <n v="812.78"/>
    <d v="2025-06-22T00:00:00"/>
  </r>
  <r>
    <n v="100983"/>
    <x v="63"/>
    <s v="Heitor Barbosa"/>
    <s v="BOLETO"/>
    <x v="5"/>
    <x v="2"/>
    <n v="0"/>
    <n v="509"/>
    <s v="Sul"/>
    <x v="1"/>
    <n v="710.39"/>
    <d v="2025-06-22T00:00:00"/>
  </r>
  <r>
    <n v="100992"/>
    <x v="64"/>
    <s v="Nelson Teixeira"/>
    <s v="PIX"/>
    <x v="0"/>
    <x v="3"/>
    <n v="33"/>
    <n v="732"/>
    <s v="Sul"/>
    <x v="3"/>
    <n v="908.92"/>
    <d v="2025-06-21T00:00:00"/>
  </r>
  <r>
    <n v="101840"/>
    <x v="65"/>
    <s v="Gabriela Rocha"/>
    <s v="CARTÃO DE CRÉDITO"/>
    <x v="7"/>
    <x v="0"/>
    <n v="1"/>
    <n v="571"/>
    <s v="Norte"/>
    <x v="1"/>
    <n v="147.69999999999999"/>
    <d v="2025-06-21T00:00:00"/>
  </r>
  <r>
    <n v="100738"/>
    <x v="66"/>
    <s v="Mariana Cardoso"/>
    <s v="BOLETO"/>
    <x v="7"/>
    <x v="1"/>
    <s v="Não Informado"/>
    <n v="351"/>
    <s v="Sudeste"/>
    <x v="1"/>
    <n v="182.3"/>
    <d v="2025-06-20T00:00:00"/>
  </r>
  <r>
    <n v="101037"/>
    <x v="61"/>
    <s v="Caio Monteiro"/>
    <s v="CARTÃO DE CRÉDITO"/>
    <x v="4"/>
    <x v="1"/>
    <n v="0"/>
    <n v="797"/>
    <s v="Norte"/>
    <x v="1"/>
    <n v="141.34"/>
    <d v="2025-06-20T00:00:00"/>
  </r>
  <r>
    <n v="102075"/>
    <x v="67"/>
    <s v="Fabio Costa"/>
    <s v="BOLETO"/>
    <x v="3"/>
    <x v="2"/>
    <n v="0"/>
    <n v="515"/>
    <s v="Nordeste"/>
    <x v="1"/>
    <n v="34.630000000000003"/>
    <d v="2025-06-20T00:00:00"/>
  </r>
  <r>
    <n v="101706"/>
    <x v="67"/>
    <s v="Fabio Costa"/>
    <s v="BOLETO"/>
    <x v="4"/>
    <x v="2"/>
    <n v="0"/>
    <n v="515"/>
    <s v="Sudeste"/>
    <x v="1"/>
    <n v="388.25"/>
    <d v="2025-06-19T00:00:00"/>
  </r>
  <r>
    <n v="100593"/>
    <x v="68"/>
    <s v="Carla Mendes"/>
    <s v="BOLETO"/>
    <x v="0"/>
    <x v="2"/>
    <n v="0"/>
    <n v="400"/>
    <s v="Centro-Oeste"/>
    <x v="1"/>
    <n v="366.39"/>
    <d v="2025-06-19T00:00:00"/>
  </r>
  <r>
    <n v="100756"/>
    <x v="67"/>
    <s v="Fabio Costa"/>
    <s v="TED"/>
    <x v="3"/>
    <x v="3"/>
    <n v="127"/>
    <n v="515"/>
    <s v="Centro-Oeste"/>
    <x v="1"/>
    <n v="206.6"/>
    <d v="2025-06-19T00:00:00"/>
  </r>
  <r>
    <n v="101242"/>
    <x v="69"/>
    <s v="Ana Souza"/>
    <s v="CARTÃO DE DÉBITO"/>
    <x v="2"/>
    <x v="1"/>
    <n v="0"/>
    <n v="741"/>
    <s v="Nordeste"/>
    <x v="1"/>
    <n v="200.27"/>
    <d v="2025-06-19T00:00:00"/>
  </r>
  <r>
    <n v="101023"/>
    <x v="70"/>
    <s v="Rafael Pereira"/>
    <s v="PIX"/>
    <x v="5"/>
    <x v="3"/>
    <n v="49"/>
    <n v="555"/>
    <s v="Norte"/>
    <x v="1"/>
    <n v="188.36"/>
    <d v="2025-06-19T00:00:00"/>
  </r>
  <r>
    <n v="101884"/>
    <x v="71"/>
    <s v="Caio Monteiro"/>
    <s v="TED"/>
    <x v="4"/>
    <x v="0"/>
    <n v="2"/>
    <n v="615"/>
    <s v="Sudeste"/>
    <x v="1"/>
    <n v="851.37"/>
    <d v="2025-06-18T00:00:00"/>
  </r>
  <r>
    <n v="100218"/>
    <x v="72"/>
    <s v="Nelson Teixeira"/>
    <s v="PIX"/>
    <x v="0"/>
    <x v="1"/>
    <n v="0"/>
    <n v="894"/>
    <s v="Sudeste"/>
    <x v="1"/>
    <n v="342.06"/>
    <d v="2025-06-18T00:00:00"/>
  </r>
  <r>
    <n v="101478"/>
    <x v="73"/>
    <s v="Mariana Cardoso"/>
    <s v="PIX"/>
    <x v="2"/>
    <x v="3"/>
    <n v="112"/>
    <n v="583"/>
    <s v="Norte"/>
    <x v="2"/>
    <n v="198.8"/>
    <d v="2025-06-18T00:00:00"/>
  </r>
  <r>
    <n v="100324"/>
    <x v="73"/>
    <s v="Mariana Cardoso"/>
    <s v="CARTÃO DE CRÉDITO"/>
    <x v="0"/>
    <x v="0"/>
    <n v="1"/>
    <n v="583"/>
    <s v="Nordeste"/>
    <x v="1"/>
    <m/>
    <d v="2025-06-18T00:00:00"/>
  </r>
  <r>
    <n v="101722"/>
    <x v="74"/>
    <s v="Isabela Nunes"/>
    <s v="PIX"/>
    <x v="7"/>
    <x v="1"/>
    <n v="0"/>
    <n v="418"/>
    <s v="Sul"/>
    <x v="3"/>
    <n v="926.8"/>
    <d v="2025-06-17T00:00:00"/>
  </r>
  <r>
    <n v="101537"/>
    <x v="75"/>
    <s v="Carla Mendes"/>
    <s v="PIX"/>
    <x v="0"/>
    <x v="3"/>
    <n v="105"/>
    <n v="798"/>
    <s v="Sudeste"/>
    <x v="1"/>
    <n v="515.80999999999995"/>
    <d v="2025-06-17T00:00:00"/>
  </r>
  <r>
    <n v="101060"/>
    <x v="76"/>
    <s v="Não Informado"/>
    <s v="CARTÃO DE DÉBITO"/>
    <x v="7"/>
    <x v="2"/>
    <n v="0"/>
    <n v="371"/>
    <s v="Sul"/>
    <x v="0"/>
    <n v="337.58"/>
    <d v="2025-06-17T00:00:00"/>
  </r>
  <r>
    <n v="102117"/>
    <x v="39"/>
    <s v="Nelson Teixeira"/>
    <s v="PIX"/>
    <x v="2"/>
    <x v="1"/>
    <n v="0"/>
    <n v="606"/>
    <s v="Centro-Oeste"/>
    <x v="1"/>
    <n v="250.37"/>
    <d v="2025-06-17T00:00:00"/>
  </r>
  <r>
    <n v="101609"/>
    <x v="17"/>
    <s v="Rafael Pereira"/>
    <s v="BOLETO"/>
    <x v="2"/>
    <x v="1"/>
    <n v="0"/>
    <n v="554"/>
    <s v="Nordeste"/>
    <x v="0"/>
    <n v="963.66"/>
    <d v="2025-06-16T00:00:00"/>
  </r>
  <r>
    <n v="100399"/>
    <x v="77"/>
    <s v="Carla Mendes"/>
    <s v="BOLETO"/>
    <x v="5"/>
    <x v="1"/>
    <n v="0"/>
    <n v="884"/>
    <s v="Centro-Oeste"/>
    <x v="1"/>
    <n v="709.36"/>
    <d v="2025-06-16T00:00:00"/>
  </r>
  <r>
    <n v="100450"/>
    <x v="28"/>
    <s v="Lucas Martins"/>
    <s v="CARTÃO DE DÉBITO"/>
    <x v="3"/>
    <x v="2"/>
    <n v="0"/>
    <n v="843"/>
    <s v="Centro-Oeste"/>
    <x v="2"/>
    <n v="585.64"/>
    <d v="2025-06-16T00:00:00"/>
  </r>
  <r>
    <n v="101732"/>
    <x v="78"/>
    <s v="Elaine Ferreira"/>
    <s v="TED"/>
    <x v="1"/>
    <x v="2"/>
    <n v="0"/>
    <n v="409"/>
    <s v="Centro-Oeste"/>
    <x v="1"/>
    <n v="471.86"/>
    <d v="2025-06-16T00:00:00"/>
  </r>
  <r>
    <n v="101581"/>
    <x v="57"/>
    <s v="Fabio Costa"/>
    <s v="PIX"/>
    <x v="7"/>
    <x v="2"/>
    <n v="0"/>
    <n v="328"/>
    <s v="Sul"/>
    <x v="1"/>
    <n v="84.01"/>
    <d v="2025-06-16T00:00:00"/>
  </r>
  <r>
    <n v="101033"/>
    <x v="38"/>
    <s v="William Santos"/>
    <s v="PIX"/>
    <x v="0"/>
    <x v="1"/>
    <n v="0"/>
    <n v="662"/>
    <s v="Centro-Oeste"/>
    <x v="0"/>
    <n v="363.41"/>
    <d v="2025-06-15T00:00:00"/>
  </r>
  <r>
    <n v="101969"/>
    <x v="45"/>
    <s v="Sandra Vieira"/>
    <s v="BOLETO"/>
    <x v="0"/>
    <x v="0"/>
    <n v="25"/>
    <n v="518"/>
    <s v="Sul"/>
    <x v="2"/>
    <n v="56.23"/>
    <d v="2025-06-15T00:00:00"/>
  </r>
  <r>
    <n v="101906"/>
    <x v="79"/>
    <s v="Yasmin Araujo"/>
    <s v="CARTÃO DE DÉBITO"/>
    <x v="5"/>
    <x v="0"/>
    <n v="3"/>
    <n v="752"/>
    <s v="Sul"/>
    <x v="2"/>
    <n v="413.25"/>
    <d v="2025-06-14T00:00:00"/>
  </r>
  <r>
    <n v="101923"/>
    <x v="80"/>
    <s v="Isabela Nunes"/>
    <s v="BOLETO"/>
    <x v="2"/>
    <x v="1"/>
    <n v="0"/>
    <n v="433"/>
    <s v="Sudeste"/>
    <x v="0"/>
    <n v="349.02"/>
    <d v="2025-06-14T00:00:00"/>
  </r>
  <r>
    <n v="100004"/>
    <x v="60"/>
    <s v="Karina Silva"/>
    <s v="BOLETO"/>
    <x v="2"/>
    <x v="1"/>
    <n v="0"/>
    <n v="410"/>
    <s v="Sudeste"/>
    <x v="1"/>
    <n v="281.64999999999998"/>
    <d v="2025-06-14T00:00:00"/>
  </r>
  <r>
    <n v="100449"/>
    <x v="81"/>
    <s v="Bruno Lima"/>
    <s v="CARTÃO DE CRÉDITO"/>
    <x v="0"/>
    <x v="0"/>
    <n v="3"/>
    <n v="658"/>
    <s v="Nordeste"/>
    <x v="0"/>
    <n v="509.64"/>
    <d v="2025-06-13T00:00:00"/>
  </r>
  <r>
    <n v="102045"/>
    <x v="82"/>
    <s v="Vanessa Duarte"/>
    <s v="PIX"/>
    <x v="4"/>
    <x v="1"/>
    <n v="0"/>
    <n v="352"/>
    <s v="Norte"/>
    <x v="1"/>
    <n v="484.98"/>
    <d v="2025-06-13T00:00:00"/>
  </r>
  <r>
    <n v="100659"/>
    <x v="71"/>
    <s v="Caio Monteiro"/>
    <s v="TED"/>
    <x v="0"/>
    <x v="1"/>
    <n v="0"/>
    <n v="615"/>
    <s v="Sudeste"/>
    <x v="1"/>
    <n v="202.09"/>
    <d v="2025-06-13T00:00:00"/>
  </r>
  <r>
    <n v="100159"/>
    <x v="83"/>
    <s v="Bianca Freitas"/>
    <s v="CARTÃO DE CRÉDITO"/>
    <x v="4"/>
    <x v="2"/>
    <n v="0"/>
    <n v="400"/>
    <s v="Sul"/>
    <x v="0"/>
    <n v="141.79"/>
    <d v="2025-06-13T00:00:00"/>
  </r>
  <r>
    <n v="100243"/>
    <x v="84"/>
    <s v="Mariana Cardoso"/>
    <s v="CARTÃO DE CRÉDITO"/>
    <x v="5"/>
    <x v="1"/>
    <n v="0"/>
    <n v="437"/>
    <s v="Centro-Oeste"/>
    <x v="1"/>
    <n v="82.31"/>
    <d v="2025-06-13T00:00:00"/>
  </r>
  <r>
    <n v="100192"/>
    <x v="85"/>
    <s v="Ana Souza"/>
    <s v="CARTÃO DE CRÉDITO"/>
    <x v="5"/>
    <x v="1"/>
    <n v="0"/>
    <n v="465"/>
    <s v="Sudeste"/>
    <x v="1"/>
    <n v="708.86"/>
    <d v="2025-06-12T00:00:00"/>
  </r>
  <r>
    <n v="100981"/>
    <x v="77"/>
    <s v="Carla Mendes"/>
    <s v="PIX"/>
    <x v="4"/>
    <x v="0"/>
    <n v="17"/>
    <n v="884"/>
    <s v="Sul"/>
    <x v="2"/>
    <n v="296.17"/>
    <d v="2025-06-12T00:00:00"/>
  </r>
  <r>
    <n v="101890"/>
    <x v="61"/>
    <s v="Caio Monteiro"/>
    <s v="CARTÃO DE DÉBITO"/>
    <x v="0"/>
    <x v="1"/>
    <n v="0"/>
    <n v="797"/>
    <s v="Norte"/>
    <x v="1"/>
    <n v="284.2"/>
    <d v="2025-06-12T00:00:00"/>
  </r>
  <r>
    <n v="101346"/>
    <x v="86"/>
    <s v="Isabela Nunes"/>
    <s v="CARTÃO DE CRÉDITO"/>
    <x v="0"/>
    <x v="2"/>
    <n v="0"/>
    <n v="382"/>
    <s v="Sudeste"/>
    <x v="2"/>
    <n v="125.33"/>
    <d v="2025-06-12T00:00:00"/>
  </r>
  <r>
    <n v="101020"/>
    <x v="87"/>
    <s v="Karina Silva"/>
    <s v="TED"/>
    <x v="7"/>
    <x v="0"/>
    <n v="18"/>
    <n v="672"/>
    <s v="Nordeste"/>
    <x v="2"/>
    <n v="908.89"/>
    <d v="2025-06-11T00:00:00"/>
  </r>
  <r>
    <n v="101133"/>
    <x v="47"/>
    <s v="Gabriela Rocha"/>
    <s v="TED"/>
    <x v="1"/>
    <x v="0"/>
    <n v="16"/>
    <n v="733"/>
    <s v="Sul"/>
    <x v="0"/>
    <n v="390.24"/>
    <d v="2025-06-11T00:00:00"/>
  </r>
  <r>
    <n v="101309"/>
    <x v="88"/>
    <s v="Elaine Ferreira"/>
    <s v="TED"/>
    <x v="3"/>
    <x v="1"/>
    <n v="0"/>
    <n v="773"/>
    <s v="Sul"/>
    <x v="1"/>
    <m/>
    <d v="2025-06-11T00:00:00"/>
  </r>
  <r>
    <n v="101972"/>
    <x v="89"/>
    <s v="Debora Pinto"/>
    <s v="CARTÃO DE CRÉDITO"/>
    <x v="5"/>
    <x v="1"/>
    <n v="0"/>
    <n v="414"/>
    <s v="Sudeste"/>
    <x v="0"/>
    <n v="367.19"/>
    <d v="2025-06-09T00:00:00"/>
  </r>
  <r>
    <n v="100724"/>
    <x v="90"/>
    <s v="Elaine Ferreira"/>
    <s v="CARTÃO DE CRÉDITO"/>
    <x v="6"/>
    <x v="2"/>
    <s v="Não Informado"/>
    <n v="659"/>
    <s v="Nordeste"/>
    <x v="1"/>
    <n v="265.57"/>
    <d v="2025-06-09T00:00:00"/>
  </r>
  <r>
    <n v="101677"/>
    <x v="15"/>
    <s v="Caio Monteiro"/>
    <s v="TED"/>
    <x v="0"/>
    <x v="1"/>
    <n v="0"/>
    <n v="585"/>
    <s v="Nordeste"/>
    <x v="2"/>
    <n v="83.74"/>
    <d v="2025-06-08T00:00:00"/>
  </r>
  <r>
    <n v="100678"/>
    <x v="91"/>
    <s v="Nelson Teixeira"/>
    <s v="BOLETO"/>
    <x v="6"/>
    <x v="3"/>
    <n v="86"/>
    <n v="784"/>
    <s v="Centro-Oeste"/>
    <x v="1"/>
    <n v="283.73"/>
    <d v="2025-06-07T00:00:00"/>
  </r>
  <r>
    <n v="101086"/>
    <x v="92"/>
    <s v="Rafael Pereira"/>
    <s v="TED"/>
    <x v="3"/>
    <x v="1"/>
    <n v="0"/>
    <n v="866"/>
    <s v="Sul"/>
    <x v="1"/>
    <n v="248.59"/>
    <d v="2025-06-07T00:00:00"/>
  </r>
  <r>
    <n v="101758"/>
    <x v="78"/>
    <s v="Elaine Ferreira"/>
    <s v="CARTÃO DE CRÉDITO"/>
    <x v="4"/>
    <x v="0"/>
    <n v="22"/>
    <n v="409"/>
    <s v="Nordeste"/>
    <x v="1"/>
    <n v="105.02"/>
    <d v="2025-06-07T00:00:00"/>
  </r>
  <r>
    <n v="100311"/>
    <x v="93"/>
    <s v="Fabio Costa"/>
    <s v="PIX"/>
    <x v="4"/>
    <x v="2"/>
    <n v="0"/>
    <n v="814"/>
    <s v="Centro-Oeste"/>
    <x v="2"/>
    <n v="70.64"/>
    <d v="2025-06-07T00:00:00"/>
  </r>
  <r>
    <n v="100452"/>
    <x v="94"/>
    <s v="Gabriela Rocha"/>
    <s v="PIX"/>
    <x v="3"/>
    <x v="2"/>
    <n v="0"/>
    <n v="555"/>
    <s v="Norte"/>
    <x v="0"/>
    <m/>
    <d v="2025-06-07T00:00:00"/>
  </r>
  <r>
    <n v="101322"/>
    <x v="95"/>
    <s v="Joao Pedro Dias"/>
    <s v="PIX"/>
    <x v="5"/>
    <x v="2"/>
    <n v="0"/>
    <n v="823"/>
    <s v="Norte"/>
    <x v="2"/>
    <n v="871.93"/>
    <d v="2025-06-06T00:00:00"/>
  </r>
  <r>
    <n v="100545"/>
    <x v="19"/>
    <s v="Elaine Ferreira"/>
    <s v="TED"/>
    <x v="7"/>
    <x v="2"/>
    <n v="0"/>
    <n v="508"/>
    <s v="Sudeste"/>
    <x v="1"/>
    <n v="430.23"/>
    <d v="2025-06-06T00:00:00"/>
  </r>
  <r>
    <n v="100468"/>
    <x v="2"/>
    <s v="Lucas Martins"/>
    <s v="PIX"/>
    <x v="3"/>
    <x v="2"/>
    <n v="0"/>
    <n v="461"/>
    <s v="Sudeste"/>
    <x v="1"/>
    <n v="356.64"/>
    <d v="2025-06-06T00:00:00"/>
  </r>
  <r>
    <n v="101724"/>
    <x v="83"/>
    <s v="Bianca Freitas"/>
    <s v="TED"/>
    <x v="2"/>
    <x v="1"/>
    <n v="0"/>
    <n v="400"/>
    <s v="Não Informado"/>
    <x v="2"/>
    <n v="107.76"/>
    <d v="2025-06-06T00:00:00"/>
  </r>
  <r>
    <n v="100685"/>
    <x v="96"/>
    <s v="Rafael Pereira"/>
    <s v="CARTÃO DE CRÉDITO"/>
    <x v="2"/>
    <x v="1"/>
    <n v="0"/>
    <n v="567"/>
    <s v="Sul"/>
    <x v="1"/>
    <n v="488.1"/>
    <d v="2025-06-05T00:00:00"/>
  </r>
  <r>
    <n v="101009"/>
    <x v="97"/>
    <s v="Sandra Vieira"/>
    <s v="CARTÃO DE CRÉDITO"/>
    <x v="0"/>
    <x v="1"/>
    <n v="0"/>
    <n v="688"/>
    <s v="Sudeste"/>
    <x v="1"/>
    <n v="365.09"/>
    <d v="2025-06-05T00:00:00"/>
  </r>
  <r>
    <n v="100126"/>
    <x v="98"/>
    <s v="Bianca Freitas"/>
    <s v="CARTÃO DE CRÉDITO"/>
    <x v="0"/>
    <x v="3"/>
    <n v="89"/>
    <n v="443"/>
    <s v="Nordeste"/>
    <x v="2"/>
    <n v="667.5"/>
    <d v="2025-06-04T00:00:00"/>
  </r>
  <r>
    <n v="101625"/>
    <x v="13"/>
    <s v="Yasmin Araujo"/>
    <s v="TED"/>
    <x v="7"/>
    <x v="1"/>
    <n v="0"/>
    <n v="800"/>
    <s v="Sul"/>
    <x v="1"/>
    <n v="391.62"/>
    <d v="2025-06-04T00:00:00"/>
  </r>
  <r>
    <n v="101868"/>
    <x v="99"/>
    <s v="Diego Alves"/>
    <s v="BOLETO"/>
    <x v="7"/>
    <x v="0"/>
    <n v="19"/>
    <n v="651"/>
    <s v="Sul"/>
    <x v="0"/>
    <n v="381.64"/>
    <d v="2025-06-04T00:00:00"/>
  </r>
  <r>
    <n v="101493"/>
    <x v="57"/>
    <s v="Fabio Costa"/>
    <s v="PIX"/>
    <x v="2"/>
    <x v="0"/>
    <n v="18"/>
    <n v="328"/>
    <s v="Sudeste"/>
    <x v="1"/>
    <n v="267.06"/>
    <d v="2025-06-04T00:00:00"/>
  </r>
  <r>
    <n v="100029"/>
    <x v="99"/>
    <s v="Diego Alves"/>
    <s v="TED"/>
    <x v="3"/>
    <x v="3"/>
    <n v="48"/>
    <n v="651"/>
    <s v="Não Informado"/>
    <x v="2"/>
    <n v="234.97"/>
    <d v="2025-06-04T00:00:00"/>
  </r>
  <r>
    <n v="100378"/>
    <x v="100"/>
    <s v="Nelson Teixeira"/>
    <s v="PIX"/>
    <x v="3"/>
    <x v="0"/>
    <n v="21"/>
    <n v="557"/>
    <s v="Nordeste"/>
    <x v="2"/>
    <n v="1449.34"/>
    <d v="2025-06-03T00:00:00"/>
  </r>
  <r>
    <n v="100073"/>
    <x v="101"/>
    <s v="Thiago Correia"/>
    <s v="BOLETO"/>
    <x v="2"/>
    <x v="1"/>
    <n v="0"/>
    <n v="533"/>
    <s v="Centro-Oeste"/>
    <x v="3"/>
    <n v="702.7"/>
    <d v="2025-06-03T00:00:00"/>
  </r>
  <r>
    <n v="101662"/>
    <x v="102"/>
    <s v="Ana Souza"/>
    <s v="CARTÃO DE DÉBITO"/>
    <x v="2"/>
    <x v="1"/>
    <n v="0"/>
    <n v="430"/>
    <s v="Sudeste"/>
    <x v="1"/>
    <n v="506.9"/>
    <d v="2025-06-03T00:00:00"/>
  </r>
  <r>
    <n v="100215"/>
    <x v="103"/>
    <s v="Ana Souza"/>
    <s v="CARTÃO DE CRÉDITO"/>
    <x v="0"/>
    <x v="1"/>
    <n v="0"/>
    <n v="819"/>
    <s v="Norte"/>
    <x v="2"/>
    <n v="444.79"/>
    <d v="2025-06-03T00:00:00"/>
  </r>
  <r>
    <n v="101394"/>
    <x v="58"/>
    <s v="Karina Silva"/>
    <s v="PIX"/>
    <x v="3"/>
    <x v="0"/>
    <n v="29"/>
    <n v="544"/>
    <s v="Centro-Oeste"/>
    <x v="0"/>
    <n v="426.76"/>
    <d v="2025-06-03T00:00:00"/>
  </r>
  <r>
    <n v="100293"/>
    <x v="59"/>
    <s v="Heitor Barbosa"/>
    <s v="CARTÃO DE DÉBITO"/>
    <x v="1"/>
    <x v="1"/>
    <n v="0"/>
    <n v="372"/>
    <s v="Norte"/>
    <x v="1"/>
    <n v="619.12"/>
    <d v="2025-06-02T00:00:00"/>
  </r>
  <r>
    <n v="100924"/>
    <x v="104"/>
    <s v="Diego Alves"/>
    <s v="PIX"/>
    <x v="3"/>
    <x v="1"/>
    <n v="0"/>
    <n v="405"/>
    <s v="Sul"/>
    <x v="2"/>
    <n v="246.19"/>
    <d v="2025-06-02T00:00:00"/>
  </r>
  <r>
    <n v="101859"/>
    <x v="105"/>
    <s v="Karina Silva"/>
    <s v="PIX"/>
    <x v="7"/>
    <x v="1"/>
    <n v="0"/>
    <n v="623"/>
    <s v="Nordeste"/>
    <x v="1"/>
    <n v="210.1"/>
    <d v="2025-06-02T00:00:00"/>
  </r>
  <r>
    <n v="102123"/>
    <x v="106"/>
    <s v="Carla Mendes"/>
    <s v="TED"/>
    <x v="0"/>
    <x v="1"/>
    <n v="0"/>
    <n v="501"/>
    <s v="Centro-Oeste"/>
    <x v="1"/>
    <n v="359.26499999999999"/>
    <d v="2025-06-01T00:00:00"/>
  </r>
  <r>
    <n v="100929"/>
    <x v="107"/>
    <s v="Carla Mendes"/>
    <s v="TED"/>
    <x v="0"/>
    <x v="0"/>
    <n v="14"/>
    <n v="893"/>
    <s v="Centro-Oeste"/>
    <x v="2"/>
    <n v="136.6"/>
    <d v="2025-06-01T00:00:00"/>
  </r>
  <r>
    <n v="100367"/>
    <x v="90"/>
    <s v="Elaine Ferreira"/>
    <s v="TED"/>
    <x v="5"/>
    <x v="3"/>
    <n v="139"/>
    <n v="659"/>
    <s v="Norte"/>
    <x v="2"/>
    <n v="241.57"/>
    <d v="2025-05-31T00:00:00"/>
  </r>
  <r>
    <n v="101274"/>
    <x v="107"/>
    <s v="Carla Mendes"/>
    <s v="TED"/>
    <x v="6"/>
    <x v="1"/>
    <n v="0"/>
    <n v="893"/>
    <s v="Centro-Oeste"/>
    <x v="1"/>
    <n v="125.27"/>
    <d v="2025-05-31T00:00:00"/>
  </r>
  <r>
    <n v="100790"/>
    <x v="108"/>
    <s v="Otavio Ramos"/>
    <s v="PIX"/>
    <x v="7"/>
    <x v="1"/>
    <n v="0"/>
    <n v="792"/>
    <s v="Centro-Oeste"/>
    <x v="1"/>
    <n v="101.66"/>
    <d v="2025-05-31T00:00:00"/>
  </r>
  <r>
    <n v="101928"/>
    <x v="109"/>
    <s v="Sandra Vieira"/>
    <s v="CARTÃO DE CRÉDITO"/>
    <x v="0"/>
    <x v="2"/>
    <n v="0"/>
    <n v="733"/>
    <s v="Não Informado"/>
    <x v="2"/>
    <n v="805.26"/>
    <d v="2025-05-30T00:00:00"/>
  </r>
  <r>
    <n v="102125"/>
    <x v="110"/>
    <s v="Carla Mendes"/>
    <s v="CARTÃO DE CRÉDITO"/>
    <x v="5"/>
    <x v="1"/>
    <s v="Não Informado"/>
    <n v="540"/>
    <s v="Sudeste"/>
    <x v="0"/>
    <n v="660.64"/>
    <d v="2025-05-30T00:00:00"/>
  </r>
  <r>
    <n v="100444"/>
    <x v="69"/>
    <s v="Ana Souza"/>
    <s v="CARTÃO DE CRÉDITO"/>
    <x v="7"/>
    <x v="3"/>
    <n v="47"/>
    <n v="741"/>
    <s v="Nordeste"/>
    <x v="2"/>
    <n v="513.29"/>
    <d v="2025-05-30T00:00:00"/>
  </r>
  <r>
    <n v="101514"/>
    <x v="111"/>
    <s v="Debora Pinto"/>
    <s v="CARTÃO DE CRÉDITO"/>
    <x v="7"/>
    <x v="1"/>
    <s v="Não Informado"/>
    <n v="849"/>
    <s v="Nordeste"/>
    <x v="3"/>
    <n v="604.11"/>
    <d v="2025-05-29T00:00:00"/>
  </r>
  <r>
    <n v="101272"/>
    <x v="112"/>
    <s v="Sandra Vieira"/>
    <s v="BOLETO"/>
    <x v="3"/>
    <x v="1"/>
    <n v="0"/>
    <n v="638"/>
    <s v="Centro-Oeste"/>
    <x v="1"/>
    <n v="133.46"/>
    <d v="2025-05-29T00:00:00"/>
  </r>
  <r>
    <n v="102194"/>
    <x v="46"/>
    <s v="Rafael Pereira"/>
    <s v="CARTÃO DE CRÉDITO"/>
    <x v="3"/>
    <x v="1"/>
    <n v="0"/>
    <n v="399"/>
    <s v="Norte"/>
    <x v="1"/>
    <n v="562.76"/>
    <d v="2025-05-28T00:00:00"/>
  </r>
  <r>
    <n v="100560"/>
    <x v="113"/>
    <s v="Caio Monteiro"/>
    <s v="PIX"/>
    <x v="3"/>
    <x v="1"/>
    <n v="0"/>
    <n v="308"/>
    <s v="Sul"/>
    <x v="1"/>
    <n v="236.59"/>
    <d v="2025-05-28T00:00:00"/>
  </r>
  <r>
    <n v="101893"/>
    <x v="114"/>
    <s v="Heitor Barbosa"/>
    <s v="CARTÃO DE CRÉDITO"/>
    <x v="2"/>
    <x v="1"/>
    <n v="0"/>
    <n v="340"/>
    <s v="Nordeste"/>
    <x v="1"/>
    <n v="218.06"/>
    <d v="2025-05-28T00:00:00"/>
  </r>
  <r>
    <n v="101698"/>
    <x v="115"/>
    <s v="Karina Silva"/>
    <s v="PIX"/>
    <x v="2"/>
    <x v="0"/>
    <n v="27"/>
    <n v="487"/>
    <s v="Nordeste"/>
    <x v="1"/>
    <n v="118.59"/>
    <d v="2025-05-28T00:00:00"/>
  </r>
  <r>
    <n v="101075"/>
    <x v="39"/>
    <s v="Nelson Teixeira"/>
    <s v="TED"/>
    <x v="1"/>
    <x v="2"/>
    <n v="0"/>
    <n v="606"/>
    <s v="Norte"/>
    <x v="0"/>
    <n v="46.46"/>
    <d v="2025-05-28T00:00:00"/>
  </r>
  <r>
    <n v="100882"/>
    <x v="116"/>
    <s v="William Santos"/>
    <s v="TED"/>
    <x v="6"/>
    <x v="0"/>
    <n v="17"/>
    <n v="898"/>
    <s v="Sudeste"/>
    <x v="1"/>
    <n v="22.91"/>
    <d v="2025-05-28T00:00:00"/>
  </r>
  <r>
    <n v="101146"/>
    <x v="117"/>
    <s v="Nelson Teixeira"/>
    <s v="PIX"/>
    <x v="2"/>
    <x v="1"/>
    <n v="0"/>
    <n v="712"/>
    <s v="Sul"/>
    <x v="1"/>
    <n v="164.68"/>
    <d v="2025-05-27T00:00:00"/>
  </r>
  <r>
    <n v="101981"/>
    <x v="118"/>
    <s v="Bruno Lima"/>
    <s v="PIX"/>
    <x v="0"/>
    <x v="2"/>
    <n v="0"/>
    <n v="458"/>
    <s v="Sudeste"/>
    <x v="1"/>
    <n v="110.44"/>
    <d v="2025-05-27T00:00:00"/>
  </r>
  <r>
    <n v="100510"/>
    <x v="22"/>
    <s v="Heitor Barbosa"/>
    <s v="PIX"/>
    <x v="2"/>
    <x v="1"/>
    <n v="0"/>
    <n v="607"/>
    <s v="Norte"/>
    <x v="1"/>
    <n v="689.06"/>
    <d v="2025-05-26T00:00:00"/>
  </r>
  <r>
    <n v="101114"/>
    <x v="119"/>
    <s v="Mariana Cardoso"/>
    <s v="TED"/>
    <x v="7"/>
    <x v="1"/>
    <n v="0"/>
    <n v="374"/>
    <s v="Centro-Oeste"/>
    <x v="1"/>
    <n v="430.05"/>
    <d v="2025-05-26T00:00:00"/>
  </r>
  <r>
    <n v="102033"/>
    <x v="120"/>
    <s v="Não Informado"/>
    <s v="TED"/>
    <x v="1"/>
    <x v="2"/>
    <n v="0"/>
    <n v="542"/>
    <s v="Nordeste"/>
    <x v="1"/>
    <n v="302.24"/>
    <d v="2025-05-26T00:00:00"/>
  </r>
  <r>
    <n v="100133"/>
    <x v="77"/>
    <s v="Carla Mendes"/>
    <s v="CARTÃO DE DÉBITO"/>
    <x v="3"/>
    <x v="0"/>
    <n v="21"/>
    <n v="884"/>
    <s v="Nordeste"/>
    <x v="1"/>
    <n v="281.06"/>
    <d v="2025-05-26T00:00:00"/>
  </r>
  <r>
    <n v="100123"/>
    <x v="121"/>
    <s v="Isabela Nunes"/>
    <s v="PIX"/>
    <x v="3"/>
    <x v="1"/>
    <n v="0"/>
    <n v="585"/>
    <s v="Nordeste"/>
    <x v="1"/>
    <n v="175.26"/>
    <d v="2025-05-26T00:00:00"/>
  </r>
  <r>
    <n v="101748"/>
    <x v="122"/>
    <s v="Mariana Cardoso"/>
    <s v="CARTÃO DE CRÉDITO"/>
    <x v="5"/>
    <x v="2"/>
    <n v="0"/>
    <n v="435"/>
    <s v="Nordeste"/>
    <x v="2"/>
    <n v="8.26"/>
    <d v="2025-05-26T00:00:00"/>
  </r>
  <r>
    <n v="101495"/>
    <x v="5"/>
    <s v="Bruno Lima"/>
    <s v="BOLETO"/>
    <x v="1"/>
    <x v="1"/>
    <n v="0"/>
    <n v="434"/>
    <s v="Centro-Oeste"/>
    <x v="1"/>
    <n v="419.9"/>
    <d v="2025-05-25T00:00:00"/>
  </r>
  <r>
    <n v="101995"/>
    <x v="123"/>
    <s v="Carla Mendes"/>
    <s v="CARTÃO DE CRÉDITO"/>
    <x v="1"/>
    <x v="1"/>
    <n v="0"/>
    <n v="636"/>
    <s v="Não Informado"/>
    <x v="0"/>
    <n v="148.97"/>
    <d v="2025-05-25T00:00:00"/>
  </r>
  <r>
    <n v="100938"/>
    <x v="67"/>
    <s v="Fabio Costa"/>
    <s v="BOLETO"/>
    <x v="7"/>
    <x v="1"/>
    <n v="0"/>
    <n v="515"/>
    <s v="Centro-Oeste"/>
    <x v="0"/>
    <n v="766.54"/>
    <d v="2025-05-24T00:00:00"/>
  </r>
  <r>
    <n v="102185"/>
    <x v="124"/>
    <s v="Sandra Vieira"/>
    <s v="BOLETO"/>
    <x v="6"/>
    <x v="1"/>
    <n v="0"/>
    <n v="568"/>
    <s v="Sudeste"/>
    <x v="1"/>
    <n v="486.32"/>
    <d v="2025-05-24T00:00:00"/>
  </r>
  <r>
    <n v="101570"/>
    <x v="111"/>
    <s v="Debora Pinto"/>
    <s v="BOLETO"/>
    <x v="0"/>
    <x v="1"/>
    <n v="0"/>
    <n v="849"/>
    <s v="Não Informado"/>
    <x v="0"/>
    <n v="271.98"/>
    <d v="2025-05-24T00:00:00"/>
  </r>
  <r>
    <n v="100160"/>
    <x v="125"/>
    <s v="Thiago Correia"/>
    <s v="PIX"/>
    <x v="1"/>
    <x v="1"/>
    <n v="0"/>
    <n v="867"/>
    <s v="Norte"/>
    <x v="0"/>
    <n v="918.57"/>
    <d v="2025-05-23T00:00:00"/>
  </r>
  <r>
    <n v="102072"/>
    <x v="126"/>
    <s v="Rafael Pereira"/>
    <s v="TED"/>
    <x v="0"/>
    <x v="3"/>
    <n v="74"/>
    <n v="345"/>
    <s v="Centro-Oeste"/>
    <x v="1"/>
    <n v="481.19"/>
    <d v="2025-05-23T00:00:00"/>
  </r>
  <r>
    <n v="102192"/>
    <x v="50"/>
    <s v="Gabriela Rocha"/>
    <s v="BOLETO"/>
    <x v="4"/>
    <x v="1"/>
    <n v="0"/>
    <n v="621"/>
    <s v="Centro-Oeste"/>
    <x v="2"/>
    <n v="383.96"/>
    <d v="2025-05-23T00:00:00"/>
  </r>
  <r>
    <n v="101192"/>
    <x v="127"/>
    <s v="Otavio Ramos"/>
    <s v="PIX"/>
    <x v="4"/>
    <x v="1"/>
    <n v="0"/>
    <n v="560"/>
    <s v="Sul"/>
    <x v="1"/>
    <n v="348.67"/>
    <d v="2025-05-23T00:00:00"/>
  </r>
  <r>
    <n v="101759"/>
    <x v="128"/>
    <s v="Lucas Martins"/>
    <s v="TED"/>
    <x v="3"/>
    <x v="1"/>
    <n v="0"/>
    <n v="395"/>
    <s v="Nordeste"/>
    <x v="2"/>
    <m/>
    <d v="2025-05-23T00:00:00"/>
  </r>
  <r>
    <n v="101885"/>
    <x v="34"/>
    <s v="Debora Pinto"/>
    <s v="PIX"/>
    <x v="2"/>
    <x v="2"/>
    <n v="0"/>
    <n v="585"/>
    <s v="Centro-Oeste"/>
    <x v="1"/>
    <n v="1261.3599999999999"/>
    <d v="2025-05-22T00:00:00"/>
  </r>
  <r>
    <n v="101217"/>
    <x v="81"/>
    <s v="Bruno Lima"/>
    <s v="CARTÃO DE CRÉDITO"/>
    <x v="3"/>
    <x v="0"/>
    <n v="27"/>
    <n v="658"/>
    <s v="Nordeste"/>
    <x v="2"/>
    <n v="871.79"/>
    <d v="2025-05-22T00:00:00"/>
  </r>
  <r>
    <n v="100648"/>
    <x v="25"/>
    <s v="Sandra Vieira"/>
    <s v="PIX"/>
    <x v="2"/>
    <x v="2"/>
    <n v="0"/>
    <n v="309"/>
    <s v="Sul"/>
    <x v="1"/>
    <n v="423.51"/>
    <d v="2025-05-22T00:00:00"/>
  </r>
  <r>
    <n v="100343"/>
    <x v="129"/>
    <s v="Heitor Barbosa"/>
    <s v="BOLETO"/>
    <x v="0"/>
    <x v="1"/>
    <n v="0"/>
    <n v="832"/>
    <s v="Centro-Oeste"/>
    <x v="1"/>
    <n v="231.69"/>
    <d v="2025-05-22T00:00:00"/>
  </r>
  <r>
    <n v="101612"/>
    <x v="42"/>
    <s v="Lucas Martins"/>
    <s v="CARTÃO DE CRÉDITO"/>
    <x v="0"/>
    <x v="1"/>
    <n v="0"/>
    <n v="527"/>
    <s v="Centro-Oeste"/>
    <x v="1"/>
    <n v="214.44"/>
    <d v="2025-05-22T00:00:00"/>
  </r>
  <r>
    <n v="101064"/>
    <x v="98"/>
    <s v="Bianca Freitas"/>
    <s v="BOLETO"/>
    <x v="7"/>
    <x v="3"/>
    <n v="46"/>
    <n v="443"/>
    <s v="Sul"/>
    <x v="1"/>
    <n v="902.43"/>
    <d v="2025-05-21T00:00:00"/>
  </r>
  <r>
    <n v="100420"/>
    <x v="104"/>
    <s v="Diego Alves"/>
    <s v="BOLETO"/>
    <x v="4"/>
    <x v="2"/>
    <n v="0"/>
    <n v="405"/>
    <s v="Sul"/>
    <x v="1"/>
    <n v="386.5"/>
    <d v="2025-05-21T00:00:00"/>
  </r>
  <r>
    <n v="101468"/>
    <x v="124"/>
    <s v="Sandra Vieira"/>
    <s v="CARTÃO DE DÉBITO"/>
    <x v="3"/>
    <x v="1"/>
    <n v="0"/>
    <n v="568"/>
    <s v="Sudeste"/>
    <x v="1"/>
    <n v="951.43"/>
    <d v="2025-05-20T00:00:00"/>
  </r>
  <r>
    <n v="101484"/>
    <x v="64"/>
    <s v="Nelson Teixeira"/>
    <s v="TED"/>
    <x v="0"/>
    <x v="2"/>
    <n v="0"/>
    <n v="732"/>
    <s v="Norte"/>
    <x v="0"/>
    <n v="590.73"/>
    <d v="2025-05-20T00:00:00"/>
  </r>
  <r>
    <n v="100102"/>
    <x v="130"/>
    <s v="Bruno Lima"/>
    <s v="PIX"/>
    <x v="1"/>
    <x v="2"/>
    <n v="0"/>
    <n v="515"/>
    <s v="Norte"/>
    <x v="2"/>
    <n v="448.08"/>
    <d v="2025-05-20T00:00:00"/>
  </r>
  <r>
    <n v="100059"/>
    <x v="107"/>
    <s v="Carla Mendes"/>
    <s v="BOLETO"/>
    <x v="7"/>
    <x v="1"/>
    <n v="0"/>
    <n v="893"/>
    <s v="Norte"/>
    <x v="2"/>
    <n v="414.21"/>
    <d v="2025-05-20T00:00:00"/>
  </r>
  <r>
    <n v="100209"/>
    <x v="112"/>
    <s v="Sandra Vieira"/>
    <s v="BOLETO"/>
    <x v="6"/>
    <x v="1"/>
    <n v="0"/>
    <n v="638"/>
    <s v="Sudeste"/>
    <x v="1"/>
    <n v="298.18"/>
    <d v="2025-05-20T00:00:00"/>
  </r>
  <r>
    <n v="101663"/>
    <x v="131"/>
    <s v="William Santos"/>
    <s v="CARTÃO DE DÉBITO"/>
    <x v="7"/>
    <x v="1"/>
    <n v="0"/>
    <n v="355"/>
    <s v="Sul"/>
    <x v="1"/>
    <n v="152.06"/>
    <d v="2025-05-20T00:00:00"/>
  </r>
  <r>
    <n v="100651"/>
    <x v="3"/>
    <s v="Não Informado"/>
    <s v="BOLETO"/>
    <x v="2"/>
    <x v="1"/>
    <n v="0"/>
    <n v="818"/>
    <s v="Nordeste"/>
    <x v="2"/>
    <n v="721.62"/>
    <d v="2025-05-19T00:00:00"/>
  </r>
  <r>
    <n v="101050"/>
    <x v="4"/>
    <s v="Bianca Freitas"/>
    <s v="CARTÃO DE CRÉDITO"/>
    <x v="1"/>
    <x v="1"/>
    <n v="0"/>
    <n v="623"/>
    <s v="Sul"/>
    <x v="2"/>
    <n v="265.8"/>
    <d v="2025-05-19T00:00:00"/>
  </r>
  <r>
    <n v="102174"/>
    <x v="99"/>
    <s v="Diego Alves"/>
    <s v="PIX"/>
    <x v="7"/>
    <x v="2"/>
    <n v="0"/>
    <n v="651"/>
    <s v="Nordeste"/>
    <x v="2"/>
    <n v="259.88"/>
    <d v="2025-05-19T00:00:00"/>
  </r>
  <r>
    <n v="100025"/>
    <x v="125"/>
    <s v="Thiago Correia"/>
    <s v="TED"/>
    <x v="0"/>
    <x v="1"/>
    <n v="0"/>
    <n v="867"/>
    <s v="Centro-Oeste"/>
    <x v="0"/>
    <n v="552.29"/>
    <d v="2025-05-18T00:00:00"/>
  </r>
  <r>
    <n v="101618"/>
    <x v="132"/>
    <s v="Vanessa Duarte"/>
    <s v="PIX"/>
    <x v="1"/>
    <x v="2"/>
    <n v="0"/>
    <n v="741"/>
    <s v="Centro-Oeste"/>
    <x v="1"/>
    <n v="534.35"/>
    <d v="2025-05-18T00:00:00"/>
  </r>
  <r>
    <n v="100165"/>
    <x v="133"/>
    <s v="Nelson Teixeira"/>
    <s v="PIX"/>
    <x v="4"/>
    <x v="0"/>
    <n v="5"/>
    <n v="865"/>
    <s v="Nordeste"/>
    <x v="1"/>
    <n v="462.94"/>
    <d v="2025-05-18T00:00:00"/>
  </r>
  <r>
    <n v="100753"/>
    <x v="134"/>
    <s v="William Santos"/>
    <s v="BOLETO"/>
    <x v="0"/>
    <x v="1"/>
    <n v="0"/>
    <n v="858"/>
    <s v="Nordeste"/>
    <x v="0"/>
    <n v="286.19"/>
    <d v="2025-05-18T00:00:00"/>
  </r>
  <r>
    <n v="101933"/>
    <x v="13"/>
    <s v="Yasmin Araujo"/>
    <s v="BOLETO"/>
    <x v="4"/>
    <x v="0"/>
    <n v="18"/>
    <n v="800"/>
    <s v="Centro-Oeste"/>
    <x v="1"/>
    <n v="261.82"/>
    <d v="2025-05-18T00:00:00"/>
  </r>
  <r>
    <n v="101971"/>
    <x v="135"/>
    <s v="Vanessa Duarte"/>
    <s v="CARTÃO DE CRÉDITO"/>
    <x v="0"/>
    <x v="1"/>
    <n v="0"/>
    <n v="345"/>
    <s v="Sul"/>
    <x v="3"/>
    <n v="519.42999999999995"/>
    <d v="2025-05-17T00:00:00"/>
  </r>
  <r>
    <n v="101572"/>
    <x v="136"/>
    <s v="Heitor Barbosa"/>
    <s v="CARTÃO DE CRÉDITO"/>
    <x v="5"/>
    <x v="1"/>
    <n v="0"/>
    <n v="607"/>
    <s v="Centro-Oeste"/>
    <x v="2"/>
    <n v="323.27999999999997"/>
    <d v="2025-05-17T00:00:00"/>
  </r>
  <r>
    <n v="100887"/>
    <x v="20"/>
    <s v="Elaine Ferreira"/>
    <s v="CARTÃO DE CRÉDITO"/>
    <x v="0"/>
    <x v="0"/>
    <n v="13"/>
    <n v="591"/>
    <s v="Sudeste"/>
    <x v="2"/>
    <n v="221.96"/>
    <d v="2025-05-17T00:00:00"/>
  </r>
  <r>
    <n v="100637"/>
    <x v="130"/>
    <s v="Bruno Lima"/>
    <s v="BOLETO"/>
    <x v="5"/>
    <x v="0"/>
    <n v="18"/>
    <n v="515"/>
    <s v="Nordeste"/>
    <x v="2"/>
    <n v="204.76"/>
    <d v="2025-05-17T00:00:00"/>
  </r>
  <r>
    <n v="101045"/>
    <x v="137"/>
    <s v="Caio Monteiro"/>
    <s v="CARTÃO DE CRÉDITO"/>
    <x v="4"/>
    <x v="1"/>
    <n v="0"/>
    <n v="332"/>
    <s v="Sul"/>
    <x v="2"/>
    <n v="577.45000000000005"/>
    <d v="2025-05-16T00:00:00"/>
  </r>
  <r>
    <n v="100285"/>
    <x v="138"/>
    <s v="Thiago Correia"/>
    <s v="BOLETO"/>
    <x v="7"/>
    <x v="1"/>
    <n v="0"/>
    <n v="592"/>
    <s v="Sudeste"/>
    <x v="0"/>
    <n v="200.75"/>
    <d v="2025-05-16T00:00:00"/>
  </r>
  <r>
    <n v="102102"/>
    <x v="101"/>
    <s v="Thiago Correia"/>
    <s v="CARTÃO DE DÉBITO"/>
    <x v="2"/>
    <x v="1"/>
    <n v="0"/>
    <n v="533"/>
    <s v="Sul"/>
    <x v="0"/>
    <n v="769.22"/>
    <d v="2025-05-15T00:00:00"/>
  </r>
  <r>
    <n v="100541"/>
    <x v="24"/>
    <s v="Rafael Pereira"/>
    <s v="PIX"/>
    <x v="0"/>
    <x v="1"/>
    <n v="0"/>
    <n v="458"/>
    <s v="Sudeste"/>
    <x v="2"/>
    <n v="522.61"/>
    <d v="2025-05-15T00:00:00"/>
  </r>
  <r>
    <n v="101728"/>
    <x v="121"/>
    <s v="Isabela Nunes"/>
    <s v="CARTÃO DE DÉBITO"/>
    <x v="1"/>
    <x v="0"/>
    <n v="18"/>
    <n v="585"/>
    <s v="Centro-Oeste"/>
    <x v="0"/>
    <n v="441.03"/>
    <d v="2025-05-15T00:00:00"/>
  </r>
  <r>
    <n v="100107"/>
    <x v="45"/>
    <s v="Sandra Vieira"/>
    <s v="PIX"/>
    <x v="5"/>
    <x v="1"/>
    <n v="0"/>
    <n v="518"/>
    <s v="Norte"/>
    <x v="2"/>
    <n v="339.21"/>
    <d v="2025-05-15T00:00:00"/>
  </r>
  <r>
    <n v="100705"/>
    <x v="139"/>
    <s v="Diego Alves"/>
    <s v="PIX"/>
    <x v="2"/>
    <x v="2"/>
    <n v="0"/>
    <n v="362"/>
    <s v="Nordeste"/>
    <x v="1"/>
    <n v="143.13"/>
    <d v="2025-05-15T00:00:00"/>
  </r>
  <r>
    <n v="100636"/>
    <x v="140"/>
    <s v="Yasmin Araujo"/>
    <s v="BOLETO"/>
    <x v="4"/>
    <x v="2"/>
    <s v="Não Informado"/>
    <n v="519"/>
    <s v="Centro-Oeste"/>
    <x v="1"/>
    <m/>
    <d v="2025-05-15T00:00:00"/>
  </r>
  <r>
    <n v="102183"/>
    <x v="91"/>
    <s v="Nelson Teixeira"/>
    <s v="CARTÃO DE CRÉDITO"/>
    <x v="3"/>
    <x v="1"/>
    <n v="0"/>
    <n v="784"/>
    <s v="Sudeste"/>
    <x v="1"/>
    <n v="209.53"/>
    <d v="2025-05-13T00:00:00"/>
  </r>
  <r>
    <n v="101770"/>
    <x v="141"/>
    <s v="Otavio Ramos"/>
    <s v="TED"/>
    <x v="7"/>
    <x v="0"/>
    <n v="7"/>
    <n v="746"/>
    <s v="Sudeste"/>
    <x v="0"/>
    <n v="1267.43"/>
    <d v="2025-05-12T00:00:00"/>
  </r>
  <r>
    <n v="100372"/>
    <x v="142"/>
    <s v="Yasmin Araujo"/>
    <s v="BOLETO"/>
    <x v="1"/>
    <x v="1"/>
    <n v="0"/>
    <n v="621"/>
    <s v="Centro-Oeste"/>
    <x v="0"/>
    <n v="276.12"/>
    <d v="2025-05-12T00:00:00"/>
  </r>
  <r>
    <n v="100798"/>
    <x v="40"/>
    <s v="Lucas Martins"/>
    <s v="CARTÃO DE CRÉDITO"/>
    <x v="1"/>
    <x v="2"/>
    <n v="0"/>
    <n v="570"/>
    <s v="Norte"/>
    <x v="2"/>
    <n v="262.73"/>
    <d v="2025-05-12T00:00:00"/>
  </r>
  <r>
    <n v="101181"/>
    <x v="133"/>
    <s v="Nelson Teixeira"/>
    <s v="CARTÃO DE CRÉDITO"/>
    <x v="6"/>
    <x v="1"/>
    <n v="0"/>
    <n v="865"/>
    <s v="Nordeste"/>
    <x v="1"/>
    <n v="1347.09"/>
    <d v="2025-05-11T00:00:00"/>
  </r>
  <r>
    <n v="101122"/>
    <x v="143"/>
    <s v="Não Informado"/>
    <s v="TED"/>
    <x v="5"/>
    <x v="2"/>
    <n v="0"/>
    <n v="543"/>
    <s v="Nordeste"/>
    <x v="1"/>
    <n v="525.6"/>
    <d v="2025-05-11T00:00:00"/>
  </r>
  <r>
    <n v="100173"/>
    <x v="118"/>
    <s v="Bruno Lima"/>
    <s v="CARTÃO DE DÉBITO"/>
    <x v="2"/>
    <x v="1"/>
    <n v="0"/>
    <n v="458"/>
    <s v="Norte"/>
    <x v="0"/>
    <n v="204.95"/>
    <d v="2025-05-11T00:00:00"/>
  </r>
  <r>
    <n v="101246"/>
    <x v="144"/>
    <s v="Debora Pinto"/>
    <s v="TED"/>
    <x v="3"/>
    <x v="3"/>
    <n v="174"/>
    <n v="522"/>
    <s v="Sudeste"/>
    <x v="2"/>
    <n v="47.07"/>
    <d v="2025-05-11T00:00:00"/>
  </r>
  <r>
    <n v="100861"/>
    <x v="40"/>
    <s v="Lucas Martins"/>
    <s v="BOLETO"/>
    <x v="0"/>
    <x v="1"/>
    <n v="0"/>
    <n v="570"/>
    <s v="Nordeste"/>
    <x v="0"/>
    <n v="283.32"/>
    <d v="2025-05-09T00:00:00"/>
  </r>
  <r>
    <n v="101532"/>
    <x v="145"/>
    <s v="Ana Souza"/>
    <s v="PIX"/>
    <x v="7"/>
    <x v="1"/>
    <n v="0"/>
    <n v="784"/>
    <s v="Nordeste"/>
    <x v="1"/>
    <n v="890.3"/>
    <d v="2025-05-08T00:00:00"/>
  </r>
  <r>
    <n v="100320"/>
    <x v="146"/>
    <s v="Thiago Correia"/>
    <s v="BOLETO"/>
    <x v="1"/>
    <x v="3"/>
    <n v="148"/>
    <n v="890"/>
    <s v="Norte"/>
    <x v="0"/>
    <n v="435.79"/>
    <d v="2025-05-08T00:00:00"/>
  </r>
  <r>
    <n v="100068"/>
    <x v="92"/>
    <s v="Rafael Pereira"/>
    <s v="CARTÃO DE DÉBITO"/>
    <x v="5"/>
    <x v="3"/>
    <n v="172"/>
    <n v="866"/>
    <s v="Sudeste"/>
    <x v="1"/>
    <n v="329.52"/>
    <d v="2025-05-07T00:00:00"/>
  </r>
  <r>
    <n v="100819"/>
    <x v="147"/>
    <s v="Thiago Correia"/>
    <s v="CARTÃO DE CRÉDITO"/>
    <x v="1"/>
    <x v="1"/>
    <n v="0"/>
    <n v="554"/>
    <s v="Norte"/>
    <x v="1"/>
    <n v="444.19"/>
    <d v="2025-05-06T00:00:00"/>
  </r>
  <r>
    <n v="101266"/>
    <x v="148"/>
    <s v="Gabriela Rocha"/>
    <s v="PIX"/>
    <x v="1"/>
    <x v="2"/>
    <n v="0"/>
    <n v="720"/>
    <s v="Centro-Oeste"/>
    <x v="1"/>
    <n v="420.9"/>
    <d v="2025-05-05T00:00:00"/>
  </r>
  <r>
    <n v="101593"/>
    <x v="129"/>
    <s v="Heitor Barbosa"/>
    <s v="TED"/>
    <x v="4"/>
    <x v="1"/>
    <n v="0"/>
    <n v="832"/>
    <s v="Centro-Oeste"/>
    <x v="1"/>
    <n v="265.83999999999997"/>
    <d v="2025-05-05T00:00:00"/>
  </r>
  <r>
    <n v="100574"/>
    <x v="125"/>
    <s v="Thiago Correia"/>
    <s v="BOLETO"/>
    <x v="2"/>
    <x v="1"/>
    <n v="0"/>
    <n v="867"/>
    <s v="Centro-Oeste"/>
    <x v="1"/>
    <n v="214.2"/>
    <d v="2025-05-05T00:00:00"/>
  </r>
  <r>
    <n v="101021"/>
    <x v="149"/>
    <s v="Carla Mendes"/>
    <s v="TED"/>
    <x v="2"/>
    <x v="1"/>
    <n v="0"/>
    <n v="769"/>
    <s v="Centro-Oeste"/>
    <x v="2"/>
    <n v="608.34"/>
    <d v="2025-05-04T00:00:00"/>
  </r>
  <r>
    <n v="101851"/>
    <x v="150"/>
    <s v="William Santos"/>
    <s v="CARTÃO DE DÉBITO"/>
    <x v="3"/>
    <x v="3"/>
    <n v="112"/>
    <n v="699"/>
    <s v="Centro-Oeste"/>
    <x v="1"/>
    <n v="541.27"/>
    <d v="2025-05-04T00:00:00"/>
  </r>
  <r>
    <n v="100297"/>
    <x v="94"/>
    <s v="Gabriela Rocha"/>
    <s v="PIX"/>
    <x v="7"/>
    <x v="0"/>
    <n v="1"/>
    <n v="555"/>
    <s v="Nordeste"/>
    <x v="1"/>
    <n v="229.88"/>
    <d v="2025-05-04T00:00:00"/>
  </r>
  <r>
    <n v="101056"/>
    <x v="151"/>
    <s v="Heitor Barbosa"/>
    <s v="TED"/>
    <x v="0"/>
    <x v="3"/>
    <n v="161"/>
    <n v="855"/>
    <s v="Sul"/>
    <x v="1"/>
    <n v="210.34"/>
    <d v="2025-05-04T00:00:00"/>
  </r>
  <r>
    <n v="100894"/>
    <x v="97"/>
    <s v="Sandra Vieira"/>
    <s v="PIX"/>
    <x v="4"/>
    <x v="2"/>
    <s v="Não Informado"/>
    <n v="688"/>
    <s v="Sul"/>
    <x v="2"/>
    <n v="142.97999999999999"/>
    <d v="2025-05-04T00:00:00"/>
  </r>
  <r>
    <n v="101956"/>
    <x v="23"/>
    <s v="Gabriela Rocha"/>
    <s v="CARTÃO DE CRÉDITO"/>
    <x v="1"/>
    <x v="2"/>
    <n v="0"/>
    <n v="494"/>
    <s v="Sudeste"/>
    <x v="1"/>
    <n v="138.1"/>
    <d v="2025-05-04T00:00:00"/>
  </r>
  <r>
    <n v="100886"/>
    <x v="152"/>
    <s v="Isabela Nunes"/>
    <s v="CARTÃO DE DÉBITO"/>
    <x v="2"/>
    <x v="1"/>
    <n v="0"/>
    <n v="673"/>
    <s v="Centro-Oeste"/>
    <x v="1"/>
    <n v="79.61"/>
    <d v="2025-05-04T00:00:00"/>
  </r>
  <r>
    <n v="101204"/>
    <x v="39"/>
    <s v="Nelson Teixeira"/>
    <s v="CARTÃO DE DÉBITO"/>
    <x v="4"/>
    <x v="1"/>
    <n v="0"/>
    <n v="606"/>
    <s v="Norte"/>
    <x v="0"/>
    <n v="492.66"/>
    <d v="2025-05-03T00:00:00"/>
  </r>
  <r>
    <n v="101083"/>
    <x v="39"/>
    <s v="Nelson Teixeira"/>
    <s v="BOLETO"/>
    <x v="2"/>
    <x v="2"/>
    <n v="0"/>
    <n v="606"/>
    <s v="Nordeste"/>
    <x v="1"/>
    <n v="402.34"/>
    <d v="2025-05-03T00:00:00"/>
  </r>
  <r>
    <n v="100599"/>
    <x v="36"/>
    <s v="Vanessa Duarte"/>
    <s v="CARTÃO DE DÉBITO"/>
    <x v="3"/>
    <x v="1"/>
    <n v="0"/>
    <n v="463"/>
    <s v="Nordeste"/>
    <x v="2"/>
    <n v="664.9"/>
    <d v="2025-05-02T00:00:00"/>
  </r>
  <r>
    <n v="101778"/>
    <x v="18"/>
    <s v="Gabriela Rocha"/>
    <s v="TED"/>
    <x v="0"/>
    <x v="2"/>
    <n v="0"/>
    <n v="466"/>
    <s v="Norte"/>
    <x v="2"/>
    <n v="609.64"/>
    <d v="2025-05-02T00:00:00"/>
  </r>
  <r>
    <n v="101814"/>
    <x v="20"/>
    <s v="Elaine Ferreira"/>
    <s v="PIX"/>
    <x v="4"/>
    <x v="2"/>
    <n v="0"/>
    <n v="591"/>
    <s v="Sul"/>
    <x v="1"/>
    <n v="602.72"/>
    <d v="2025-05-02T00:00:00"/>
  </r>
  <r>
    <n v="100858"/>
    <x v="153"/>
    <s v="Diego Alves"/>
    <s v="CARTÃO DE DÉBITO"/>
    <x v="3"/>
    <x v="1"/>
    <n v="0"/>
    <n v="797"/>
    <s v="Norte"/>
    <x v="0"/>
    <n v="306.94"/>
    <d v="2025-05-02T00:00:00"/>
  </r>
  <r>
    <n v="100655"/>
    <x v="154"/>
    <s v="Fabio Costa"/>
    <s v="TED"/>
    <x v="4"/>
    <x v="1"/>
    <n v="0"/>
    <n v="451"/>
    <s v="Sul"/>
    <x v="1"/>
    <n v="295.20999999999998"/>
    <d v="2025-05-02T00:00:00"/>
  </r>
  <r>
    <n v="101590"/>
    <x v="56"/>
    <s v="Não Informado"/>
    <s v="CARTÃO DE CRÉDITO"/>
    <x v="1"/>
    <x v="2"/>
    <n v="0"/>
    <n v="418"/>
    <s v="Nordeste"/>
    <x v="1"/>
    <n v="221.56"/>
    <d v="2025-05-02T00:00:00"/>
  </r>
  <r>
    <n v="101538"/>
    <x v="155"/>
    <s v="Caio Monteiro"/>
    <s v="CARTÃO DE CRÉDITO"/>
    <x v="7"/>
    <x v="3"/>
    <n v="156"/>
    <n v="744"/>
    <s v="Centro-Oeste"/>
    <x v="0"/>
    <n v="174.47"/>
    <d v="2025-05-02T00:00:00"/>
  </r>
  <r>
    <n v="100712"/>
    <x v="156"/>
    <s v="William Santos"/>
    <s v="BOLETO"/>
    <x v="4"/>
    <x v="3"/>
    <n v="113"/>
    <n v="890"/>
    <s v="Sudeste"/>
    <x v="1"/>
    <n v="938.01"/>
    <d v="2025-05-01T00:00:00"/>
  </r>
  <r>
    <n v="100413"/>
    <x v="84"/>
    <s v="Mariana Cardoso"/>
    <s v="CARTÃO DE CRÉDITO"/>
    <x v="1"/>
    <x v="1"/>
    <n v="0"/>
    <n v="437"/>
    <s v="Nordeste"/>
    <x v="1"/>
    <n v="374.34"/>
    <d v="2025-05-01T00:00:00"/>
  </r>
  <r>
    <n v="101727"/>
    <x v="60"/>
    <s v="Karina Silva"/>
    <s v="CARTÃO DE CRÉDITO"/>
    <x v="0"/>
    <x v="1"/>
    <n v="0"/>
    <n v="410"/>
    <s v="Sul"/>
    <x v="1"/>
    <n v="271.07"/>
    <d v="2025-05-01T00:00:00"/>
  </r>
  <r>
    <n v="100393"/>
    <x v="114"/>
    <s v="Heitor Barbosa"/>
    <s v="CARTÃO DE CRÉDITO"/>
    <x v="0"/>
    <x v="1"/>
    <n v="0"/>
    <n v="340"/>
    <s v="Norte"/>
    <x v="1"/>
    <n v="127.8"/>
    <d v="2025-05-01T00:00:00"/>
  </r>
  <r>
    <n v="101095"/>
    <x v="110"/>
    <s v="Carla Mendes"/>
    <s v="PIX"/>
    <x v="1"/>
    <x v="2"/>
    <n v="0"/>
    <n v="540"/>
    <s v="Centro-Oeste"/>
    <x v="1"/>
    <n v="668.37"/>
    <d v="2025-04-30T00:00:00"/>
  </r>
  <r>
    <n v="100713"/>
    <x v="157"/>
    <s v="Patricia Gomes"/>
    <s v="CARTÃO DE CRÉDITO"/>
    <x v="1"/>
    <x v="1"/>
    <n v="0"/>
    <n v="849"/>
    <s v="Nordeste"/>
    <x v="0"/>
    <n v="449.94"/>
    <d v="2025-04-30T00:00:00"/>
  </r>
  <r>
    <n v="100049"/>
    <x v="65"/>
    <s v="Gabriela Rocha"/>
    <s v="CARTÃO DE CRÉDITO"/>
    <x v="2"/>
    <x v="1"/>
    <n v="0"/>
    <n v="571"/>
    <s v="Sudeste"/>
    <x v="1"/>
    <n v="284.82"/>
    <d v="2025-04-30T00:00:00"/>
  </r>
  <r>
    <n v="101979"/>
    <x v="158"/>
    <s v="Heitor Barbosa"/>
    <s v="CARTÃO DE CRÉDITO"/>
    <x v="7"/>
    <x v="0"/>
    <n v="2"/>
    <n v="771"/>
    <s v="Sudeste"/>
    <x v="2"/>
    <n v="268.02"/>
    <d v="2025-04-30T00:00:00"/>
  </r>
  <r>
    <n v="102082"/>
    <x v="159"/>
    <s v="Bianca Freitas"/>
    <s v="PIX"/>
    <x v="4"/>
    <x v="1"/>
    <n v="0"/>
    <n v="375"/>
    <s v="Nordeste"/>
    <x v="1"/>
    <n v="1129.96"/>
    <d v="2025-04-29T00:00:00"/>
  </r>
  <r>
    <n v="101189"/>
    <x v="30"/>
    <s v="Debora Pinto"/>
    <s v="BOLETO"/>
    <x v="2"/>
    <x v="1"/>
    <n v="0"/>
    <n v="325"/>
    <s v="Centro-Oeste"/>
    <x v="1"/>
    <n v="361.68"/>
    <d v="2025-04-29T00:00:00"/>
  </r>
  <r>
    <n v="101520"/>
    <x v="114"/>
    <s v="Heitor Barbosa"/>
    <s v="CARTÃO DE CRÉDITO"/>
    <x v="2"/>
    <x v="2"/>
    <n v="0"/>
    <n v="340"/>
    <s v="Nordeste"/>
    <x v="0"/>
    <n v="230.22"/>
    <d v="2025-04-29T00:00:00"/>
  </r>
  <r>
    <n v="101985"/>
    <x v="122"/>
    <s v="Mariana Cardoso"/>
    <s v="CARTÃO DE CRÉDITO"/>
    <x v="0"/>
    <x v="0"/>
    <n v="28"/>
    <n v="435"/>
    <s v="Centro-Oeste"/>
    <x v="2"/>
    <n v="1064.0899999999999"/>
    <d v="2025-04-28T00:00:00"/>
  </r>
  <r>
    <n v="100654"/>
    <x v="134"/>
    <s v="William Santos"/>
    <s v="CARTÃO DE DÉBITO"/>
    <x v="1"/>
    <x v="1"/>
    <n v="0"/>
    <n v="858"/>
    <s v="Norte"/>
    <x v="0"/>
    <n v="800.58"/>
    <d v="2025-04-28T00:00:00"/>
  </r>
  <r>
    <n v="100565"/>
    <x v="160"/>
    <s v="Otavio Ramos"/>
    <s v="CARTÃO DE DÉBITO"/>
    <x v="1"/>
    <x v="1"/>
    <n v="0"/>
    <n v="740"/>
    <s v="Norte"/>
    <x v="1"/>
    <n v="324.39999999999998"/>
    <d v="2025-04-28T00:00:00"/>
  </r>
  <r>
    <n v="100384"/>
    <x v="100"/>
    <s v="Nelson Teixeira"/>
    <s v="TED"/>
    <x v="3"/>
    <x v="2"/>
    <n v="0"/>
    <n v="557"/>
    <s v="Nordeste"/>
    <x v="2"/>
    <n v="138.55500000000001"/>
    <d v="2025-04-28T00:00:00"/>
  </r>
  <r>
    <n v="101567"/>
    <x v="161"/>
    <s v="Isabela Nunes"/>
    <s v="PIX"/>
    <x v="3"/>
    <x v="3"/>
    <n v="48"/>
    <n v="470"/>
    <s v="Sul"/>
    <x v="1"/>
    <n v="1018.2"/>
    <d v="2025-04-27T00:00:00"/>
  </r>
  <r>
    <n v="101280"/>
    <x v="162"/>
    <s v="Mariana Cardoso"/>
    <s v="PIX"/>
    <x v="1"/>
    <x v="1"/>
    <n v="0"/>
    <n v="360"/>
    <s v="Sul"/>
    <x v="2"/>
    <n v="821.23"/>
    <d v="2025-04-27T00:00:00"/>
  </r>
  <r>
    <n v="100795"/>
    <x v="139"/>
    <s v="Diego Alves"/>
    <s v="BOLETO"/>
    <x v="7"/>
    <x v="0"/>
    <n v="22"/>
    <n v="362"/>
    <s v="Centro-Oeste"/>
    <x v="0"/>
    <n v="545.64"/>
    <d v="2025-04-27T00:00:00"/>
  </r>
  <r>
    <n v="101695"/>
    <x v="126"/>
    <s v="Rafael Pereira"/>
    <s v="CARTÃO DE CRÉDITO"/>
    <x v="1"/>
    <x v="1"/>
    <n v="0"/>
    <n v="345"/>
    <s v="Sul"/>
    <x v="1"/>
    <n v="189.99"/>
    <d v="2025-04-27T00:00:00"/>
  </r>
  <r>
    <n v="101434"/>
    <x v="163"/>
    <s v="Bruno Lima"/>
    <s v="CARTÃO DE CRÉDITO"/>
    <x v="0"/>
    <x v="2"/>
    <n v="0"/>
    <n v="548"/>
    <s v="Centro-Oeste"/>
    <x v="2"/>
    <n v="1480.47"/>
    <d v="2025-04-26T00:00:00"/>
  </r>
  <r>
    <n v="101128"/>
    <x v="60"/>
    <s v="Karina Silva"/>
    <s v="BOLETO"/>
    <x v="1"/>
    <x v="1"/>
    <n v="0"/>
    <n v="410"/>
    <s v="Norte"/>
    <x v="1"/>
    <n v="517.74"/>
    <d v="2025-04-26T00:00:00"/>
  </r>
  <r>
    <n v="102083"/>
    <x v="43"/>
    <s v="Vanessa Duarte"/>
    <s v="CARTÃO DE DÉBITO"/>
    <x v="7"/>
    <x v="1"/>
    <n v="0"/>
    <n v="713"/>
    <s v="Centro-Oeste"/>
    <x v="1"/>
    <n v="408.93"/>
    <d v="2025-04-26T00:00:00"/>
  </r>
  <r>
    <n v="101425"/>
    <x v="77"/>
    <s v="Carla Mendes"/>
    <s v="CARTÃO DE DÉBITO"/>
    <x v="3"/>
    <x v="0"/>
    <n v="11"/>
    <n v="884"/>
    <s v="Sudeste"/>
    <x v="1"/>
    <n v="336.83"/>
    <d v="2025-04-26T00:00:00"/>
  </r>
  <r>
    <n v="100401"/>
    <x v="82"/>
    <s v="Vanessa Duarte"/>
    <s v="BOLETO"/>
    <x v="3"/>
    <x v="1"/>
    <n v="0"/>
    <n v="352"/>
    <s v="Norte"/>
    <x v="1"/>
    <n v="265.48"/>
    <d v="2025-04-26T00:00:00"/>
  </r>
  <r>
    <n v="101699"/>
    <x v="120"/>
    <s v="Vanessa Duarte"/>
    <s v="CARTÃO DE CRÉDITO"/>
    <x v="7"/>
    <x v="0"/>
    <n v="14"/>
    <n v="542"/>
    <s v="Sudeste"/>
    <x v="2"/>
    <n v="247.78"/>
    <d v="2025-04-26T00:00:00"/>
  </r>
  <r>
    <n v="101680"/>
    <x v="126"/>
    <s v="Rafael Pereira"/>
    <s v="PIX"/>
    <x v="5"/>
    <x v="0"/>
    <n v="11"/>
    <n v="345"/>
    <s v="Sudeste"/>
    <x v="0"/>
    <n v="234.48"/>
    <d v="2025-04-26T00:00:00"/>
  </r>
  <r>
    <n v="102188"/>
    <x v="164"/>
    <s v="Sandra Vieira"/>
    <s v="TED"/>
    <x v="3"/>
    <x v="1"/>
    <n v="0"/>
    <n v="435"/>
    <s v="Sul"/>
    <x v="3"/>
    <n v="169.76"/>
    <d v="2025-04-26T00:00:00"/>
  </r>
  <r>
    <n v="100888"/>
    <x v="165"/>
    <s v="Debora Pinto"/>
    <s v="CARTÃO DE DÉBITO"/>
    <x v="5"/>
    <x v="1"/>
    <n v="0"/>
    <n v="377"/>
    <s v="Nordeste"/>
    <x v="0"/>
    <n v="571.63"/>
    <d v="2025-04-25T00:00:00"/>
  </r>
  <r>
    <n v="100032"/>
    <x v="128"/>
    <s v="Lucas Martins"/>
    <s v="CARTÃO DE DÉBITO"/>
    <x v="5"/>
    <x v="1"/>
    <n v="0"/>
    <n v="395"/>
    <s v="Não Informado"/>
    <x v="2"/>
    <n v="249.92"/>
    <d v="2025-04-25T00:00:00"/>
  </r>
  <r>
    <n v="100518"/>
    <x v="166"/>
    <s v="Bianca Freitas"/>
    <s v="CARTÃO DE CRÉDITO"/>
    <x v="6"/>
    <x v="1"/>
    <n v="0"/>
    <n v="490"/>
    <s v="Sul"/>
    <x v="1"/>
    <n v="248.25"/>
    <d v="2025-04-25T00:00:00"/>
  </r>
  <r>
    <n v="101218"/>
    <x v="43"/>
    <s v="Vanessa Duarte"/>
    <s v="CARTÃO DE CRÉDITO"/>
    <x v="3"/>
    <x v="2"/>
    <n v="0"/>
    <n v="713"/>
    <s v="Nordeste"/>
    <x v="1"/>
    <n v="93.38"/>
    <d v="2025-04-25T00:00:00"/>
  </r>
  <r>
    <n v="100067"/>
    <x v="1"/>
    <s v="Karina Silva"/>
    <s v="CARTÃO DE DÉBITO"/>
    <x v="1"/>
    <x v="0"/>
    <n v="12"/>
    <n v="850"/>
    <s v="Norte"/>
    <x v="2"/>
    <n v="50.55"/>
    <d v="2025-04-25T00:00:00"/>
  </r>
  <r>
    <n v="100424"/>
    <x v="167"/>
    <s v="Ana Souza"/>
    <s v="CARTÃO DE CRÉDITO"/>
    <x v="5"/>
    <x v="2"/>
    <n v="0"/>
    <n v="573"/>
    <s v="Sudeste"/>
    <x v="0"/>
    <n v="402.98"/>
    <d v="2025-04-24T00:00:00"/>
  </r>
  <r>
    <n v="101431"/>
    <x v="168"/>
    <s v="Sandra Vieira"/>
    <s v="BOLETO"/>
    <x v="7"/>
    <x v="2"/>
    <n v="0"/>
    <n v="567"/>
    <s v="Nordeste"/>
    <x v="1"/>
    <n v="281.54000000000002"/>
    <d v="2025-04-24T00:00:00"/>
  </r>
  <r>
    <n v="100282"/>
    <x v="129"/>
    <s v="Heitor Barbosa"/>
    <s v="CARTÃO DE DÉBITO"/>
    <x v="1"/>
    <x v="2"/>
    <n v="0"/>
    <n v="832"/>
    <s v="Norte"/>
    <x v="1"/>
    <n v="151.53"/>
    <d v="2025-04-24T00:00:00"/>
  </r>
  <r>
    <n v="100348"/>
    <x v="97"/>
    <s v="Sandra Vieira"/>
    <s v="PIX"/>
    <x v="6"/>
    <x v="0"/>
    <n v="21"/>
    <n v="688"/>
    <s v="Centro-Oeste"/>
    <x v="0"/>
    <n v="558.66"/>
    <d v="2025-04-23T00:00:00"/>
  </r>
  <r>
    <n v="100530"/>
    <x v="19"/>
    <s v="Elaine Ferreira"/>
    <s v="TED"/>
    <x v="2"/>
    <x v="0"/>
    <n v="29"/>
    <n v="508"/>
    <s v="Centro-Oeste"/>
    <x v="1"/>
    <n v="191.56"/>
    <d v="2025-04-23T00:00:00"/>
  </r>
  <r>
    <n v="100720"/>
    <x v="103"/>
    <s v="Ana Souza"/>
    <s v="CARTÃO DE DÉBITO"/>
    <x v="2"/>
    <x v="0"/>
    <n v="19"/>
    <n v="819"/>
    <s v="Centro-Oeste"/>
    <x v="1"/>
    <n v="264.04000000000002"/>
    <d v="2025-04-22T00:00:00"/>
  </r>
  <r>
    <n v="101908"/>
    <x v="157"/>
    <s v="Patricia Gomes"/>
    <s v="BOLETO"/>
    <x v="2"/>
    <x v="3"/>
    <n v="151"/>
    <n v="849"/>
    <s v="Centro-Oeste"/>
    <x v="0"/>
    <n v="897.67"/>
    <d v="2025-04-21T00:00:00"/>
  </r>
  <r>
    <n v="100947"/>
    <x v="169"/>
    <s v="Joao Pedro Dias"/>
    <s v="PIX"/>
    <x v="4"/>
    <x v="3"/>
    <n v="154"/>
    <n v="302"/>
    <s v="Norte"/>
    <x v="0"/>
    <n v="330.08"/>
    <d v="2025-04-21T00:00:00"/>
  </r>
  <r>
    <n v="101352"/>
    <x v="168"/>
    <s v="Sandra Vieira"/>
    <s v="BOLETO"/>
    <x v="2"/>
    <x v="1"/>
    <n v="0"/>
    <n v="567"/>
    <s v="Centro-Oeste"/>
    <x v="2"/>
    <n v="713.52"/>
    <d v="2025-04-20T00:00:00"/>
  </r>
  <r>
    <n v="100608"/>
    <x v="58"/>
    <s v="Karina Silva"/>
    <s v="BOLETO"/>
    <x v="5"/>
    <x v="1"/>
    <n v="0"/>
    <n v="544"/>
    <s v="Centro-Oeste"/>
    <x v="1"/>
    <n v="329.75"/>
    <d v="2025-04-20T00:00:00"/>
  </r>
  <r>
    <n v="100730"/>
    <x v="27"/>
    <s v="William Santos"/>
    <s v="PIX"/>
    <x v="7"/>
    <x v="1"/>
    <n v="0"/>
    <n v="716"/>
    <s v="Sudeste"/>
    <x v="2"/>
    <n v="477.05"/>
    <d v="2025-04-19T00:00:00"/>
  </r>
  <r>
    <n v="101018"/>
    <x v="1"/>
    <s v="Karina Silva"/>
    <s v="CARTÃO DE DÉBITO"/>
    <x v="2"/>
    <x v="0"/>
    <n v="22"/>
    <n v="850"/>
    <s v="Norte"/>
    <x v="1"/>
    <n v="230.65"/>
    <d v="2025-04-19T00:00:00"/>
  </r>
  <r>
    <n v="101867"/>
    <x v="126"/>
    <s v="Rafael Pereira"/>
    <s v="BOLETO"/>
    <x v="3"/>
    <x v="1"/>
    <n v="0"/>
    <n v="345"/>
    <s v="Sudeste"/>
    <x v="1"/>
    <n v="222.56"/>
    <d v="2025-04-19T00:00:00"/>
  </r>
  <r>
    <n v="100786"/>
    <x v="88"/>
    <s v="Elaine Ferreira"/>
    <s v="PIX"/>
    <x v="6"/>
    <x v="1"/>
    <n v="0"/>
    <n v="773"/>
    <s v="Sul"/>
    <x v="0"/>
    <n v="462.29"/>
    <d v="2025-04-18T00:00:00"/>
  </r>
  <r>
    <n v="100915"/>
    <x v="159"/>
    <s v="Bianca Freitas"/>
    <s v="PIX"/>
    <x v="5"/>
    <x v="1"/>
    <n v="0"/>
    <n v="375"/>
    <s v="Sul"/>
    <x v="1"/>
    <n v="364.63"/>
    <d v="2025-04-18T00:00:00"/>
  </r>
  <r>
    <n v="100366"/>
    <x v="51"/>
    <s v="Yasmin Araujo"/>
    <s v="TED"/>
    <x v="4"/>
    <x v="0"/>
    <n v="1"/>
    <n v="820"/>
    <s v="Centro-Oeste"/>
    <x v="1"/>
    <n v="298.62"/>
    <d v="2025-04-18T00:00:00"/>
  </r>
  <r>
    <n v="101798"/>
    <x v="37"/>
    <s v="Bianca Freitas"/>
    <s v="CARTÃO DE DÉBITO"/>
    <x v="0"/>
    <x v="1"/>
    <n v="0"/>
    <n v="653"/>
    <s v="Sul"/>
    <x v="2"/>
    <n v="70.03"/>
    <d v="2025-04-18T00:00:00"/>
  </r>
  <r>
    <n v="101997"/>
    <x v="20"/>
    <s v="Elaine Ferreira"/>
    <s v="CARTÃO DE CRÉDITO"/>
    <x v="1"/>
    <x v="1"/>
    <n v="0"/>
    <n v="591"/>
    <s v="Sudeste"/>
    <x v="2"/>
    <n v="425.63"/>
    <d v="2025-04-17T00:00:00"/>
  </r>
  <r>
    <n v="102081"/>
    <x v="170"/>
    <s v="Elaine Ferreira"/>
    <s v="PIX"/>
    <x v="0"/>
    <x v="1"/>
    <n v="0"/>
    <n v="821"/>
    <s v="Norte"/>
    <x v="2"/>
    <n v="362.09"/>
    <d v="2025-04-17T00:00:00"/>
  </r>
  <r>
    <n v="101477"/>
    <x v="135"/>
    <s v="Vanessa Duarte"/>
    <s v="BOLETO"/>
    <x v="7"/>
    <x v="2"/>
    <n v="0"/>
    <n v="345"/>
    <s v="Norte"/>
    <x v="0"/>
    <n v="865.24"/>
    <d v="2025-04-16T00:00:00"/>
  </r>
  <r>
    <n v="101448"/>
    <x v="171"/>
    <s v="Debora Pinto"/>
    <s v="CARTÃO DE DÉBITO"/>
    <x v="3"/>
    <x v="2"/>
    <n v="0"/>
    <n v="571"/>
    <s v="Não Informado"/>
    <x v="1"/>
    <n v="207.79"/>
    <d v="2025-04-16T00:00:00"/>
  </r>
  <r>
    <n v="102020"/>
    <x v="130"/>
    <s v="Bruno Lima"/>
    <s v="CARTÃO DE CRÉDITO"/>
    <x v="4"/>
    <x v="2"/>
    <n v="0"/>
    <n v="515"/>
    <s v="Norte"/>
    <x v="1"/>
    <n v="293.07"/>
    <d v="2025-04-15T00:00:00"/>
  </r>
  <r>
    <n v="102145"/>
    <x v="45"/>
    <s v="Sandra Vieira"/>
    <s v="TED"/>
    <x v="7"/>
    <x v="1"/>
    <s v="Não Informado"/>
    <n v="518"/>
    <s v="Norte"/>
    <x v="1"/>
    <n v="96.96"/>
    <d v="2025-04-15T00:00:00"/>
  </r>
  <r>
    <n v="101810"/>
    <x v="73"/>
    <s v="Mariana Cardoso"/>
    <s v="PIX"/>
    <x v="6"/>
    <x v="0"/>
    <n v="2"/>
    <n v="583"/>
    <s v="Sul"/>
    <x v="1"/>
    <n v="527.65"/>
    <d v="2025-04-14T00:00:00"/>
  </r>
  <r>
    <n v="101558"/>
    <x v="65"/>
    <s v="Gabriela Rocha"/>
    <s v="BOLETO"/>
    <x v="4"/>
    <x v="1"/>
    <n v="0"/>
    <n v="571"/>
    <s v="Norte"/>
    <x v="1"/>
    <n v="167.56"/>
    <d v="2025-04-14T00:00:00"/>
  </r>
  <r>
    <n v="100709"/>
    <x v="101"/>
    <s v="Thiago Correia"/>
    <s v="BOLETO"/>
    <x v="6"/>
    <x v="3"/>
    <n v="55"/>
    <n v="533"/>
    <s v="Sudeste"/>
    <x v="2"/>
    <n v="80.23"/>
    <d v="2025-04-14T00:00:00"/>
  </r>
  <r>
    <n v="100090"/>
    <x v="172"/>
    <s v="Caio Monteiro"/>
    <s v="BOLETO"/>
    <x v="5"/>
    <x v="1"/>
    <n v="0"/>
    <n v="892"/>
    <s v="Sul"/>
    <x v="0"/>
    <n v="567.28"/>
    <d v="2025-04-13T00:00:00"/>
  </r>
  <r>
    <n v="101524"/>
    <x v="173"/>
    <s v="Mariana Cardoso"/>
    <s v="CARTÃO DE CRÉDITO"/>
    <x v="2"/>
    <x v="1"/>
    <n v="0"/>
    <n v="621"/>
    <s v="Sul"/>
    <x v="1"/>
    <n v="427.42"/>
    <d v="2025-04-13T00:00:00"/>
  </r>
  <r>
    <n v="101654"/>
    <x v="174"/>
    <s v="Debora Pinto"/>
    <s v="CARTÃO DE DÉBITO"/>
    <x v="6"/>
    <x v="1"/>
    <n v="0"/>
    <n v="721"/>
    <s v="Não Informado"/>
    <x v="0"/>
    <n v="362.68"/>
    <d v="2025-04-13T00:00:00"/>
  </r>
  <r>
    <n v="100140"/>
    <x v="26"/>
    <s v="Diego Alves"/>
    <s v="CARTÃO DE CRÉDITO"/>
    <x v="5"/>
    <x v="1"/>
    <n v="0"/>
    <n v="710"/>
    <s v="Nordeste"/>
    <x v="1"/>
    <n v="347.33"/>
    <d v="2025-04-13T00:00:00"/>
  </r>
  <r>
    <n v="101269"/>
    <x v="175"/>
    <s v="Debora Pinto"/>
    <s v="BOLETO"/>
    <x v="1"/>
    <x v="1"/>
    <n v="0"/>
    <n v="588"/>
    <s v="Centro-Oeste"/>
    <x v="1"/>
    <n v="195.71"/>
    <d v="2025-04-13T00:00:00"/>
  </r>
  <r>
    <n v="102007"/>
    <x v="176"/>
    <s v="Lucas Martins"/>
    <s v="CARTÃO DE CRÉDITO"/>
    <x v="3"/>
    <x v="1"/>
    <n v="0"/>
    <n v="765"/>
    <s v="Nordeste"/>
    <x v="2"/>
    <n v="147.19999999999999"/>
    <d v="2025-04-13T00:00:00"/>
  </r>
  <r>
    <n v="100036"/>
    <x v="175"/>
    <s v="Debora Pinto"/>
    <s v="TED"/>
    <x v="4"/>
    <x v="3"/>
    <n v="81"/>
    <n v="588"/>
    <s v="Centro-Oeste"/>
    <x v="2"/>
    <n v="621"/>
    <d v="2025-04-12T00:00:00"/>
  </r>
  <r>
    <n v="100801"/>
    <x v="34"/>
    <s v="Debora Pinto"/>
    <s v="PIX"/>
    <x v="5"/>
    <x v="1"/>
    <n v="0"/>
    <n v="585"/>
    <s v="Não Informado"/>
    <x v="0"/>
    <n v="201.29"/>
    <d v="2025-04-12T00:00:00"/>
  </r>
  <r>
    <n v="100998"/>
    <x v="114"/>
    <s v="Heitor Barbosa"/>
    <s v="PIX"/>
    <x v="1"/>
    <x v="1"/>
    <n v="0"/>
    <n v="340"/>
    <s v="Nordeste"/>
    <x v="1"/>
    <n v="949.01"/>
    <d v="2025-04-11T00:00:00"/>
  </r>
  <r>
    <n v="100315"/>
    <x v="61"/>
    <s v="Caio Monteiro"/>
    <s v="CARTÃO DE DÉBITO"/>
    <x v="7"/>
    <x v="2"/>
    <n v="0"/>
    <n v="797"/>
    <s v="Sudeste"/>
    <x v="1"/>
    <n v="213.16"/>
    <d v="2025-04-11T00:00:00"/>
  </r>
  <r>
    <n v="101776"/>
    <x v="156"/>
    <s v="William Santos"/>
    <s v="CARTÃO DE DÉBITO"/>
    <x v="3"/>
    <x v="1"/>
    <n v="0"/>
    <n v="890"/>
    <s v="Sul"/>
    <x v="2"/>
    <n v="152"/>
    <d v="2025-04-11T00:00:00"/>
  </r>
  <r>
    <n v="100310"/>
    <x v="75"/>
    <s v="Carla Mendes"/>
    <s v="CARTÃO DE CRÉDITO"/>
    <x v="1"/>
    <x v="1"/>
    <n v="0"/>
    <n v="798"/>
    <s v="Nordeste"/>
    <x v="0"/>
    <n v="518.79"/>
    <d v="2025-04-10T00:00:00"/>
  </r>
  <r>
    <n v="100242"/>
    <x v="177"/>
    <s v="Otavio Ramos"/>
    <s v="CARTÃO DE CRÉDITO"/>
    <x v="7"/>
    <x v="2"/>
    <n v="0"/>
    <n v="411"/>
    <s v="Sudeste"/>
    <x v="0"/>
    <n v="479.06"/>
    <d v="2025-04-10T00:00:00"/>
  </r>
  <r>
    <n v="100483"/>
    <x v="95"/>
    <s v="Joao Pedro Dias"/>
    <s v="TED"/>
    <x v="0"/>
    <x v="2"/>
    <n v="0"/>
    <n v="823"/>
    <s v="Centro-Oeste"/>
    <x v="1"/>
    <n v="378.62"/>
    <d v="2025-04-10T00:00:00"/>
  </r>
  <r>
    <n v="100364"/>
    <x v="178"/>
    <s v="Isabela Nunes"/>
    <s v="CARTÃO DE DÉBITO"/>
    <x v="4"/>
    <x v="2"/>
    <n v="0"/>
    <n v="878"/>
    <s v="Centro-Oeste"/>
    <x v="0"/>
    <n v="349.89"/>
    <d v="2025-04-10T00:00:00"/>
  </r>
  <r>
    <n v="102129"/>
    <x v="151"/>
    <s v="Heitor Barbosa"/>
    <s v="CARTÃO DE CRÉDITO"/>
    <x v="7"/>
    <x v="2"/>
    <n v="0"/>
    <n v="855"/>
    <s v="Sudeste"/>
    <x v="1"/>
    <n v="206.43"/>
    <d v="2025-04-10T00:00:00"/>
  </r>
  <r>
    <n v="100042"/>
    <x v="162"/>
    <s v="Mariana Cardoso"/>
    <s v="BOLETO"/>
    <x v="4"/>
    <x v="3"/>
    <n v="169"/>
    <n v="360"/>
    <s v="Centro-Oeste"/>
    <x v="1"/>
    <n v="792.07"/>
    <d v="2025-04-09T00:00:00"/>
  </r>
  <r>
    <n v="100474"/>
    <x v="179"/>
    <s v="Isabela Nunes"/>
    <s v="TED"/>
    <x v="7"/>
    <x v="3"/>
    <n v="140"/>
    <n v="309"/>
    <s v="Sudeste"/>
    <x v="0"/>
    <n v="242.9"/>
    <d v="2025-04-09T00:00:00"/>
  </r>
  <r>
    <n v="101838"/>
    <x v="180"/>
    <s v="Vanessa Duarte"/>
    <s v="PIX"/>
    <x v="3"/>
    <x v="2"/>
    <n v="0"/>
    <n v="482"/>
    <s v="Nordeste"/>
    <x v="2"/>
    <n v="143.13"/>
    <d v="2025-04-09T00:00:00"/>
  </r>
  <r>
    <n v="100022"/>
    <x v="181"/>
    <s v="Diego Alves"/>
    <s v="CARTÃO DE CRÉDITO"/>
    <x v="2"/>
    <x v="1"/>
    <n v="0"/>
    <n v="534"/>
    <s v="Sul"/>
    <x v="0"/>
    <n v="116.31"/>
    <d v="2025-04-09T00:00:00"/>
  </r>
  <r>
    <n v="101035"/>
    <x v="89"/>
    <s v="Debora Pinto"/>
    <s v="TED"/>
    <x v="1"/>
    <x v="1"/>
    <n v="0"/>
    <n v="414"/>
    <s v="Nordeste"/>
    <x v="0"/>
    <n v="53.17"/>
    <d v="2025-04-09T00:00:00"/>
  </r>
  <r>
    <n v="100836"/>
    <x v="67"/>
    <s v="Fabio Costa"/>
    <s v="CARTÃO DE DÉBITO"/>
    <x v="0"/>
    <x v="1"/>
    <n v="0"/>
    <n v="515"/>
    <s v="Norte"/>
    <x v="2"/>
    <n v="521.98"/>
    <d v="2025-04-08T00:00:00"/>
  </r>
  <r>
    <n v="101320"/>
    <x v="182"/>
    <s v="Gabriela Rocha"/>
    <s v="BOLETO"/>
    <x v="0"/>
    <x v="2"/>
    <n v="0"/>
    <n v="358"/>
    <s v="Norte"/>
    <x v="2"/>
    <n v="101.05"/>
    <d v="2025-04-08T00:00:00"/>
  </r>
  <r>
    <n v="100168"/>
    <x v="61"/>
    <s v="Caio Monteiro"/>
    <s v="BOLETO"/>
    <x v="7"/>
    <x v="1"/>
    <n v="0"/>
    <n v="797"/>
    <s v="Centro-Oeste"/>
    <x v="0"/>
    <n v="896.44"/>
    <d v="2025-04-07T00:00:00"/>
  </r>
  <r>
    <n v="101621"/>
    <x v="54"/>
    <s v="Heitor Barbosa"/>
    <s v="BOLETO"/>
    <x v="7"/>
    <x v="0"/>
    <n v="8"/>
    <n v="621"/>
    <s v="Centro-Oeste"/>
    <x v="0"/>
    <n v="766.07"/>
    <d v="2025-04-07T00:00:00"/>
  </r>
  <r>
    <n v="100467"/>
    <x v="88"/>
    <s v="Elaine Ferreira"/>
    <s v="TED"/>
    <x v="0"/>
    <x v="1"/>
    <n v="0"/>
    <n v="773"/>
    <s v="Sudeste"/>
    <x v="2"/>
    <n v="605.71"/>
    <d v="2025-04-07T00:00:00"/>
  </r>
  <r>
    <n v="100815"/>
    <x v="9"/>
    <s v="Não Informado"/>
    <s v="CARTÃO DE DÉBITO"/>
    <x v="7"/>
    <x v="1"/>
    <n v="0"/>
    <n v="678"/>
    <s v="Norte"/>
    <x v="3"/>
    <n v="471.78"/>
    <d v="2025-04-07T00:00:00"/>
  </r>
  <r>
    <n v="101427"/>
    <x v="183"/>
    <s v="Fabio Costa"/>
    <s v="TED"/>
    <x v="5"/>
    <x v="1"/>
    <n v="0"/>
    <n v="759"/>
    <s v="Nordeste"/>
    <x v="2"/>
    <n v="357.52"/>
    <d v="2025-04-07T00:00:00"/>
  </r>
  <r>
    <n v="100309"/>
    <x v="82"/>
    <s v="Vanessa Duarte"/>
    <s v="CARTÃO DE CRÉDITO"/>
    <x v="7"/>
    <x v="1"/>
    <n v="0"/>
    <n v="352"/>
    <s v="Norte"/>
    <x v="1"/>
    <n v="347.96"/>
    <d v="2025-04-07T00:00:00"/>
  </r>
  <r>
    <n v="101001"/>
    <x v="75"/>
    <s v="Carla Mendes"/>
    <s v="CARTÃO DE DÉBITO"/>
    <x v="7"/>
    <x v="2"/>
    <n v="0"/>
    <n v="798"/>
    <s v="Norte"/>
    <x v="1"/>
    <n v="241.1"/>
    <d v="2025-04-07T00:00:00"/>
  </r>
  <r>
    <n v="101773"/>
    <x v="184"/>
    <s v="Thiago Correia"/>
    <s v="PIX"/>
    <x v="0"/>
    <x v="1"/>
    <n v="0"/>
    <n v="402"/>
    <s v="Centro-Oeste"/>
    <x v="0"/>
    <n v="53.07"/>
    <d v="2025-04-07T00:00:00"/>
  </r>
  <r>
    <n v="100524"/>
    <x v="101"/>
    <s v="Thiago Correia"/>
    <s v="CARTÃO DE CRÉDITO"/>
    <x v="7"/>
    <x v="1"/>
    <n v="0"/>
    <n v="533"/>
    <s v="Sul"/>
    <x v="1"/>
    <n v="892.39"/>
    <d v="2025-04-06T00:00:00"/>
  </r>
  <r>
    <n v="101111"/>
    <x v="185"/>
    <s v="Sandra Vieira"/>
    <s v="CARTÃO DE CRÉDITO"/>
    <x v="4"/>
    <x v="0"/>
    <n v="1"/>
    <n v="856"/>
    <s v="Nordeste"/>
    <x v="1"/>
    <n v="479.6"/>
    <d v="2025-04-06T00:00:00"/>
  </r>
  <r>
    <n v="101350"/>
    <x v="186"/>
    <s v="Diego Alves"/>
    <s v="TED"/>
    <x v="3"/>
    <x v="0"/>
    <n v="24"/>
    <n v="737"/>
    <s v="Centro-Oeste"/>
    <x v="2"/>
    <n v="426.91"/>
    <d v="2025-04-06T00:00:00"/>
  </r>
  <r>
    <n v="100014"/>
    <x v="187"/>
    <s v="Diego Alves"/>
    <s v="CARTÃO DE CRÉDITO"/>
    <x v="0"/>
    <x v="2"/>
    <n v="0"/>
    <n v="301"/>
    <s v="Centro-Oeste"/>
    <x v="2"/>
    <n v="283.48"/>
    <d v="2025-04-06T00:00:00"/>
  </r>
  <r>
    <n v="101500"/>
    <x v="84"/>
    <s v="Mariana Cardoso"/>
    <s v="CARTÃO DE CRÉDITO"/>
    <x v="2"/>
    <x v="2"/>
    <n v="0"/>
    <n v="437"/>
    <s v="Sudeste"/>
    <x v="1"/>
    <n v="424.97"/>
    <d v="2025-04-05T00:00:00"/>
  </r>
  <r>
    <n v="100096"/>
    <x v="158"/>
    <s v="Heitor Barbosa"/>
    <s v="TED"/>
    <x v="0"/>
    <x v="2"/>
    <n v="0"/>
    <n v="771"/>
    <s v="Nordeste"/>
    <x v="1"/>
    <n v="189.16"/>
    <d v="2025-04-05T00:00:00"/>
  </r>
  <r>
    <n v="101198"/>
    <x v="50"/>
    <s v="Gabriela Rocha"/>
    <s v="CARTÃO DE DÉBITO"/>
    <x v="1"/>
    <x v="2"/>
    <n v="0"/>
    <n v="621"/>
    <s v="Sudeste"/>
    <x v="2"/>
    <n v="72.25"/>
    <d v="2025-04-05T00:00:00"/>
  </r>
  <r>
    <n v="101424"/>
    <x v="188"/>
    <s v="Fabio Costa"/>
    <s v="BOLETO"/>
    <x v="4"/>
    <x v="1"/>
    <n v="0"/>
    <n v="383"/>
    <s v="Norte"/>
    <x v="1"/>
    <n v="441.21"/>
    <d v="2025-04-04T00:00:00"/>
  </r>
  <r>
    <n v="100923"/>
    <x v="128"/>
    <s v="Lucas Martins"/>
    <s v="BOLETO"/>
    <x v="2"/>
    <x v="1"/>
    <n v="0"/>
    <n v="395"/>
    <s v="Nordeste"/>
    <x v="2"/>
    <n v="260.20999999999998"/>
    <d v="2025-04-04T00:00:00"/>
  </r>
  <r>
    <n v="101683"/>
    <x v="157"/>
    <s v="Patricia Gomes"/>
    <s v="PIX"/>
    <x v="4"/>
    <x v="0"/>
    <n v="11"/>
    <n v="849"/>
    <s v="Centro-Oeste"/>
    <x v="2"/>
    <n v="459.03"/>
    <d v="2025-04-03T00:00:00"/>
  </r>
  <r>
    <n v="100198"/>
    <x v="189"/>
    <s v="Sandra Vieira"/>
    <s v="TED"/>
    <x v="2"/>
    <x v="2"/>
    <n v="0"/>
    <n v="362"/>
    <s v="Centro-Oeste"/>
    <x v="1"/>
    <n v="448.13"/>
    <d v="2025-04-03T00:00:00"/>
  </r>
  <r>
    <n v="101942"/>
    <x v="56"/>
    <s v="Mariana Cardoso"/>
    <s v="BOLETO"/>
    <x v="7"/>
    <x v="1"/>
    <s v="Não Informado"/>
    <n v="418"/>
    <s v="Nordeste"/>
    <x v="1"/>
    <n v="321.22000000000003"/>
    <d v="2025-04-03T00:00:00"/>
  </r>
  <r>
    <n v="101659"/>
    <x v="165"/>
    <s v="Debora Pinto"/>
    <s v="TED"/>
    <x v="3"/>
    <x v="2"/>
    <n v="0"/>
    <n v="377"/>
    <s v="Norte"/>
    <x v="2"/>
    <n v="306.72000000000003"/>
    <d v="2025-04-03T00:00:00"/>
  </r>
  <r>
    <n v="101106"/>
    <x v="190"/>
    <s v="Carla Mendes"/>
    <s v="CARTÃO DE DÉBITO"/>
    <x v="2"/>
    <x v="0"/>
    <n v="25"/>
    <n v="578"/>
    <s v="Norte"/>
    <x v="2"/>
    <n v="204.24"/>
    <d v="2025-04-03T00:00:00"/>
  </r>
  <r>
    <n v="101069"/>
    <x v="191"/>
    <s v="Diego Alves"/>
    <s v="CARTÃO DE DÉBITO"/>
    <x v="3"/>
    <x v="1"/>
    <n v="0"/>
    <n v="863"/>
    <s v="Sul"/>
    <x v="1"/>
    <n v="119.6"/>
    <d v="2025-04-03T00:00:00"/>
  </r>
  <r>
    <n v="100543"/>
    <x v="106"/>
    <s v="Carla Mendes"/>
    <s v="PIX"/>
    <x v="0"/>
    <x v="3"/>
    <n v="62"/>
    <n v="501"/>
    <s v="Sudeste"/>
    <x v="1"/>
    <n v="192.95"/>
    <d v="2025-04-02T00:00:00"/>
  </r>
  <r>
    <n v="100005"/>
    <x v="192"/>
    <s v="Bianca Freitas"/>
    <s v="CARTÃO DE DÉBITO"/>
    <x v="5"/>
    <x v="1"/>
    <n v="0"/>
    <n v="869"/>
    <s v="Centro-Oeste"/>
    <x v="2"/>
    <n v="893.22"/>
    <d v="2025-04-01T00:00:00"/>
  </r>
  <r>
    <n v="101991"/>
    <x v="158"/>
    <s v="Heitor Barbosa"/>
    <s v="PIX"/>
    <x v="5"/>
    <x v="1"/>
    <n v="0"/>
    <n v="771"/>
    <s v="Sudeste"/>
    <x v="2"/>
    <n v="673.18"/>
    <d v="2025-04-01T00:00:00"/>
  </r>
  <r>
    <n v="101479"/>
    <x v="40"/>
    <s v="Lucas Martins"/>
    <s v="PIX"/>
    <x v="7"/>
    <x v="2"/>
    <n v="0"/>
    <n v="570"/>
    <s v="Norte"/>
    <x v="0"/>
    <n v="593.01"/>
    <d v="2025-04-01T00:00:00"/>
  </r>
  <r>
    <n v="100381"/>
    <x v="83"/>
    <s v="Bianca Freitas"/>
    <s v="CARTÃO DE CRÉDITO"/>
    <x v="7"/>
    <x v="1"/>
    <n v="0"/>
    <n v="400"/>
    <s v="Sul"/>
    <x v="2"/>
    <n v="301.73"/>
    <d v="2025-04-01T00:00:00"/>
  </r>
  <r>
    <n v="100312"/>
    <x v="193"/>
    <s v="Isabela Nunes"/>
    <s v="TED"/>
    <x v="7"/>
    <x v="1"/>
    <n v="0"/>
    <n v="377"/>
    <s v="Sul"/>
    <x v="1"/>
    <n v="199.84"/>
    <d v="2025-04-01T00:00:00"/>
  </r>
  <r>
    <n v="100375"/>
    <x v="193"/>
    <s v="Isabela Nunes"/>
    <s v="CARTÃO DE DÉBITO"/>
    <x v="1"/>
    <x v="2"/>
    <n v="0"/>
    <n v="377"/>
    <s v="Nordeste"/>
    <x v="1"/>
    <n v="1026.67"/>
    <d v="2025-03-31T00:00:00"/>
  </r>
  <r>
    <n v="101245"/>
    <x v="55"/>
    <s v="Carla Mendes"/>
    <s v="TED"/>
    <x v="1"/>
    <x v="1"/>
    <n v="0"/>
    <n v="616"/>
    <s v="Sul"/>
    <x v="1"/>
    <n v="649.66999999999996"/>
    <d v="2025-03-31T00:00:00"/>
  </r>
  <r>
    <n v="101977"/>
    <x v="151"/>
    <s v="Heitor Barbosa"/>
    <s v="BOLETO"/>
    <x v="3"/>
    <x v="1"/>
    <n v="0"/>
    <n v="855"/>
    <s v="Não Informado"/>
    <x v="1"/>
    <n v="395.54"/>
    <d v="2025-03-31T00:00:00"/>
  </r>
  <r>
    <n v="101878"/>
    <x v="122"/>
    <s v="Mariana Cardoso"/>
    <s v="BOLETO"/>
    <x v="2"/>
    <x v="3"/>
    <n v="91"/>
    <n v="435"/>
    <s v="Nordeste"/>
    <x v="0"/>
    <n v="215.52"/>
    <d v="2025-03-31T00:00:00"/>
  </r>
  <r>
    <n v="101983"/>
    <x v="31"/>
    <s v="Caio Monteiro"/>
    <s v="CARTÃO DE CRÉDITO"/>
    <x v="5"/>
    <x v="2"/>
    <n v="0"/>
    <n v="497"/>
    <s v="Centro-Oeste"/>
    <x v="1"/>
    <n v="172.72"/>
    <d v="2025-03-31T00:00:00"/>
  </r>
  <r>
    <n v="101483"/>
    <x v="96"/>
    <s v="Rafael Pereira"/>
    <s v="PIX"/>
    <x v="0"/>
    <x v="3"/>
    <n v="158"/>
    <n v="567"/>
    <s v="Nordeste"/>
    <x v="0"/>
    <n v="152.58000000000001"/>
    <d v="2025-03-31T00:00:00"/>
  </r>
  <r>
    <n v="100652"/>
    <x v="50"/>
    <s v="Gabriela Rocha"/>
    <s v="CARTÃO DE CRÉDITO"/>
    <x v="7"/>
    <x v="1"/>
    <n v="0"/>
    <n v="621"/>
    <s v="Nordeste"/>
    <x v="1"/>
    <n v="115.49"/>
    <d v="2025-03-31T00:00:00"/>
  </r>
  <r>
    <n v="101905"/>
    <x v="94"/>
    <s v="Gabriela Rocha"/>
    <s v="BOLETO"/>
    <x v="3"/>
    <x v="0"/>
    <n v="6"/>
    <n v="555"/>
    <s v="Centro-Oeste"/>
    <x v="1"/>
    <n v="108.32"/>
    <d v="2025-03-31T00:00:00"/>
  </r>
  <r>
    <n v="102127"/>
    <x v="178"/>
    <s v="Isabela Nunes"/>
    <s v="CARTÃO DE DÉBITO"/>
    <x v="1"/>
    <x v="1"/>
    <n v="0"/>
    <n v="878"/>
    <s v="Sul"/>
    <x v="1"/>
    <n v="741.53"/>
    <d v="2025-03-30T00:00:00"/>
  </r>
  <r>
    <n v="100577"/>
    <x v="0"/>
    <s v="Heitor Barbosa"/>
    <s v="PIX"/>
    <x v="5"/>
    <x v="0"/>
    <n v="10"/>
    <n v="826"/>
    <s v="Nordeste"/>
    <x v="2"/>
    <n v="618.54999999999995"/>
    <d v="2025-03-30T00:00:00"/>
  </r>
  <r>
    <n v="100395"/>
    <x v="194"/>
    <s v="Heitor Barbosa"/>
    <s v="PIX"/>
    <x v="3"/>
    <x v="1"/>
    <n v="0"/>
    <n v="396"/>
    <s v="Norte"/>
    <x v="2"/>
    <n v="471.29"/>
    <d v="2025-03-30T00:00:00"/>
  </r>
  <r>
    <n v="101821"/>
    <x v="102"/>
    <s v="Ana Souza"/>
    <s v="CARTÃO DE DÉBITO"/>
    <x v="4"/>
    <x v="1"/>
    <n v="0"/>
    <n v="430"/>
    <s v="Sudeste"/>
    <x v="0"/>
    <n v="343.44"/>
    <d v="2025-03-30T00:00:00"/>
  </r>
  <r>
    <n v="100323"/>
    <x v="195"/>
    <s v="Joao Pedro Dias"/>
    <s v="CARTÃO DE DÉBITO"/>
    <x v="7"/>
    <x v="1"/>
    <n v="0"/>
    <n v="873"/>
    <s v="Centro-Oeste"/>
    <x v="1"/>
    <n v="299.14999999999998"/>
    <d v="2025-03-30T00:00:00"/>
  </r>
  <r>
    <n v="101566"/>
    <x v="95"/>
    <s v="Joao Pedro Dias"/>
    <s v="CARTÃO DE DÉBITO"/>
    <x v="0"/>
    <x v="1"/>
    <n v="0"/>
    <n v="823"/>
    <s v="Sudeste"/>
    <x v="0"/>
    <n v="202.68"/>
    <d v="2025-03-30T00:00:00"/>
  </r>
  <r>
    <n v="100288"/>
    <x v="152"/>
    <s v="Isabela Nunes"/>
    <s v="CARTÃO DE CRÉDITO"/>
    <x v="4"/>
    <x v="0"/>
    <n v="29"/>
    <n v="673"/>
    <s v="Nordeste"/>
    <x v="0"/>
    <n v="602.79999999999995"/>
    <d v="2025-03-29T00:00:00"/>
  </r>
  <r>
    <n v="101456"/>
    <x v="98"/>
    <s v="Bianca Freitas"/>
    <s v="CARTÃO DE DÉBITO"/>
    <x v="6"/>
    <x v="3"/>
    <n v="84"/>
    <n v="443"/>
    <s v="Norte"/>
    <x v="0"/>
    <n v="523.04999999999995"/>
    <d v="2025-03-29T00:00:00"/>
  </r>
  <r>
    <n v="101336"/>
    <x v="196"/>
    <s v="Lucas Martins"/>
    <s v="TED"/>
    <x v="5"/>
    <x v="0"/>
    <n v="3"/>
    <n v="722"/>
    <s v="Centro-Oeste"/>
    <x v="1"/>
    <n v="155.33000000000001"/>
    <d v="2025-03-29T00:00:00"/>
  </r>
  <r>
    <n v="101760"/>
    <x v="98"/>
    <s v="Não Informado"/>
    <s v="CARTÃO DE CRÉDITO"/>
    <x v="7"/>
    <x v="1"/>
    <s v="Não Informado"/>
    <n v="443"/>
    <s v="Norte"/>
    <x v="1"/>
    <n v="144.88"/>
    <d v="2025-03-29T00:00:00"/>
  </r>
  <r>
    <n v="100761"/>
    <x v="197"/>
    <s v="Mariana Cardoso"/>
    <s v="PIX"/>
    <x v="5"/>
    <x v="1"/>
    <n v="0"/>
    <n v="897"/>
    <s v="Norte"/>
    <x v="2"/>
    <n v="87.14"/>
    <d v="2025-03-29T00:00:00"/>
  </r>
  <r>
    <n v="101446"/>
    <x v="157"/>
    <s v="Patricia Gomes"/>
    <s v="TED"/>
    <x v="1"/>
    <x v="1"/>
    <n v="0"/>
    <n v="849"/>
    <s v="Sudeste"/>
    <x v="2"/>
    <n v="590.82000000000005"/>
    <d v="2025-03-28T00:00:00"/>
  </r>
  <r>
    <n v="101528"/>
    <x v="84"/>
    <s v="Mariana Cardoso"/>
    <s v="TED"/>
    <x v="4"/>
    <x v="3"/>
    <n v="78"/>
    <n v="437"/>
    <s v="Nordeste"/>
    <x v="0"/>
    <n v="492.8"/>
    <d v="2025-03-28T00:00:00"/>
  </r>
  <r>
    <n v="100696"/>
    <x v="125"/>
    <s v="Thiago Correia"/>
    <s v="TED"/>
    <x v="0"/>
    <x v="1"/>
    <n v="0"/>
    <n v="867"/>
    <s v="Centro-Oeste"/>
    <x v="0"/>
    <n v="346.89"/>
    <d v="2025-03-28T00:00:00"/>
  </r>
  <r>
    <n v="100389"/>
    <x v="26"/>
    <s v="Diego Alves"/>
    <s v="CARTÃO DE CRÉDITO"/>
    <x v="4"/>
    <x v="0"/>
    <n v="6"/>
    <n v="710"/>
    <s v="Nordeste"/>
    <x v="1"/>
    <n v="178.72"/>
    <d v="2025-03-28T00:00:00"/>
  </r>
  <r>
    <n v="101270"/>
    <x v="87"/>
    <s v="Não Informado"/>
    <s v="CARTÃO DE CRÉDITO"/>
    <x v="1"/>
    <x v="1"/>
    <n v="0"/>
    <n v="672"/>
    <s v="Norte"/>
    <x v="1"/>
    <n v="344.47"/>
    <d v="2025-03-27T00:00:00"/>
  </r>
  <r>
    <n v="100841"/>
    <x v="194"/>
    <s v="Heitor Barbosa"/>
    <s v="BOLETO"/>
    <x v="3"/>
    <x v="1"/>
    <n v="0"/>
    <n v="396"/>
    <s v="Centro-Oeste"/>
    <x v="1"/>
    <n v="93.97"/>
    <d v="2025-03-27T00:00:00"/>
  </r>
  <r>
    <n v="101072"/>
    <x v="112"/>
    <s v="Sandra Vieira"/>
    <s v="PIX"/>
    <x v="4"/>
    <x v="1"/>
    <n v="0"/>
    <n v="638"/>
    <s v="Centro-Oeste"/>
    <x v="2"/>
    <n v="474.83"/>
    <d v="2025-03-26T00:00:00"/>
  </r>
  <r>
    <n v="100800"/>
    <x v="198"/>
    <s v="Gabriela Rocha"/>
    <s v="CARTÃO DE CRÉDITO"/>
    <x v="2"/>
    <x v="3"/>
    <n v="177"/>
    <n v="518"/>
    <s v="Norte"/>
    <x v="1"/>
    <n v="461.05"/>
    <d v="2025-03-26T00:00:00"/>
  </r>
  <r>
    <n v="101410"/>
    <x v="48"/>
    <s v="Mariana Cardoso"/>
    <s v="PIX"/>
    <x v="1"/>
    <x v="2"/>
    <n v="0"/>
    <n v="733"/>
    <s v="Nordeste"/>
    <x v="1"/>
    <n v="155.79"/>
    <d v="2025-03-26T00:00:00"/>
  </r>
  <r>
    <n v="101051"/>
    <x v="89"/>
    <s v="Debora Pinto"/>
    <s v="CARTÃO DE CRÉDITO"/>
    <x v="5"/>
    <x v="2"/>
    <n v="0"/>
    <n v="414"/>
    <s v="Sul"/>
    <x v="1"/>
    <n v="566.52"/>
    <d v="2025-03-25T00:00:00"/>
  </r>
  <r>
    <n v="100650"/>
    <x v="174"/>
    <s v="Debora Pinto"/>
    <s v="PIX"/>
    <x v="1"/>
    <x v="1"/>
    <n v="0"/>
    <n v="721"/>
    <s v="Centro-Oeste"/>
    <x v="1"/>
    <n v="460.33"/>
    <d v="2025-03-25T00:00:00"/>
  </r>
  <r>
    <n v="102069"/>
    <x v="199"/>
    <s v="Debora Pinto"/>
    <s v="BOLETO"/>
    <x v="1"/>
    <x v="2"/>
    <n v="0"/>
    <n v="411"/>
    <s v="Nordeste"/>
    <x v="0"/>
    <n v="252.86"/>
    <d v="2025-03-25T00:00:00"/>
  </r>
  <r>
    <n v="100415"/>
    <x v="200"/>
    <s v="Sandra Vieira"/>
    <s v="CARTÃO DE DÉBITO"/>
    <x v="3"/>
    <x v="1"/>
    <n v="0"/>
    <n v="639"/>
    <s v="Centro-Oeste"/>
    <x v="1"/>
    <n v="66.5"/>
    <d v="2025-03-25T00:00:00"/>
  </r>
  <r>
    <n v="100706"/>
    <x v="121"/>
    <s v="Isabela Nunes"/>
    <s v="PIX"/>
    <x v="2"/>
    <x v="1"/>
    <n v="0"/>
    <n v="585"/>
    <s v="Sudeste"/>
    <x v="2"/>
    <n v="344.45"/>
    <d v="2025-03-24T00:00:00"/>
  </r>
  <r>
    <n v="100062"/>
    <x v="139"/>
    <s v="Diego Alves"/>
    <s v="PIX"/>
    <x v="4"/>
    <x v="3"/>
    <n v="165"/>
    <n v="362"/>
    <s v="Norte"/>
    <x v="1"/>
    <n v="242.81"/>
    <d v="2025-03-24T00:00:00"/>
  </r>
  <r>
    <n v="101081"/>
    <x v="118"/>
    <s v="Bruno Lima"/>
    <s v="BOLETO"/>
    <x v="3"/>
    <x v="1"/>
    <s v="Não Informado"/>
    <n v="458"/>
    <s v="Norte"/>
    <x v="1"/>
    <n v="234.07"/>
    <d v="2025-03-24T00:00:00"/>
  </r>
  <r>
    <n v="101154"/>
    <x v="150"/>
    <s v="William Santos"/>
    <s v="TED"/>
    <x v="2"/>
    <x v="2"/>
    <n v="0"/>
    <n v="699"/>
    <s v="Norte"/>
    <x v="0"/>
    <n v="304.05"/>
    <d v="2025-03-23T00:00:00"/>
  </r>
  <r>
    <n v="101488"/>
    <x v="107"/>
    <s v="Carla Mendes"/>
    <s v="TED"/>
    <x v="3"/>
    <x v="2"/>
    <n v="0"/>
    <n v="893"/>
    <s v="Norte"/>
    <x v="2"/>
    <n v="143.99"/>
    <d v="2025-03-23T00:00:00"/>
  </r>
  <r>
    <n v="101303"/>
    <x v="201"/>
    <s v="Gabriela Rocha"/>
    <s v="CARTÃO DE DÉBITO"/>
    <x v="4"/>
    <x v="2"/>
    <n v="0"/>
    <n v="876"/>
    <s v="Sudeste"/>
    <x v="3"/>
    <n v="83.89"/>
    <d v="2025-03-23T00:00:00"/>
  </r>
  <r>
    <n v="100385"/>
    <x v="122"/>
    <s v="Mariana Cardoso"/>
    <s v="PIX"/>
    <x v="0"/>
    <x v="1"/>
    <n v="0"/>
    <n v="435"/>
    <s v="Centro-Oeste"/>
    <x v="1"/>
    <n v="858.19"/>
    <d v="2025-03-22T00:00:00"/>
  </r>
  <r>
    <n v="101461"/>
    <x v="202"/>
    <s v="Rafael Pereira"/>
    <s v="CARTÃO DE CRÉDITO"/>
    <x v="0"/>
    <x v="2"/>
    <n v="0"/>
    <n v="641"/>
    <s v="Sul"/>
    <x v="1"/>
    <n v="836.25"/>
    <d v="2025-03-22T00:00:00"/>
  </r>
  <r>
    <n v="100625"/>
    <x v="169"/>
    <s v="Não Informado"/>
    <s v="CARTÃO DE CRÉDITO"/>
    <x v="4"/>
    <x v="1"/>
    <n v="0"/>
    <n v="302"/>
    <s v="Não Informado"/>
    <x v="1"/>
    <n v="658.4"/>
    <d v="2025-03-22T00:00:00"/>
  </r>
  <r>
    <n v="100930"/>
    <x v="13"/>
    <s v="Yasmin Araujo"/>
    <s v="PIX"/>
    <x v="7"/>
    <x v="3"/>
    <n v="141"/>
    <n v="800"/>
    <s v="Sul"/>
    <x v="2"/>
    <n v="452.72"/>
    <d v="2025-03-22T00:00:00"/>
  </r>
  <r>
    <n v="100568"/>
    <x v="176"/>
    <s v="Lucas Martins"/>
    <s v="BOLETO"/>
    <x v="5"/>
    <x v="1"/>
    <n v="0"/>
    <n v="765"/>
    <s v="Centro-Oeste"/>
    <x v="2"/>
    <n v="284.54000000000002"/>
    <d v="2025-03-22T00:00:00"/>
  </r>
  <r>
    <n v="100013"/>
    <x v="203"/>
    <s v="Karina Silva"/>
    <s v="PIX"/>
    <x v="0"/>
    <x v="1"/>
    <n v="0"/>
    <n v="336"/>
    <s v="Norte"/>
    <x v="0"/>
    <n v="840.69"/>
    <d v="2025-03-21T00:00:00"/>
  </r>
  <r>
    <n v="101135"/>
    <x v="204"/>
    <s v="Rafael Pereira"/>
    <s v="CARTÃO DE DÉBITO"/>
    <x v="5"/>
    <x v="1"/>
    <n v="0"/>
    <n v="340"/>
    <s v="Centro-Oeste"/>
    <x v="2"/>
    <n v="467.29"/>
    <d v="2025-03-21T00:00:00"/>
  </r>
  <r>
    <n v="101560"/>
    <x v="88"/>
    <s v="Elaine Ferreira"/>
    <s v="CARTÃO DE CRÉDITO"/>
    <x v="0"/>
    <x v="1"/>
    <n v="0"/>
    <n v="773"/>
    <s v="Sul"/>
    <x v="1"/>
    <n v="415.62"/>
    <d v="2025-03-21T00:00:00"/>
  </r>
  <r>
    <n v="101360"/>
    <x v="106"/>
    <s v="Carla Mendes"/>
    <s v="CARTÃO DE CRÉDITO"/>
    <x v="2"/>
    <x v="2"/>
    <n v="0"/>
    <n v="501"/>
    <s v="Sudeste"/>
    <x v="2"/>
    <n v="291.42"/>
    <d v="2025-03-21T00:00:00"/>
  </r>
  <r>
    <n v="101862"/>
    <x v="205"/>
    <s v="Heitor Barbosa"/>
    <s v="CARTÃO DE CRÉDITO"/>
    <x v="1"/>
    <x v="1"/>
    <n v="0"/>
    <n v="612"/>
    <s v="Sudeste"/>
    <x v="1"/>
    <n v="148.06"/>
    <d v="2025-03-21T00:00:00"/>
  </r>
  <r>
    <n v="101631"/>
    <x v="102"/>
    <s v="Ana Souza"/>
    <s v="TED"/>
    <x v="1"/>
    <x v="1"/>
    <n v="0"/>
    <n v="430"/>
    <s v="Sul"/>
    <x v="0"/>
    <n v="843.88"/>
    <d v="2025-03-20T00:00:00"/>
  </r>
  <r>
    <n v="100822"/>
    <x v="109"/>
    <s v="Sandra Vieira"/>
    <s v="TED"/>
    <x v="4"/>
    <x v="1"/>
    <s v="Não Informado"/>
    <n v="733"/>
    <s v="Norte"/>
    <x v="0"/>
    <n v="341.26"/>
    <d v="2025-03-20T00:00:00"/>
  </r>
  <r>
    <n v="100292"/>
    <x v="66"/>
    <s v="Mariana Cardoso"/>
    <s v="TED"/>
    <x v="4"/>
    <x v="1"/>
    <n v="0"/>
    <n v="351"/>
    <s v="Sudeste"/>
    <x v="1"/>
    <n v="291.33"/>
    <d v="2025-03-20T00:00:00"/>
  </r>
  <r>
    <n v="100294"/>
    <x v="17"/>
    <s v="Rafael Pereira"/>
    <s v="BOLETO"/>
    <x v="1"/>
    <x v="1"/>
    <n v="0"/>
    <n v="554"/>
    <s v="Sul"/>
    <x v="2"/>
    <n v="96.07"/>
    <d v="2025-03-20T00:00:00"/>
  </r>
  <r>
    <n v="101206"/>
    <x v="38"/>
    <s v="William Santos"/>
    <s v="CARTÃO DE CRÉDITO"/>
    <x v="0"/>
    <x v="1"/>
    <n v="0"/>
    <n v="662"/>
    <s v="Centro-Oeste"/>
    <x v="1"/>
    <n v="701.62"/>
    <d v="2025-03-19T00:00:00"/>
  </r>
  <r>
    <n v="100220"/>
    <x v="150"/>
    <s v="William Santos"/>
    <s v="CARTÃO DE CRÉDITO"/>
    <x v="2"/>
    <x v="3"/>
    <n v="161"/>
    <n v="699"/>
    <s v="Sul"/>
    <x v="1"/>
    <n v="596.20500000000004"/>
    <d v="2025-03-19T00:00:00"/>
  </r>
  <r>
    <n v="101540"/>
    <x v="206"/>
    <s v="Carla Mendes"/>
    <s v="CARTÃO DE CRÉDITO"/>
    <x v="4"/>
    <x v="2"/>
    <n v="0"/>
    <n v="468"/>
    <s v="Centro-Oeste"/>
    <x v="1"/>
    <n v="580.82000000000005"/>
    <d v="2025-03-19T00:00:00"/>
  </r>
  <r>
    <n v="100171"/>
    <x v="147"/>
    <s v="Thiago Correia"/>
    <s v="BOLETO"/>
    <x v="3"/>
    <x v="1"/>
    <n v="0"/>
    <n v="554"/>
    <s v="Centro-Oeste"/>
    <x v="1"/>
    <n v="502.44"/>
    <d v="2025-03-19T00:00:00"/>
  </r>
  <r>
    <n v="102109"/>
    <x v="132"/>
    <s v="Vanessa Duarte"/>
    <s v="BOLETO"/>
    <x v="1"/>
    <x v="1"/>
    <s v="Não Informado"/>
    <n v="741"/>
    <s v="Centro-Oeste"/>
    <x v="1"/>
    <n v="97.14"/>
    <d v="2025-03-19T00:00:00"/>
  </r>
  <r>
    <n v="100972"/>
    <x v="207"/>
    <s v="Heitor Barbosa"/>
    <s v="CARTÃO DE DÉBITO"/>
    <x v="5"/>
    <x v="1"/>
    <s v="Não Informado"/>
    <n v="647"/>
    <s v="Sudeste"/>
    <x v="1"/>
    <n v="434.66"/>
    <d v="2025-03-18T00:00:00"/>
  </r>
  <r>
    <n v="101938"/>
    <x v="115"/>
    <s v="Karina Silva"/>
    <s v="BOLETO"/>
    <x v="7"/>
    <x v="1"/>
    <n v="0"/>
    <n v="487"/>
    <s v="Norte"/>
    <x v="2"/>
    <n v="255.7"/>
    <d v="2025-03-18T00:00:00"/>
  </r>
  <r>
    <n v="100897"/>
    <x v="183"/>
    <s v="Fabio Costa"/>
    <s v="TED"/>
    <x v="7"/>
    <x v="0"/>
    <n v="28"/>
    <n v="759"/>
    <s v="Nordeste"/>
    <x v="2"/>
    <n v="253.58"/>
    <d v="2025-03-18T00:00:00"/>
  </r>
  <r>
    <n v="101236"/>
    <x v="208"/>
    <s v="Heitor Barbosa"/>
    <s v="TED"/>
    <x v="2"/>
    <x v="1"/>
    <n v="0"/>
    <n v="418"/>
    <s v="Centro-Oeste"/>
    <x v="1"/>
    <n v="233.15"/>
    <d v="2025-03-18T00:00:00"/>
  </r>
  <r>
    <n v="100797"/>
    <x v="209"/>
    <s v="Heitor Barbosa"/>
    <s v="CARTÃO DE CRÉDITO"/>
    <x v="5"/>
    <x v="1"/>
    <n v="0"/>
    <n v="851"/>
    <s v="Sudeste"/>
    <x v="1"/>
    <n v="182.13"/>
    <d v="2025-03-18T00:00:00"/>
  </r>
  <r>
    <n v="100683"/>
    <x v="143"/>
    <s v="Elaine Ferreira"/>
    <s v="BOLETO"/>
    <x v="3"/>
    <x v="0"/>
    <n v="23"/>
    <n v="543"/>
    <s v="Sul"/>
    <x v="1"/>
    <n v="795.52"/>
    <d v="2025-03-17T00:00:00"/>
  </r>
  <r>
    <n v="100663"/>
    <x v="121"/>
    <s v="Isabela Nunes"/>
    <s v="TED"/>
    <x v="7"/>
    <x v="2"/>
    <n v="0"/>
    <n v="585"/>
    <s v="Nordeste"/>
    <x v="1"/>
    <n v="639.89"/>
    <d v="2025-03-17T00:00:00"/>
  </r>
  <r>
    <n v="100034"/>
    <x v="128"/>
    <s v="Lucas Martins"/>
    <s v="CARTÃO DE DÉBITO"/>
    <x v="2"/>
    <x v="3"/>
    <n v="93"/>
    <n v="395"/>
    <s v="Norte"/>
    <x v="2"/>
    <n v="509.99"/>
    <d v="2025-03-17T00:00:00"/>
  </r>
  <r>
    <n v="101078"/>
    <x v="130"/>
    <s v="Bruno Lima"/>
    <s v="TED"/>
    <x v="6"/>
    <x v="0"/>
    <n v="1"/>
    <n v="515"/>
    <s v="Sul"/>
    <x v="2"/>
    <n v="156.82"/>
    <d v="2025-03-17T00:00:00"/>
  </r>
  <r>
    <n v="101153"/>
    <x v="57"/>
    <s v="Fabio Costa"/>
    <s v="PIX"/>
    <x v="0"/>
    <x v="0"/>
    <n v="4"/>
    <n v="328"/>
    <s v="Norte"/>
    <x v="1"/>
    <n v="22.32"/>
    <d v="2025-03-17T00:00:00"/>
  </r>
  <r>
    <n v="102031"/>
    <x v="210"/>
    <s v="Thiago Correia"/>
    <s v="TED"/>
    <x v="4"/>
    <x v="0"/>
    <n v="28"/>
    <n v="371"/>
    <s v="Sudeste"/>
    <x v="2"/>
    <n v="722.96"/>
    <d v="2025-03-16T00:00:00"/>
  </r>
  <r>
    <n v="100931"/>
    <x v="91"/>
    <s v="Nelson Teixeira"/>
    <s v="CARTÃO DE CRÉDITO"/>
    <x v="4"/>
    <x v="1"/>
    <n v="0"/>
    <n v="784"/>
    <s v="Nordeste"/>
    <x v="1"/>
    <n v="720.77"/>
    <d v="2025-03-16T00:00:00"/>
  </r>
  <r>
    <n v="100600"/>
    <x v="56"/>
    <s v="Mariana Cardoso"/>
    <s v="BOLETO"/>
    <x v="7"/>
    <x v="2"/>
    <s v="Não Informado"/>
    <n v="418"/>
    <s v="Sul"/>
    <x v="1"/>
    <n v="677.21"/>
    <d v="2025-03-16T00:00:00"/>
  </r>
  <r>
    <n v="100892"/>
    <x v="162"/>
    <s v="Mariana Cardoso"/>
    <s v="PIX"/>
    <x v="7"/>
    <x v="2"/>
    <n v="0"/>
    <n v="360"/>
    <s v="Norte"/>
    <x v="0"/>
    <n v="185.79"/>
    <d v="2025-03-16T00:00:00"/>
  </r>
  <r>
    <n v="100851"/>
    <x v="211"/>
    <s v="Elaine Ferreira"/>
    <s v="CARTÃO DE CRÉDITO"/>
    <x v="4"/>
    <x v="1"/>
    <n v="0"/>
    <n v="550"/>
    <s v="Centro-Oeste"/>
    <x v="1"/>
    <n v="172.28"/>
    <d v="2025-03-16T00:00:00"/>
  </r>
  <r>
    <n v="101670"/>
    <x v="212"/>
    <s v="Yasmin Araujo"/>
    <s v="PIX"/>
    <x v="3"/>
    <x v="1"/>
    <n v="0"/>
    <n v="874"/>
    <s v="Sudeste"/>
    <x v="2"/>
    <n v="1046.8599999999999"/>
    <d v="2025-03-15T00:00:00"/>
  </r>
  <r>
    <n v="101872"/>
    <x v="67"/>
    <s v="Fabio Costa"/>
    <s v="PIX"/>
    <x v="5"/>
    <x v="2"/>
    <n v="0"/>
    <n v="515"/>
    <s v="Sul"/>
    <x v="1"/>
    <n v="1005.2"/>
    <d v="2025-03-15T00:00:00"/>
  </r>
  <r>
    <n v="100562"/>
    <x v="213"/>
    <s v="Debora Pinto"/>
    <s v="BOLETO"/>
    <x v="6"/>
    <x v="1"/>
    <n v="0"/>
    <n v="585"/>
    <s v="Centro-Oeste"/>
    <x v="1"/>
    <n v="568.66999999999996"/>
    <d v="2025-03-15T00:00:00"/>
  </r>
  <r>
    <n v="100610"/>
    <x v="80"/>
    <s v="Isabela Nunes"/>
    <s v="CARTÃO DE CRÉDITO"/>
    <x v="5"/>
    <x v="1"/>
    <n v="0"/>
    <n v="433"/>
    <s v="Centro-Oeste"/>
    <x v="1"/>
    <n v="563.75"/>
    <d v="2025-03-15T00:00:00"/>
  </r>
  <r>
    <n v="101624"/>
    <x v="197"/>
    <s v="Mariana Cardoso"/>
    <s v="CARTÃO DE CRÉDITO"/>
    <x v="7"/>
    <x v="2"/>
    <n v="0"/>
    <n v="897"/>
    <s v="Centro-Oeste"/>
    <x v="2"/>
    <n v="308.22000000000003"/>
    <d v="2025-03-15T00:00:00"/>
  </r>
  <r>
    <n v="101317"/>
    <x v="123"/>
    <s v="Carla Mendes"/>
    <s v="PIX"/>
    <x v="4"/>
    <x v="1"/>
    <n v="0"/>
    <n v="636"/>
    <s v="Nordeste"/>
    <x v="1"/>
    <n v="253.12"/>
    <d v="2025-03-15T00:00:00"/>
  </r>
  <r>
    <n v="101190"/>
    <x v="214"/>
    <s v="Lucas Martins"/>
    <s v="PIX"/>
    <x v="1"/>
    <x v="2"/>
    <n v="0"/>
    <n v="494"/>
    <s v="Sudeste"/>
    <x v="1"/>
    <n v="879.05"/>
    <d v="2025-03-14T00:00:00"/>
  </r>
  <r>
    <n v="101038"/>
    <x v="127"/>
    <s v="Otavio Ramos"/>
    <s v="PIX"/>
    <x v="1"/>
    <x v="1"/>
    <n v="0"/>
    <n v="560"/>
    <s v="Sudeste"/>
    <x v="0"/>
    <n v="635.25"/>
    <d v="2025-03-14T00:00:00"/>
  </r>
  <r>
    <n v="100932"/>
    <x v="116"/>
    <s v="William Santos"/>
    <s v="TED"/>
    <x v="5"/>
    <x v="0"/>
    <n v="29"/>
    <n v="898"/>
    <s v="Sudeste"/>
    <x v="3"/>
    <n v="386.11"/>
    <d v="2025-03-14T00:00:00"/>
  </r>
  <r>
    <n v="101824"/>
    <x v="109"/>
    <s v="Sandra Vieira"/>
    <s v="CARTÃO DE DÉBITO"/>
    <x v="5"/>
    <x v="1"/>
    <n v="0"/>
    <n v="733"/>
    <s v="Sul"/>
    <x v="1"/>
    <n v="204.06"/>
    <d v="2025-03-14T00:00:00"/>
  </r>
  <r>
    <n v="101519"/>
    <x v="215"/>
    <s v="Patricia Gomes"/>
    <s v="CARTÃO DE CRÉDITO"/>
    <x v="7"/>
    <x v="1"/>
    <n v="0"/>
    <n v="459"/>
    <s v="Sul"/>
    <x v="0"/>
    <n v="184.48"/>
    <d v="2025-03-14T00:00:00"/>
  </r>
  <r>
    <n v="100307"/>
    <x v="216"/>
    <s v="William Santos"/>
    <s v="BOLETO"/>
    <x v="7"/>
    <x v="0"/>
    <n v="25"/>
    <n v="835"/>
    <s v="Sudeste"/>
    <x v="2"/>
    <n v="496.77"/>
    <d v="2025-03-13T00:00:00"/>
  </r>
  <r>
    <n v="100539"/>
    <x v="142"/>
    <s v="Yasmin Araujo"/>
    <s v="BOLETO"/>
    <x v="7"/>
    <x v="1"/>
    <n v="0"/>
    <n v="621"/>
    <s v="Sudeste"/>
    <x v="1"/>
    <n v="109.25"/>
    <d v="2025-03-13T00:00:00"/>
  </r>
  <r>
    <n v="100433"/>
    <x v="214"/>
    <s v="Lucas Martins"/>
    <s v="CARTÃO DE CRÉDITO"/>
    <x v="5"/>
    <x v="1"/>
    <n v="0"/>
    <n v="494"/>
    <s v="Sudeste"/>
    <x v="0"/>
    <n v="667.44"/>
    <d v="2025-03-12T00:00:00"/>
  </r>
  <r>
    <n v="100789"/>
    <x v="209"/>
    <s v="Heitor Barbosa"/>
    <s v="TED"/>
    <x v="2"/>
    <x v="2"/>
    <n v="0"/>
    <n v="851"/>
    <s v="Norte"/>
    <x v="1"/>
    <n v="383.49"/>
    <d v="2025-03-12T00:00:00"/>
  </r>
  <r>
    <n v="100337"/>
    <x v="209"/>
    <s v="Heitor Barbosa"/>
    <s v="CARTÃO DE DÉBITO"/>
    <x v="4"/>
    <x v="2"/>
    <n v="0"/>
    <n v="851"/>
    <s v="Centro-Oeste"/>
    <x v="2"/>
    <n v="703.07"/>
    <d v="2025-03-11T00:00:00"/>
  </r>
  <r>
    <n v="100390"/>
    <x v="206"/>
    <s v="Carla Mendes"/>
    <s v="BOLETO"/>
    <x v="0"/>
    <x v="1"/>
    <n v="0"/>
    <n v="468"/>
    <s v="Sudeste"/>
    <x v="1"/>
    <n v="622.64"/>
    <d v="2025-03-11T00:00:00"/>
  </r>
  <r>
    <n v="101112"/>
    <x v="150"/>
    <s v="William Santos"/>
    <s v="BOLETO"/>
    <x v="3"/>
    <x v="1"/>
    <n v="0"/>
    <n v="699"/>
    <s v="Norte"/>
    <x v="1"/>
    <n v="573.78"/>
    <d v="2025-03-11T00:00:00"/>
  </r>
  <r>
    <n v="101393"/>
    <x v="159"/>
    <s v="Bianca Freitas"/>
    <s v="CARTÃO DE CRÉDITO"/>
    <x v="0"/>
    <x v="1"/>
    <n v="0"/>
    <n v="375"/>
    <s v="Sul"/>
    <x v="1"/>
    <n v="570.26"/>
    <d v="2025-03-11T00:00:00"/>
  </r>
  <r>
    <n v="100553"/>
    <x v="68"/>
    <s v="Carla Mendes"/>
    <s v="BOLETO"/>
    <x v="4"/>
    <x v="2"/>
    <n v="0"/>
    <n v="400"/>
    <s v="Centro-Oeste"/>
    <x v="2"/>
    <n v="542.26"/>
    <d v="2025-03-10T00:00:00"/>
  </r>
  <r>
    <n v="100792"/>
    <x v="2"/>
    <s v="Lucas Martins"/>
    <s v="CARTÃO DE CRÉDITO"/>
    <x v="4"/>
    <x v="2"/>
    <n v="0"/>
    <n v="461"/>
    <s v="Nordeste"/>
    <x v="1"/>
    <n v="138.69999999999999"/>
    <d v="2025-03-10T00:00:00"/>
  </r>
  <r>
    <n v="100875"/>
    <x v="82"/>
    <s v="Vanessa Duarte"/>
    <s v="CARTÃO DE CRÉDITO"/>
    <x v="2"/>
    <x v="3"/>
    <n v="50"/>
    <n v="352"/>
    <s v="Nordeste"/>
    <x v="2"/>
    <n v="737.07"/>
    <d v="2025-03-09T00:00:00"/>
  </r>
  <r>
    <n v="101151"/>
    <x v="8"/>
    <s v="Sandra Vieira"/>
    <s v="CARTÃO DE CRÉDITO"/>
    <x v="5"/>
    <x v="1"/>
    <n v="0"/>
    <n v="339"/>
    <s v="Sul"/>
    <x v="2"/>
    <n v="441.46"/>
    <d v="2025-03-09T00:00:00"/>
  </r>
  <r>
    <n v="100544"/>
    <x v="62"/>
    <s v="Lucas Martins"/>
    <s v="PIX"/>
    <x v="0"/>
    <x v="1"/>
    <n v="0"/>
    <n v="788"/>
    <s v="Sul"/>
    <x v="0"/>
    <n v="280.10000000000002"/>
    <d v="2025-03-09T00:00:00"/>
  </r>
  <r>
    <n v="100141"/>
    <x v="198"/>
    <s v="Gabriela Rocha"/>
    <s v="CARTÃO DE CRÉDITO"/>
    <x v="7"/>
    <x v="2"/>
    <n v="0"/>
    <n v="518"/>
    <s v="Centro-Oeste"/>
    <x v="1"/>
    <n v="199.88"/>
    <d v="2025-03-09T00:00:00"/>
  </r>
  <r>
    <n v="100439"/>
    <x v="217"/>
    <s v="Joao Pedro Dias"/>
    <s v="BOLETO"/>
    <x v="0"/>
    <x v="0"/>
    <n v="4"/>
    <n v="359"/>
    <s v="Sul"/>
    <x v="1"/>
    <n v="191.04"/>
    <d v="2025-03-08T00:00:00"/>
  </r>
  <r>
    <n v="102006"/>
    <x v="5"/>
    <s v="Bruno Lima"/>
    <s v="BOLETO"/>
    <x v="2"/>
    <x v="1"/>
    <n v="0"/>
    <n v="434"/>
    <s v="Nordeste"/>
    <x v="1"/>
    <n v="550.98"/>
    <d v="2025-03-06T00:00:00"/>
  </r>
  <r>
    <n v="100109"/>
    <x v="117"/>
    <s v="Nelson Teixeira"/>
    <s v="PIX"/>
    <x v="4"/>
    <x v="1"/>
    <n v="0"/>
    <n v="712"/>
    <s v="Centro-Oeste"/>
    <x v="2"/>
    <n v="514.54999999999995"/>
    <d v="2025-03-06T00:00:00"/>
  </r>
  <r>
    <n v="100207"/>
    <x v="57"/>
    <s v="Fabio Costa"/>
    <s v="CARTÃO DE DÉBITO"/>
    <x v="5"/>
    <x v="1"/>
    <n v="0"/>
    <n v="328"/>
    <s v="Norte"/>
    <x v="0"/>
    <n v="286.19"/>
    <d v="2025-03-06T00:00:00"/>
  </r>
  <r>
    <n v="101678"/>
    <x v="149"/>
    <s v="Carla Mendes"/>
    <s v="BOLETO"/>
    <x v="7"/>
    <x v="1"/>
    <n v="0"/>
    <n v="769"/>
    <s v="Nordeste"/>
    <x v="0"/>
    <n v="9.92"/>
    <d v="2025-03-06T00:00:00"/>
  </r>
  <r>
    <n v="101775"/>
    <x v="203"/>
    <s v="Karina Silva"/>
    <s v="CARTÃO DE CRÉDITO"/>
    <x v="3"/>
    <x v="1"/>
    <n v="0"/>
    <n v="336"/>
    <s v="Não Informado"/>
    <x v="1"/>
    <n v="451.86"/>
    <d v="2025-03-05T00:00:00"/>
  </r>
  <r>
    <n v="101019"/>
    <x v="98"/>
    <s v="Bianca Freitas"/>
    <s v="PIX"/>
    <x v="2"/>
    <x v="0"/>
    <n v="19"/>
    <n v="443"/>
    <s v="Norte"/>
    <x v="0"/>
    <n v="373.41"/>
    <d v="2025-03-05T00:00:00"/>
  </r>
  <r>
    <n v="101318"/>
    <x v="218"/>
    <s v="Não Informado"/>
    <s v="CARTÃO DE CRÉDITO"/>
    <x v="2"/>
    <x v="3"/>
    <n v="107"/>
    <n v="748"/>
    <s v="Centro-Oeste"/>
    <x v="1"/>
    <n v="372.51"/>
    <d v="2025-03-05T00:00:00"/>
  </r>
  <r>
    <n v="100111"/>
    <x v="18"/>
    <s v="Gabriela Rocha"/>
    <s v="BOLETO"/>
    <x v="3"/>
    <x v="1"/>
    <n v="0"/>
    <n v="466"/>
    <s v="Sul"/>
    <x v="1"/>
    <n v="135.44999999999999"/>
    <d v="2025-03-05T00:00:00"/>
  </r>
  <r>
    <n v="100365"/>
    <x v="152"/>
    <s v="Isabela Nunes"/>
    <s v="CARTÃO DE CRÉDITO"/>
    <x v="1"/>
    <x v="1"/>
    <n v="0"/>
    <n v="673"/>
    <s v="Nordeste"/>
    <x v="1"/>
    <n v="683.32"/>
    <d v="2025-03-04T00:00:00"/>
  </r>
  <r>
    <n v="101718"/>
    <x v="60"/>
    <s v="Karina Silva"/>
    <s v="PIX"/>
    <x v="4"/>
    <x v="2"/>
    <n v="0"/>
    <n v="410"/>
    <s v="Nordeste"/>
    <x v="2"/>
    <n v="662.82"/>
    <d v="2025-03-04T00:00:00"/>
  </r>
  <r>
    <n v="101705"/>
    <x v="191"/>
    <s v="Diego Alves"/>
    <s v="BOLETO"/>
    <x v="4"/>
    <x v="1"/>
    <n v="0"/>
    <n v="863"/>
    <s v="Norte"/>
    <x v="1"/>
    <n v="536.77"/>
    <d v="2025-03-04T00:00:00"/>
  </r>
  <r>
    <n v="100681"/>
    <x v="219"/>
    <s v="Joao Pedro Dias"/>
    <s v="CARTÃO DE CRÉDITO"/>
    <x v="1"/>
    <x v="1"/>
    <n v="0"/>
    <n v="504"/>
    <s v="Norte"/>
    <x v="1"/>
    <n v="456.38"/>
    <d v="2025-03-04T00:00:00"/>
  </r>
  <r>
    <n v="100089"/>
    <x v="3"/>
    <s v="William Santos"/>
    <s v="CARTÃO DE DÉBITO"/>
    <x v="1"/>
    <x v="1"/>
    <n v="0"/>
    <n v="818"/>
    <s v="Sul"/>
    <x v="0"/>
    <n v="404.05"/>
    <d v="2025-03-04T00:00:00"/>
  </r>
  <r>
    <n v="101387"/>
    <x v="59"/>
    <s v="Heitor Barbosa"/>
    <s v="BOLETO"/>
    <x v="0"/>
    <x v="0"/>
    <n v="9"/>
    <n v="372"/>
    <s v="Centro-Oeste"/>
    <x v="1"/>
    <n v="342.28"/>
    <d v="2025-03-04T00:00:00"/>
  </r>
  <r>
    <n v="101225"/>
    <x v="59"/>
    <s v="Heitor Barbosa"/>
    <s v="CARTÃO DE CRÉDITO"/>
    <x v="2"/>
    <x v="0"/>
    <n v="9"/>
    <n v="372"/>
    <s v="Norte"/>
    <x v="1"/>
    <n v="198.08"/>
    <d v="2025-03-04T00:00:00"/>
  </r>
  <r>
    <n v="102115"/>
    <x v="220"/>
    <s v="Vanessa Duarte"/>
    <s v="TED"/>
    <x v="0"/>
    <x v="3"/>
    <n v="62"/>
    <n v="542"/>
    <s v="Norte"/>
    <x v="1"/>
    <n v="166.31"/>
    <d v="2025-03-04T00:00:00"/>
  </r>
  <r>
    <n v="101026"/>
    <x v="55"/>
    <s v="Carla Mendes"/>
    <s v="CARTÃO DE DÉBITO"/>
    <x v="2"/>
    <x v="1"/>
    <n v="0"/>
    <n v="616"/>
    <s v="Centro-Oeste"/>
    <x v="1"/>
    <m/>
    <d v="2025-03-04T00:00:00"/>
  </r>
  <r>
    <n v="101231"/>
    <x v="86"/>
    <s v="Isabela Nunes"/>
    <s v="PIX"/>
    <x v="2"/>
    <x v="1"/>
    <n v="0"/>
    <n v="382"/>
    <s v="Centro-Oeste"/>
    <x v="0"/>
    <n v="466.08"/>
    <d v="2025-03-03T00:00:00"/>
  </r>
  <r>
    <n v="101005"/>
    <x v="83"/>
    <s v="Bianca Freitas"/>
    <s v="CARTÃO DE DÉBITO"/>
    <x v="2"/>
    <x v="3"/>
    <n v="144"/>
    <n v="400"/>
    <s v="Sul"/>
    <x v="1"/>
    <n v="356.68"/>
    <d v="2025-03-03T00:00:00"/>
  </r>
  <r>
    <n v="101633"/>
    <x v="115"/>
    <s v="Karina Silva"/>
    <s v="CARTÃO DE DÉBITO"/>
    <x v="1"/>
    <x v="1"/>
    <n v="0"/>
    <n v="487"/>
    <s v="Centro-Oeste"/>
    <x v="1"/>
    <n v="282.64999999999998"/>
    <d v="2025-03-03T00:00:00"/>
  </r>
  <r>
    <n v="100942"/>
    <x v="130"/>
    <s v="Bruno Lima"/>
    <s v="TED"/>
    <x v="4"/>
    <x v="1"/>
    <n v="0"/>
    <n v="515"/>
    <s v="Norte"/>
    <x v="1"/>
    <n v="248.57"/>
    <d v="2025-03-03T00:00:00"/>
  </r>
  <r>
    <n v="101534"/>
    <x v="88"/>
    <s v="Elaine Ferreira"/>
    <s v="PIX"/>
    <x v="0"/>
    <x v="2"/>
    <n v="0"/>
    <n v="773"/>
    <s v="Sudeste"/>
    <x v="2"/>
    <n v="236.72"/>
    <d v="2025-03-03T00:00:00"/>
  </r>
  <r>
    <n v="101163"/>
    <x v="121"/>
    <s v="Isabela Nunes"/>
    <s v="BOLETO"/>
    <x v="3"/>
    <x v="1"/>
    <n v="0"/>
    <n v="585"/>
    <s v="Centro-Oeste"/>
    <x v="1"/>
    <n v="217.98"/>
    <d v="2025-03-03T00:00:00"/>
  </r>
  <r>
    <n v="102161"/>
    <x v="40"/>
    <s v="Lucas Martins"/>
    <s v="CARTÃO DE CRÉDITO"/>
    <x v="4"/>
    <x v="0"/>
    <n v="26"/>
    <n v="570"/>
    <s v="Sul"/>
    <x v="1"/>
    <n v="216.95"/>
    <d v="2025-03-03T00:00:00"/>
  </r>
  <r>
    <n v="100766"/>
    <x v="38"/>
    <s v="William Santos"/>
    <s v="BOLETO"/>
    <x v="1"/>
    <x v="1"/>
    <n v="0"/>
    <n v="662"/>
    <s v="Centro-Oeste"/>
    <x v="1"/>
    <n v="213.23"/>
    <d v="2025-03-03T00:00:00"/>
  </r>
  <r>
    <n v="100223"/>
    <x v="47"/>
    <s v="Gabriela Rocha"/>
    <s v="BOLETO"/>
    <x v="5"/>
    <x v="2"/>
    <s v="Não Informado"/>
    <n v="733"/>
    <s v="Centro-Oeste"/>
    <x v="1"/>
    <n v="173.84"/>
    <d v="2025-03-03T00:00:00"/>
  </r>
  <r>
    <n v="101762"/>
    <x v="220"/>
    <s v="Vanessa Duarte"/>
    <s v="BOLETO"/>
    <x v="5"/>
    <x v="1"/>
    <n v="0"/>
    <n v="542"/>
    <s v="Sudeste"/>
    <x v="2"/>
    <n v="637.46"/>
    <d v="2025-03-02T00:00:00"/>
  </r>
  <r>
    <n v="100780"/>
    <x v="128"/>
    <s v="Lucas Martins"/>
    <s v="CARTÃO DE CRÉDITO"/>
    <x v="1"/>
    <x v="1"/>
    <n v="0"/>
    <n v="395"/>
    <s v="Sudeste"/>
    <x v="0"/>
    <n v="531.82000000000005"/>
    <d v="2025-03-02T00:00:00"/>
  </r>
  <r>
    <n v="101987"/>
    <x v="147"/>
    <s v="Thiago Correia"/>
    <s v="TED"/>
    <x v="4"/>
    <x v="1"/>
    <n v="0"/>
    <n v="554"/>
    <s v="Sudeste"/>
    <x v="0"/>
    <n v="353.83"/>
    <d v="2025-03-02T00:00:00"/>
  </r>
  <r>
    <n v="101119"/>
    <x v="208"/>
    <s v="Heitor Barbosa"/>
    <s v="CARTÃO DE CRÉDITO"/>
    <x v="3"/>
    <x v="0"/>
    <n v="9"/>
    <n v="418"/>
    <s v="Sudeste"/>
    <x v="1"/>
    <n v="265.81"/>
    <d v="2025-03-02T00:00:00"/>
  </r>
  <r>
    <n v="101931"/>
    <x v="190"/>
    <s v="Carla Mendes"/>
    <s v="CARTÃO DE CRÉDITO"/>
    <x v="5"/>
    <x v="1"/>
    <n v="0"/>
    <n v="578"/>
    <s v="Norte"/>
    <x v="2"/>
    <n v="870.29"/>
    <d v="2025-03-01T00:00:00"/>
  </r>
  <r>
    <n v="101655"/>
    <x v="27"/>
    <s v="William Santos"/>
    <s v="BOLETO"/>
    <x v="5"/>
    <x v="1"/>
    <n v="0"/>
    <n v="716"/>
    <s v="Centro-Oeste"/>
    <x v="1"/>
    <n v="488.16"/>
    <d v="2025-03-01T00:00:00"/>
  </r>
  <r>
    <n v="100289"/>
    <x v="81"/>
    <s v="Bruno Lima"/>
    <s v="CARTÃO DE DÉBITO"/>
    <x v="5"/>
    <x v="2"/>
    <s v="Não Informado"/>
    <n v="658"/>
    <s v="Centro-Oeste"/>
    <x v="2"/>
    <n v="355.39"/>
    <d v="2025-03-01T00:00:00"/>
  </r>
  <r>
    <n v="100578"/>
    <x v="83"/>
    <s v="Bianca Freitas"/>
    <s v="TED"/>
    <x v="2"/>
    <x v="1"/>
    <n v="0"/>
    <n v="400"/>
    <s v="Sudeste"/>
    <x v="1"/>
    <n v="350.88"/>
    <d v="2025-03-01T00:00:00"/>
  </r>
  <r>
    <n v="101549"/>
    <x v="217"/>
    <s v="Joao Pedro Dias"/>
    <s v="BOLETO"/>
    <x v="5"/>
    <x v="1"/>
    <n v="0"/>
    <n v="359"/>
    <s v="Norte"/>
    <x v="1"/>
    <n v="321.04000000000002"/>
    <d v="2025-03-01T00:00:00"/>
  </r>
  <r>
    <n v="102059"/>
    <x v="157"/>
    <s v="Patricia Gomes"/>
    <s v="BOLETO"/>
    <x v="1"/>
    <x v="0"/>
    <n v="19"/>
    <n v="849"/>
    <s v="Sul"/>
    <x v="1"/>
    <n v="293.32"/>
    <d v="2025-03-01T00:00:00"/>
  </r>
  <r>
    <n v="100136"/>
    <x v="221"/>
    <s v="Bruno Lima"/>
    <s v="CARTÃO DE DÉBITO"/>
    <x v="3"/>
    <x v="0"/>
    <n v="4"/>
    <n v="768"/>
    <s v="Sul"/>
    <x v="0"/>
    <n v="232.79"/>
    <d v="2025-03-01T00:00:00"/>
  </r>
  <r>
    <n v="100869"/>
    <x v="124"/>
    <s v="Sandra Vieira"/>
    <s v="CARTÃO DE CRÉDITO"/>
    <x v="0"/>
    <x v="2"/>
    <n v="0"/>
    <n v="568"/>
    <s v="Sudeste"/>
    <x v="1"/>
    <n v="221.28"/>
    <d v="2025-02-28T00:00:00"/>
  </r>
  <r>
    <n v="101073"/>
    <x v="102"/>
    <s v="Ana Souza"/>
    <s v="TED"/>
    <x v="5"/>
    <x v="0"/>
    <n v="4"/>
    <n v="430"/>
    <s v="Nordeste"/>
    <x v="0"/>
    <n v="177.11"/>
    <d v="2025-02-28T00:00:00"/>
  </r>
  <r>
    <n v="101404"/>
    <x v="91"/>
    <s v="Nelson Teixeira"/>
    <s v="TED"/>
    <x v="5"/>
    <x v="0"/>
    <n v="21"/>
    <n v="784"/>
    <s v="Nordeste"/>
    <x v="0"/>
    <n v="167.1"/>
    <d v="2025-02-28T00:00:00"/>
  </r>
  <r>
    <n v="102009"/>
    <x v="182"/>
    <s v="Gabriela Rocha"/>
    <s v="BOLETO"/>
    <x v="1"/>
    <x v="2"/>
    <n v="0"/>
    <n v="358"/>
    <s v="Norte"/>
    <x v="0"/>
    <n v="98.84"/>
    <d v="2025-02-28T00:00:00"/>
  </r>
  <r>
    <n v="100582"/>
    <x v="208"/>
    <s v="Heitor Barbosa"/>
    <s v="BOLETO"/>
    <x v="1"/>
    <x v="1"/>
    <n v="0"/>
    <n v="418"/>
    <s v="Sul"/>
    <x v="1"/>
    <n v="775.27"/>
    <d v="2025-02-27T00:00:00"/>
  </r>
  <r>
    <n v="100295"/>
    <x v="222"/>
    <s v="Otavio Ramos"/>
    <s v="TED"/>
    <x v="7"/>
    <x v="1"/>
    <n v="0"/>
    <n v="729"/>
    <s v="Nordeste"/>
    <x v="0"/>
    <n v="494.34"/>
    <d v="2025-02-27T00:00:00"/>
  </r>
  <r>
    <n v="101753"/>
    <x v="73"/>
    <s v="Mariana Cardoso"/>
    <s v="TED"/>
    <x v="3"/>
    <x v="0"/>
    <n v="25"/>
    <n v="583"/>
    <s v="Sudeste"/>
    <x v="0"/>
    <n v="461.05"/>
    <d v="2025-02-27T00:00:00"/>
  </r>
  <r>
    <n v="102054"/>
    <x v="100"/>
    <s v="Nelson Teixeira"/>
    <s v="BOLETO"/>
    <x v="1"/>
    <x v="2"/>
    <n v="0"/>
    <n v="557"/>
    <s v="Norte"/>
    <x v="1"/>
    <n v="417.47"/>
    <d v="2025-02-27T00:00:00"/>
  </r>
  <r>
    <n v="102181"/>
    <x v="89"/>
    <s v="Debora Pinto"/>
    <s v="CARTÃO DE CRÉDITO"/>
    <x v="7"/>
    <x v="2"/>
    <n v="0"/>
    <n v="414"/>
    <s v="Nordeste"/>
    <x v="1"/>
    <n v="257.18"/>
    <d v="2025-02-27T00:00:00"/>
  </r>
  <r>
    <n v="101876"/>
    <x v="175"/>
    <s v="Debora Pinto"/>
    <s v="CARTÃO DE CRÉDITO"/>
    <x v="5"/>
    <x v="1"/>
    <n v="0"/>
    <n v="588"/>
    <s v="Não Informado"/>
    <x v="1"/>
    <n v="722.07"/>
    <d v="2025-02-26T00:00:00"/>
  </r>
  <r>
    <n v="101545"/>
    <x v="220"/>
    <s v="Vanessa Duarte"/>
    <s v="TED"/>
    <x v="0"/>
    <x v="1"/>
    <n v="0"/>
    <n v="542"/>
    <s v="Norte"/>
    <x v="3"/>
    <n v="294.37"/>
    <d v="2025-02-25T00:00:00"/>
  </r>
  <r>
    <n v="100245"/>
    <x v="206"/>
    <s v="Carla Mendes"/>
    <s v="BOLETO"/>
    <x v="0"/>
    <x v="2"/>
    <n v="0"/>
    <n v="468"/>
    <s v="Sul"/>
    <x v="1"/>
    <n v="880.05"/>
    <d v="2025-02-24T00:00:00"/>
  </r>
  <r>
    <n v="100338"/>
    <x v="223"/>
    <s v="Caio Monteiro"/>
    <s v="BOLETO"/>
    <x v="3"/>
    <x v="1"/>
    <n v="0"/>
    <n v="342"/>
    <s v="Sudeste"/>
    <x v="1"/>
    <n v="516.88"/>
    <d v="2025-02-24T00:00:00"/>
  </r>
  <r>
    <n v="101294"/>
    <x v="145"/>
    <s v="Ana Souza"/>
    <s v="PIX"/>
    <x v="0"/>
    <x v="1"/>
    <n v="0"/>
    <n v="784"/>
    <s v="Sudeste"/>
    <x v="0"/>
    <n v="450.71"/>
    <d v="2025-02-23T00:00:00"/>
  </r>
  <r>
    <n v="101660"/>
    <x v="96"/>
    <s v="Rafael Pereira"/>
    <s v="TED"/>
    <x v="1"/>
    <x v="3"/>
    <n v="137"/>
    <n v="567"/>
    <s v="Nordeste"/>
    <x v="1"/>
    <n v="359.49"/>
    <d v="2025-02-23T00:00:00"/>
  </r>
  <r>
    <n v="101530"/>
    <x v="115"/>
    <s v="Karina Silva"/>
    <s v="PIX"/>
    <x v="2"/>
    <x v="2"/>
    <n v="0"/>
    <n v="487"/>
    <s v="Sudeste"/>
    <x v="2"/>
    <n v="124.98"/>
    <d v="2025-02-23T00:00:00"/>
  </r>
  <r>
    <n v="101471"/>
    <x v="15"/>
    <s v="Caio Monteiro"/>
    <s v="TED"/>
    <x v="6"/>
    <x v="0"/>
    <n v="2"/>
    <n v="585"/>
    <s v="Norte"/>
    <x v="0"/>
    <n v="443.67"/>
    <d v="2025-02-22T00:00:00"/>
  </r>
  <r>
    <n v="101103"/>
    <x v="176"/>
    <s v="Lucas Martins"/>
    <s v="BOLETO"/>
    <x v="7"/>
    <x v="1"/>
    <n v="0"/>
    <n v="765"/>
    <s v="Sul"/>
    <x v="2"/>
    <n v="249.22"/>
    <d v="2025-02-22T00:00:00"/>
  </r>
  <r>
    <n v="101321"/>
    <x v="224"/>
    <s v="Fabio Costa"/>
    <s v="CARTÃO DE CRÉDITO"/>
    <x v="7"/>
    <x v="1"/>
    <n v="0"/>
    <n v="483"/>
    <s v="Norte"/>
    <x v="0"/>
    <n v="203.79"/>
    <d v="2025-02-22T00:00:00"/>
  </r>
  <r>
    <n v="101685"/>
    <x v="104"/>
    <s v="Diego Alves"/>
    <s v="TED"/>
    <x v="5"/>
    <x v="1"/>
    <n v="0"/>
    <n v="405"/>
    <s v="Norte"/>
    <x v="1"/>
    <n v="198.72"/>
    <d v="2025-02-22T00:00:00"/>
  </r>
  <r>
    <n v="101265"/>
    <x v="225"/>
    <s v="Isabela Nunes"/>
    <s v="CARTÃO DE CRÉDITO"/>
    <x v="3"/>
    <x v="1"/>
    <n v="0"/>
    <n v="638"/>
    <s v="Sul"/>
    <x v="0"/>
    <n v="60.95"/>
    <d v="2025-02-22T00:00:00"/>
  </r>
  <r>
    <n v="100128"/>
    <x v="48"/>
    <s v="Mariana Cardoso"/>
    <s v="CARTÃO DE DÉBITO"/>
    <x v="0"/>
    <x v="1"/>
    <n v="0"/>
    <n v="733"/>
    <s v="Sudeste"/>
    <x v="1"/>
    <n v="478.85"/>
    <d v="2025-02-21T00:00:00"/>
  </r>
  <r>
    <n v="101436"/>
    <x v="183"/>
    <s v="Fabio Costa"/>
    <s v="TED"/>
    <x v="2"/>
    <x v="2"/>
    <n v="0"/>
    <n v="759"/>
    <s v="Centro-Oeste"/>
    <x v="1"/>
    <n v="409.85"/>
    <d v="2025-02-21T00:00:00"/>
  </r>
  <r>
    <n v="101711"/>
    <x v="48"/>
    <s v="Mariana Cardoso"/>
    <s v="CARTÃO DE CRÉDITO"/>
    <x v="3"/>
    <x v="1"/>
    <n v="0"/>
    <n v="733"/>
    <s v="Norte"/>
    <x v="0"/>
    <n v="371.71"/>
    <d v="2025-02-21T00:00:00"/>
  </r>
  <r>
    <n v="101443"/>
    <x v="226"/>
    <s v="Diego Alves"/>
    <s v="BOLETO"/>
    <x v="5"/>
    <x v="1"/>
    <n v="0"/>
    <n v="781"/>
    <s v="Sudeste"/>
    <x v="1"/>
    <n v="320.62"/>
    <d v="2025-02-21T00:00:00"/>
  </r>
  <r>
    <n v="101622"/>
    <x v="186"/>
    <s v="Diego Alves"/>
    <s v="CARTÃO DE DÉBITO"/>
    <x v="0"/>
    <x v="0"/>
    <n v="9"/>
    <n v="737"/>
    <s v="Sudeste"/>
    <x v="2"/>
    <n v="290.36"/>
    <d v="2025-02-21T00:00:00"/>
  </r>
  <r>
    <n v="100995"/>
    <x v="190"/>
    <s v="Carla Mendes"/>
    <s v="PIX"/>
    <x v="7"/>
    <x v="1"/>
    <n v="0"/>
    <n v="578"/>
    <s v="Sul"/>
    <x v="1"/>
    <n v="75.95"/>
    <d v="2025-02-21T00:00:00"/>
  </r>
  <r>
    <n v="100100"/>
    <x v="16"/>
    <s v="Bianca Freitas"/>
    <s v="PIX"/>
    <x v="1"/>
    <x v="1"/>
    <n v="0"/>
    <n v="778"/>
    <s v="Centro-Oeste"/>
    <x v="1"/>
    <n v="569.11"/>
    <d v="2025-02-20T00:00:00"/>
  </r>
  <r>
    <n v="102124"/>
    <x v="121"/>
    <s v="Isabela Nunes"/>
    <s v="TED"/>
    <x v="1"/>
    <x v="3"/>
    <n v="36"/>
    <n v="585"/>
    <s v="Nordeste"/>
    <x v="1"/>
    <n v="468.69"/>
    <d v="2025-02-20T00:00:00"/>
  </r>
  <r>
    <n v="101704"/>
    <x v="15"/>
    <s v="Caio Monteiro"/>
    <s v="BOLETO"/>
    <x v="7"/>
    <x v="2"/>
    <n v="0"/>
    <n v="585"/>
    <s v="Nordeste"/>
    <x v="2"/>
    <n v="394.5"/>
    <d v="2025-02-20T00:00:00"/>
  </r>
  <r>
    <n v="100552"/>
    <x v="95"/>
    <s v="Joao Pedro Dias"/>
    <s v="TED"/>
    <x v="1"/>
    <x v="1"/>
    <n v="0"/>
    <n v="823"/>
    <s v="Sudeste"/>
    <x v="1"/>
    <n v="386.68"/>
    <d v="2025-02-20T00:00:00"/>
  </r>
  <r>
    <n v="101598"/>
    <x v="123"/>
    <s v="Carla Mendes"/>
    <s v="PIX"/>
    <x v="4"/>
    <x v="1"/>
    <n v="0"/>
    <n v="636"/>
    <s v="Sudeste"/>
    <x v="2"/>
    <n v="154.30000000000001"/>
    <d v="2025-02-20T00:00:00"/>
  </r>
  <r>
    <n v="100898"/>
    <x v="27"/>
    <s v="William Santos"/>
    <s v="CARTÃO DE CRÉDITO"/>
    <x v="5"/>
    <x v="2"/>
    <n v="0"/>
    <n v="716"/>
    <s v="Sul"/>
    <x v="0"/>
    <n v="135.29"/>
    <d v="2025-02-20T00:00:00"/>
  </r>
  <r>
    <n v="102135"/>
    <x v="104"/>
    <s v="Diego Alves"/>
    <s v="CARTÃO DE CRÉDITO"/>
    <x v="3"/>
    <x v="0"/>
    <n v="8"/>
    <n v="405"/>
    <s v="Centro-Oeste"/>
    <x v="2"/>
    <n v="766.15"/>
    <d v="2025-02-19T00:00:00"/>
  </r>
  <r>
    <n v="101066"/>
    <x v="137"/>
    <s v="Caio Monteiro"/>
    <s v="BOLETO"/>
    <x v="2"/>
    <x v="1"/>
    <n v="0"/>
    <n v="332"/>
    <s v="Norte"/>
    <x v="2"/>
    <n v="260.41000000000003"/>
    <d v="2025-02-19T00:00:00"/>
  </r>
  <r>
    <n v="101422"/>
    <x v="227"/>
    <s v="Heitor Barbosa"/>
    <s v="PIX"/>
    <x v="1"/>
    <x v="3"/>
    <n v="34"/>
    <n v="461"/>
    <s v="Sudeste"/>
    <x v="2"/>
    <n v="1155.75"/>
    <d v="2025-02-18T00:00:00"/>
  </r>
  <r>
    <n v="101856"/>
    <x v="114"/>
    <s v="Heitor Barbosa"/>
    <s v="TED"/>
    <x v="2"/>
    <x v="0"/>
    <n v="5"/>
    <n v="340"/>
    <s v="Sul"/>
    <x v="1"/>
    <n v="898.6"/>
    <d v="2025-02-18T00:00:00"/>
  </r>
  <r>
    <n v="100928"/>
    <x v="208"/>
    <s v="Heitor Barbosa"/>
    <s v="TED"/>
    <x v="7"/>
    <x v="1"/>
    <n v="0"/>
    <n v="418"/>
    <s v="Norte"/>
    <x v="0"/>
    <n v="816.71"/>
    <d v="2025-02-18T00:00:00"/>
  </r>
  <r>
    <n v="100991"/>
    <x v="228"/>
    <s v="Bianca Freitas"/>
    <s v="PIX"/>
    <x v="5"/>
    <x v="1"/>
    <n v="0"/>
    <n v="746"/>
    <s v="Sul"/>
    <x v="1"/>
    <n v="799.68"/>
    <d v="2025-02-18T00:00:00"/>
  </r>
  <r>
    <n v="100918"/>
    <x v="106"/>
    <s v="Carla Mendes"/>
    <s v="CARTÃO DE DÉBITO"/>
    <x v="5"/>
    <x v="1"/>
    <n v="0"/>
    <n v="501"/>
    <s v="Norte"/>
    <x v="2"/>
    <n v="677.75"/>
    <d v="2025-02-18T00:00:00"/>
  </r>
  <r>
    <n v="101499"/>
    <x v="26"/>
    <s v="Diego Alves"/>
    <s v="CARTÃO DE DÉBITO"/>
    <x v="3"/>
    <x v="1"/>
    <n v="0"/>
    <n v="710"/>
    <s v="Nordeste"/>
    <x v="1"/>
    <n v="279.48"/>
    <d v="2025-02-18T00:00:00"/>
  </r>
  <r>
    <n v="100805"/>
    <x v="55"/>
    <s v="Carla Mendes"/>
    <s v="TED"/>
    <x v="0"/>
    <x v="1"/>
    <n v="0"/>
    <n v="616"/>
    <s v="Sul"/>
    <x v="0"/>
    <n v="254"/>
    <d v="2025-02-18T00:00:00"/>
  </r>
  <r>
    <n v="101287"/>
    <x v="147"/>
    <s v="Thiago Correia"/>
    <s v="TED"/>
    <x v="7"/>
    <x v="1"/>
    <n v="0"/>
    <n v="554"/>
    <s v="Centro-Oeste"/>
    <x v="2"/>
    <n v="250.14"/>
    <d v="2025-02-18T00:00:00"/>
  </r>
  <r>
    <n v="102021"/>
    <x v="123"/>
    <s v="Carla Mendes"/>
    <s v="PIX"/>
    <x v="7"/>
    <x v="0"/>
    <n v="12"/>
    <n v="636"/>
    <s v="Norte"/>
    <x v="2"/>
    <n v="173.41"/>
    <d v="2025-02-18T00:00:00"/>
  </r>
  <r>
    <n v="100782"/>
    <x v="166"/>
    <s v="Bianca Freitas"/>
    <s v="TED"/>
    <x v="2"/>
    <x v="1"/>
    <s v="Não Informado"/>
    <n v="490"/>
    <s v="Nordeste"/>
    <x v="0"/>
    <n v="1194.77"/>
    <d v="2025-02-17T00:00:00"/>
  </r>
  <r>
    <n v="100853"/>
    <x v="172"/>
    <s v="Caio Monteiro"/>
    <s v="BOLETO"/>
    <x v="7"/>
    <x v="2"/>
    <n v="0"/>
    <n v="892"/>
    <s v="Centro-Oeste"/>
    <x v="2"/>
    <n v="538.01"/>
    <d v="2025-02-16T00:00:00"/>
  </r>
  <r>
    <n v="101082"/>
    <x v="229"/>
    <s v="Ana Souza"/>
    <s v="CARTÃO DE CRÉDITO"/>
    <x v="1"/>
    <x v="2"/>
    <n v="0"/>
    <n v="662"/>
    <s v="Sudeste"/>
    <x v="1"/>
    <n v="310.61"/>
    <d v="2025-02-16T00:00:00"/>
  </r>
  <r>
    <n v="100623"/>
    <x v="186"/>
    <s v="Diego Alves"/>
    <s v="TED"/>
    <x v="7"/>
    <x v="1"/>
    <s v="Não Informado"/>
    <n v="737"/>
    <s v="Norte"/>
    <x v="1"/>
    <n v="262.95"/>
    <d v="2025-02-16T00:00:00"/>
  </r>
  <r>
    <n v="101134"/>
    <x v="88"/>
    <s v="Elaine Ferreira"/>
    <s v="BOLETO"/>
    <x v="0"/>
    <x v="1"/>
    <n v="0"/>
    <n v="773"/>
    <s v="Sul"/>
    <x v="1"/>
    <n v="229.02"/>
    <d v="2025-02-16T00:00:00"/>
  </r>
  <r>
    <n v="101823"/>
    <x v="87"/>
    <s v="Karina Silva"/>
    <s v="PIX"/>
    <x v="3"/>
    <x v="1"/>
    <n v="0"/>
    <n v="672"/>
    <s v="Nordeste"/>
    <x v="1"/>
    <n v="857.93"/>
    <d v="2025-02-15T00:00:00"/>
  </r>
  <r>
    <n v="101284"/>
    <x v="149"/>
    <s v="Carla Mendes"/>
    <s v="TED"/>
    <x v="0"/>
    <x v="3"/>
    <n v="31"/>
    <n v="769"/>
    <s v="Norte"/>
    <x v="1"/>
    <n v="811.99"/>
    <d v="2025-02-15T00:00:00"/>
  </r>
  <r>
    <n v="100357"/>
    <x v="230"/>
    <s v="Bruno Lima"/>
    <s v="PIX"/>
    <x v="5"/>
    <x v="1"/>
    <n v="0"/>
    <n v="716"/>
    <s v="Sudeste"/>
    <x v="3"/>
    <n v="547.96"/>
    <d v="2025-02-15T00:00:00"/>
  </r>
  <r>
    <n v="101652"/>
    <x v="74"/>
    <s v="Isabela Nunes"/>
    <s v="PIX"/>
    <x v="0"/>
    <x v="0"/>
    <n v="30"/>
    <n v="418"/>
    <s v="Centro-Oeste"/>
    <x v="1"/>
    <n v="319.39999999999998"/>
    <d v="2025-02-15T00:00:00"/>
  </r>
  <r>
    <n v="100734"/>
    <x v="128"/>
    <s v="Lucas Martins"/>
    <s v="CARTÃO DE DÉBITO"/>
    <x v="7"/>
    <x v="1"/>
    <n v="0"/>
    <n v="395"/>
    <s v="Sudeste"/>
    <x v="0"/>
    <n v="312.26"/>
    <d v="2025-02-15T00:00:00"/>
  </r>
  <r>
    <n v="101911"/>
    <x v="12"/>
    <s v="Patricia Gomes"/>
    <s v="PIX"/>
    <x v="3"/>
    <x v="2"/>
    <n v="0"/>
    <n v="708"/>
    <s v="Nordeste"/>
    <x v="2"/>
    <n v="231.69"/>
    <d v="2025-02-15T00:00:00"/>
  </r>
  <r>
    <n v="102182"/>
    <x v="231"/>
    <s v="Lucas Martins"/>
    <s v="PIX"/>
    <x v="3"/>
    <x v="1"/>
    <n v="0"/>
    <n v="315"/>
    <s v="Norte"/>
    <x v="1"/>
    <n v="179.57"/>
    <d v="2025-02-15T00:00:00"/>
  </r>
  <r>
    <n v="100190"/>
    <x v="232"/>
    <s v="Joao Pedro Dias"/>
    <s v="CARTÃO DE DÉBITO"/>
    <x v="3"/>
    <x v="1"/>
    <s v="Não Informado"/>
    <n v="896"/>
    <s v="Centro-Oeste"/>
    <x v="0"/>
    <n v="172.27"/>
    <d v="2025-02-15T00:00:00"/>
  </r>
  <r>
    <n v="100489"/>
    <x v="50"/>
    <s v="Gabriela Rocha"/>
    <s v="BOLETO"/>
    <x v="2"/>
    <x v="1"/>
    <n v="0"/>
    <n v="621"/>
    <s v="Sul"/>
    <x v="1"/>
    <n v="820.4"/>
    <d v="2025-02-14T00:00:00"/>
  </r>
  <r>
    <n v="100091"/>
    <x v="56"/>
    <s v="Mariana Cardoso"/>
    <s v="CARTÃO DE CRÉDITO"/>
    <x v="4"/>
    <x v="1"/>
    <n v="0"/>
    <n v="418"/>
    <s v="Norte"/>
    <x v="1"/>
    <n v="481.4"/>
    <d v="2025-02-14T00:00:00"/>
  </r>
  <r>
    <n v="101935"/>
    <x v="109"/>
    <s v="Sandra Vieira"/>
    <s v="CARTÃO DE CRÉDITO"/>
    <x v="4"/>
    <x v="2"/>
    <n v="0"/>
    <n v="733"/>
    <s v="Sul"/>
    <x v="0"/>
    <n v="478.14"/>
    <d v="2025-02-14T00:00:00"/>
  </r>
  <r>
    <n v="101467"/>
    <x v="57"/>
    <s v="Fabio Costa"/>
    <s v="BOLETO"/>
    <x v="6"/>
    <x v="1"/>
    <n v="0"/>
    <n v="328"/>
    <s v="Sudeste"/>
    <x v="1"/>
    <n v="463.27"/>
    <d v="2025-02-14T00:00:00"/>
  </r>
  <r>
    <n v="101090"/>
    <x v="214"/>
    <s v="Lucas Martins"/>
    <s v="CARTÃO DE DÉBITO"/>
    <x v="1"/>
    <x v="3"/>
    <n v="36"/>
    <n v="494"/>
    <s v="Sul"/>
    <x v="0"/>
    <n v="328.85"/>
    <d v="2025-02-14T00:00:00"/>
  </r>
  <r>
    <n v="100170"/>
    <x v="233"/>
    <s v="Não Informado"/>
    <s v="PIX"/>
    <x v="4"/>
    <x v="1"/>
    <n v="0"/>
    <n v="370"/>
    <s v="Sudeste"/>
    <x v="0"/>
    <n v="300.04000000000002"/>
    <d v="2025-02-14T00:00:00"/>
  </r>
  <r>
    <n v="100052"/>
    <x v="113"/>
    <s v="Caio Monteiro"/>
    <s v="PIX"/>
    <x v="1"/>
    <x v="0"/>
    <n v="5"/>
    <n v="308"/>
    <s v="Sudeste"/>
    <x v="1"/>
    <n v="227.09"/>
    <d v="2025-02-14T00:00:00"/>
  </r>
  <r>
    <n v="101843"/>
    <x v="85"/>
    <s v="Ana Souza"/>
    <s v="BOLETO"/>
    <x v="4"/>
    <x v="3"/>
    <n v="107"/>
    <n v="465"/>
    <s v="Norte"/>
    <x v="2"/>
    <n v="687.15"/>
    <d v="2025-02-13T00:00:00"/>
  </r>
  <r>
    <n v="102179"/>
    <x v="181"/>
    <s v="Diego Alves"/>
    <s v="CARTÃO DE CRÉDITO"/>
    <x v="1"/>
    <x v="2"/>
    <n v="0"/>
    <n v="534"/>
    <s v="Nordeste"/>
    <x v="2"/>
    <n v="350.99"/>
    <d v="2025-02-13T00:00:00"/>
  </r>
  <r>
    <n v="101411"/>
    <x v="6"/>
    <s v="Thiago Correia"/>
    <s v="TED"/>
    <x v="4"/>
    <x v="0"/>
    <n v="5"/>
    <n v="406"/>
    <s v="Sul"/>
    <x v="1"/>
    <n v="243.46"/>
    <d v="2025-02-13T00:00:00"/>
  </r>
  <r>
    <n v="100291"/>
    <x v="155"/>
    <s v="Caio Monteiro"/>
    <s v="CARTÃO DE CRÉDITO"/>
    <x v="7"/>
    <x v="1"/>
    <n v="0"/>
    <n v="744"/>
    <s v="Sudeste"/>
    <x v="0"/>
    <n v="140.02000000000001"/>
    <d v="2025-02-13T00:00:00"/>
  </r>
  <r>
    <n v="102028"/>
    <x v="11"/>
    <s v="Yasmin Araujo"/>
    <s v="CARTÃO DE DÉBITO"/>
    <x v="5"/>
    <x v="1"/>
    <n v="0"/>
    <n v="694"/>
    <s v="Sudeste"/>
    <x v="1"/>
    <n v="39.76"/>
    <d v="2025-02-13T00:00:00"/>
  </r>
  <r>
    <n v="101433"/>
    <x v="178"/>
    <s v="Isabela Nunes"/>
    <s v="BOLETO"/>
    <x v="3"/>
    <x v="1"/>
    <n v="0"/>
    <n v="878"/>
    <s v="Sul"/>
    <x v="1"/>
    <n v="323.8"/>
    <d v="2025-02-12T00:00:00"/>
  </r>
  <r>
    <n v="101556"/>
    <x v="234"/>
    <s v="Ana Souza"/>
    <s v="CARTÃO DE CRÉDITO"/>
    <x v="5"/>
    <x v="1"/>
    <n v="0"/>
    <n v="494"/>
    <s v="Norte"/>
    <x v="2"/>
    <n v="216.71"/>
    <d v="2025-02-12T00:00:00"/>
  </r>
  <r>
    <n v="101172"/>
    <x v="225"/>
    <s v="Isabela Nunes"/>
    <s v="TED"/>
    <x v="0"/>
    <x v="3"/>
    <n v="113"/>
    <n v="638"/>
    <s v="Nordeste"/>
    <x v="2"/>
    <n v="159.4"/>
    <d v="2025-02-12T00:00:00"/>
  </r>
  <r>
    <n v="101315"/>
    <x v="44"/>
    <s v="Carla Mendes"/>
    <s v="PIX"/>
    <x v="0"/>
    <x v="3"/>
    <n v="39"/>
    <n v="528"/>
    <s v="Sudeste"/>
    <x v="2"/>
    <n v="730.86"/>
    <d v="2025-02-11T00:00:00"/>
  </r>
  <r>
    <n v="100422"/>
    <x v="235"/>
    <s v="Sandra Vieira"/>
    <s v="BOLETO"/>
    <x v="3"/>
    <x v="1"/>
    <n v="0"/>
    <n v="609"/>
    <s v="Centro-Oeste"/>
    <x v="2"/>
    <n v="657.97"/>
    <d v="2025-02-11T00:00:00"/>
  </r>
  <r>
    <n v="100591"/>
    <x v="132"/>
    <s v="Vanessa Duarte"/>
    <s v="TED"/>
    <x v="4"/>
    <x v="1"/>
    <n v="0"/>
    <n v="741"/>
    <s v="Nordeste"/>
    <x v="2"/>
    <n v="455.13"/>
    <d v="2025-02-11T00:00:00"/>
  </r>
  <r>
    <n v="101085"/>
    <x v="105"/>
    <s v="Karina Silva"/>
    <s v="CARTÃO DE CRÉDITO"/>
    <x v="1"/>
    <x v="0"/>
    <n v="10"/>
    <n v="623"/>
    <s v="Sudeste"/>
    <x v="2"/>
    <n v="417.59"/>
    <d v="2025-02-11T00:00:00"/>
  </r>
  <r>
    <n v="101750"/>
    <x v="39"/>
    <s v="Nelson Teixeira"/>
    <s v="TED"/>
    <x v="3"/>
    <x v="1"/>
    <n v="0"/>
    <n v="606"/>
    <s v="Sudeste"/>
    <x v="0"/>
    <n v="114.31"/>
    <d v="2025-02-11T00:00:00"/>
  </r>
  <r>
    <n v="100411"/>
    <x v="88"/>
    <s v="Elaine Ferreira"/>
    <s v="CARTÃO DE CRÉDITO"/>
    <x v="1"/>
    <x v="3"/>
    <n v="91"/>
    <n v="773"/>
    <s v="Sudeste"/>
    <x v="1"/>
    <n v="444.03"/>
    <d v="2025-02-10T00:00:00"/>
  </r>
  <r>
    <n v="100504"/>
    <x v="37"/>
    <s v="Bianca Freitas"/>
    <s v="PIX"/>
    <x v="2"/>
    <x v="2"/>
    <n v="0"/>
    <n v="653"/>
    <s v="Sudeste"/>
    <x v="0"/>
    <n v="394.1"/>
    <d v="2025-02-10T00:00:00"/>
  </r>
  <r>
    <n v="102166"/>
    <x v="39"/>
    <s v="Nelson Teixeira"/>
    <s v="TED"/>
    <x v="1"/>
    <x v="1"/>
    <n v="0"/>
    <n v="606"/>
    <s v="Norte"/>
    <x v="1"/>
    <n v="185.43"/>
    <d v="2025-02-10T00:00:00"/>
  </r>
  <r>
    <n v="100811"/>
    <x v="40"/>
    <s v="Lucas Martins"/>
    <s v="TED"/>
    <x v="2"/>
    <x v="2"/>
    <n v="0"/>
    <n v="570"/>
    <s v="Centro-Oeste"/>
    <x v="0"/>
    <n v="595.15"/>
    <d v="2025-02-09T00:00:00"/>
  </r>
  <r>
    <n v="101210"/>
    <x v="43"/>
    <s v="Vanessa Duarte"/>
    <s v="CARTÃO DE CRÉDITO"/>
    <x v="7"/>
    <x v="1"/>
    <n v="0"/>
    <n v="713"/>
    <s v="Sudeste"/>
    <x v="0"/>
    <n v="317.67"/>
    <d v="2025-02-09T00:00:00"/>
  </r>
  <r>
    <n v="100534"/>
    <x v="172"/>
    <s v="Caio Monteiro"/>
    <s v="CARTÃO DE CRÉDITO"/>
    <x v="1"/>
    <x v="0"/>
    <n v="18"/>
    <n v="892"/>
    <s v="Centro-Oeste"/>
    <x v="0"/>
    <n v="320.08999999999997"/>
    <d v="2025-02-08T00:00:00"/>
  </r>
  <r>
    <n v="101335"/>
    <x v="53"/>
    <s v="Thiago Correia"/>
    <s v="PIX"/>
    <x v="7"/>
    <x v="2"/>
    <s v="Não Informado"/>
    <n v="427"/>
    <s v="Sul"/>
    <x v="1"/>
    <n v="55.77"/>
    <d v="2025-02-08T00:00:00"/>
  </r>
  <r>
    <n v="101667"/>
    <x v="32"/>
    <s v="Carla Mendes"/>
    <s v="BOLETO"/>
    <x v="0"/>
    <x v="3"/>
    <n v="177"/>
    <n v="324"/>
    <s v="Norte"/>
    <x v="0"/>
    <n v="51.32"/>
    <d v="2025-02-08T00:00:00"/>
  </r>
  <r>
    <n v="101030"/>
    <x v="2"/>
    <s v="Lucas Martins"/>
    <s v="CARTÃO DE CRÉDITO"/>
    <x v="7"/>
    <x v="0"/>
    <n v="5"/>
    <n v="461"/>
    <s v="Nordeste"/>
    <x v="0"/>
    <n v="629.14"/>
    <d v="2025-02-07T00:00:00"/>
  </r>
  <r>
    <n v="102063"/>
    <x v="183"/>
    <s v="Fabio Costa"/>
    <s v="TED"/>
    <x v="3"/>
    <x v="0"/>
    <n v="19"/>
    <n v="759"/>
    <s v="Centro-Oeste"/>
    <x v="1"/>
    <n v="473.61"/>
    <d v="2025-02-07T00:00:00"/>
  </r>
  <r>
    <n v="101364"/>
    <x v="226"/>
    <s v="Diego Alves"/>
    <s v="TED"/>
    <x v="2"/>
    <x v="2"/>
    <n v="0"/>
    <n v="781"/>
    <s v="Norte"/>
    <x v="2"/>
    <n v="405.05"/>
    <d v="2025-02-07T00:00:00"/>
  </r>
  <r>
    <n v="100166"/>
    <x v="201"/>
    <s v="Gabriela Rocha"/>
    <s v="TED"/>
    <x v="6"/>
    <x v="1"/>
    <n v="0"/>
    <n v="876"/>
    <s v="Norte"/>
    <x v="1"/>
    <n v="353.46"/>
    <d v="2025-02-07T00:00:00"/>
  </r>
  <r>
    <n v="101054"/>
    <x v="21"/>
    <s v="Yasmin Araujo"/>
    <s v="CARTÃO DE CRÉDITO"/>
    <x v="2"/>
    <x v="2"/>
    <n v="0"/>
    <n v="709"/>
    <s v="Sudeste"/>
    <x v="1"/>
    <n v="68.760000000000005"/>
    <d v="2025-02-07T00:00:00"/>
  </r>
  <r>
    <n v="100575"/>
    <x v="236"/>
    <s v="Yasmin Araujo"/>
    <s v="BOLETO"/>
    <x v="3"/>
    <x v="1"/>
    <n v="0"/>
    <n v="370"/>
    <s v="Sudeste"/>
    <x v="1"/>
    <m/>
    <d v="2025-02-07T00:00:00"/>
  </r>
  <r>
    <n v="101525"/>
    <x v="190"/>
    <s v="Carla Mendes"/>
    <s v="CARTÃO DE DÉBITO"/>
    <x v="1"/>
    <x v="2"/>
    <n v="0"/>
    <n v="578"/>
    <s v="Nordeste"/>
    <x v="2"/>
    <n v="881.45"/>
    <d v="2025-02-06T00:00:00"/>
  </r>
  <r>
    <n v="101894"/>
    <x v="203"/>
    <s v="Karina Silva"/>
    <s v="BOLETO"/>
    <x v="1"/>
    <x v="0"/>
    <n v="7"/>
    <n v="336"/>
    <s v="Sul"/>
    <x v="2"/>
    <n v="301.12"/>
    <d v="2025-02-06T00:00:00"/>
  </r>
  <r>
    <n v="100132"/>
    <x v="36"/>
    <s v="Vanessa Duarte"/>
    <s v="CARTÃO DE CRÉDITO"/>
    <x v="2"/>
    <x v="2"/>
    <n v="0"/>
    <n v="463"/>
    <s v="Sudeste"/>
    <x v="1"/>
    <n v="179.52"/>
    <d v="2025-02-06T00:00:00"/>
  </r>
  <r>
    <n v="101207"/>
    <x v="131"/>
    <s v="William Santos"/>
    <s v="PIX"/>
    <x v="2"/>
    <x v="1"/>
    <n v="0"/>
    <n v="355"/>
    <s v="Norte"/>
    <x v="2"/>
    <n v="173.44"/>
    <d v="2025-02-06T00:00:00"/>
  </r>
  <r>
    <n v="100889"/>
    <x v="72"/>
    <s v="Nelson Teixeira"/>
    <s v="BOLETO"/>
    <x v="3"/>
    <x v="1"/>
    <n v="0"/>
    <n v="894"/>
    <s v="Sudeste"/>
    <x v="1"/>
    <n v="112.3"/>
    <d v="2025-02-06T00:00:00"/>
  </r>
  <r>
    <n v="101849"/>
    <x v="8"/>
    <s v="Sandra Vieira"/>
    <s v="BOLETO"/>
    <x v="3"/>
    <x v="3"/>
    <n v="69"/>
    <n v="339"/>
    <s v="Não Informado"/>
    <x v="0"/>
    <n v="99.6"/>
    <d v="2025-02-06T00:00:00"/>
  </r>
  <r>
    <n v="101734"/>
    <x v="60"/>
    <s v="Karina Silva"/>
    <s v="CARTÃO DE DÉBITO"/>
    <x v="1"/>
    <x v="1"/>
    <n v="0"/>
    <n v="410"/>
    <s v="Norte"/>
    <x v="2"/>
    <n v="51.21"/>
    <d v="2025-02-06T00:00:00"/>
  </r>
  <r>
    <n v="100351"/>
    <x v="74"/>
    <s v="Isabela Nunes"/>
    <s v="PIX"/>
    <x v="7"/>
    <x v="3"/>
    <n v="162"/>
    <n v="418"/>
    <s v="Centro-Oeste"/>
    <x v="2"/>
    <n v="1041.1500000000001"/>
    <d v="2025-02-04T00:00:00"/>
  </r>
  <r>
    <n v="101619"/>
    <x v="14"/>
    <s v="Heitor Barbosa"/>
    <s v="TED"/>
    <x v="4"/>
    <x v="1"/>
    <n v="0"/>
    <n v="603"/>
    <s v="Centro-Oeste"/>
    <x v="0"/>
    <n v="1026.49"/>
    <d v="2025-02-04T00:00:00"/>
  </r>
  <r>
    <n v="100234"/>
    <x v="165"/>
    <s v="Debora Pinto"/>
    <s v="CARTÃO DE CRÉDITO"/>
    <x v="3"/>
    <x v="0"/>
    <n v="21"/>
    <n v="377"/>
    <s v="Sul"/>
    <x v="0"/>
    <n v="791.04"/>
    <d v="2025-02-04T00:00:00"/>
  </r>
  <r>
    <n v="101818"/>
    <x v="237"/>
    <s v="Debora Pinto"/>
    <s v="TED"/>
    <x v="3"/>
    <x v="1"/>
    <n v="0"/>
    <n v="705"/>
    <s v="Centro-Oeste"/>
    <x v="1"/>
    <n v="713.76"/>
    <d v="2025-02-04T00:00:00"/>
  </r>
  <r>
    <n v="100581"/>
    <x v="104"/>
    <s v="Diego Alves"/>
    <s v="CARTÃO DE CRÉDITO"/>
    <x v="0"/>
    <x v="0"/>
    <n v="27"/>
    <n v="405"/>
    <s v="Sudeste"/>
    <x v="1"/>
    <n v="517.66"/>
    <d v="2025-02-04T00:00:00"/>
  </r>
  <r>
    <n v="102196"/>
    <x v="124"/>
    <s v="Sandra Vieira"/>
    <s v="TED"/>
    <x v="5"/>
    <x v="3"/>
    <n v="39"/>
    <n v="568"/>
    <s v="Nordeste"/>
    <x v="0"/>
    <n v="433.44"/>
    <d v="2025-02-04T00:00:00"/>
  </r>
  <r>
    <n v="101944"/>
    <x v="127"/>
    <s v="Otavio Ramos"/>
    <s v="TED"/>
    <x v="1"/>
    <x v="1"/>
    <n v="0"/>
    <n v="560"/>
    <s v="Centro-Oeste"/>
    <x v="1"/>
    <n v="163.21"/>
    <d v="2025-02-04T00:00:00"/>
  </r>
  <r>
    <n v="102050"/>
    <x v="74"/>
    <s v="Não Informado"/>
    <s v="PIX"/>
    <x v="4"/>
    <x v="1"/>
    <n v="0"/>
    <n v="418"/>
    <s v="Norte"/>
    <x v="1"/>
    <n v="424.61"/>
    <d v="2025-02-03T00:00:00"/>
  </r>
  <r>
    <n v="100270"/>
    <x v="156"/>
    <s v="William Santos"/>
    <s v="TED"/>
    <x v="4"/>
    <x v="1"/>
    <n v="0"/>
    <n v="890"/>
    <s v="Sul"/>
    <x v="1"/>
    <n v="344.75"/>
    <d v="2025-02-03T00:00:00"/>
  </r>
  <r>
    <n v="100963"/>
    <x v="147"/>
    <s v="Thiago Correia"/>
    <s v="TED"/>
    <x v="1"/>
    <x v="2"/>
    <n v="0"/>
    <n v="554"/>
    <s v="Sul"/>
    <x v="2"/>
    <n v="307.26"/>
    <d v="2025-02-03T00:00:00"/>
  </r>
  <r>
    <n v="100742"/>
    <x v="177"/>
    <s v="Não Informado"/>
    <s v="TED"/>
    <x v="2"/>
    <x v="2"/>
    <n v="0"/>
    <n v="411"/>
    <s v="Norte"/>
    <x v="1"/>
    <n v="579.9"/>
    <d v="2025-02-02T00:00:00"/>
  </r>
  <r>
    <n v="100008"/>
    <x v="238"/>
    <s v="Sandra Vieira"/>
    <s v="CARTÃO DE DÉBITO"/>
    <x v="2"/>
    <x v="1"/>
    <n v="0"/>
    <n v="640"/>
    <s v="Centro-Oeste"/>
    <x v="1"/>
    <n v="487.87"/>
    <d v="2025-02-02T00:00:00"/>
  </r>
  <r>
    <n v="102061"/>
    <x v="191"/>
    <s v="Diego Alves"/>
    <s v="PIX"/>
    <x v="6"/>
    <x v="1"/>
    <n v="0"/>
    <n v="863"/>
    <s v="Centro-Oeste"/>
    <x v="1"/>
    <n v="72.709999999999994"/>
    <d v="2025-02-02T00:00:00"/>
  </r>
  <r>
    <n v="100873"/>
    <x v="149"/>
    <s v="Carla Mendes"/>
    <s v="TED"/>
    <x v="7"/>
    <x v="1"/>
    <n v="0"/>
    <n v="769"/>
    <s v="Centro-Oeste"/>
    <x v="2"/>
    <n v="464.97"/>
    <d v="2025-02-01T00:00:00"/>
  </r>
  <r>
    <n v="101308"/>
    <x v="210"/>
    <s v="Thiago Correia"/>
    <s v="BOLETO"/>
    <x v="2"/>
    <x v="2"/>
    <n v="0"/>
    <n v="371"/>
    <s v="Norte"/>
    <x v="0"/>
    <n v="450.53"/>
    <d v="2025-02-01T00:00:00"/>
  </r>
  <r>
    <n v="100957"/>
    <x v="198"/>
    <s v="Gabriela Rocha"/>
    <s v="CARTÃO DE DÉBITO"/>
    <x v="6"/>
    <x v="0"/>
    <n v="27"/>
    <n v="518"/>
    <s v="Norte"/>
    <x v="0"/>
    <n v="382.13"/>
    <d v="2025-02-01T00:00:00"/>
  </r>
  <r>
    <n v="101108"/>
    <x v="18"/>
    <s v="Gabriela Rocha"/>
    <s v="BOLETO"/>
    <x v="6"/>
    <x v="2"/>
    <n v="0"/>
    <n v="466"/>
    <s v="Sudeste"/>
    <x v="0"/>
    <n v="629.13"/>
    <d v="2025-01-31T00:00:00"/>
  </r>
  <r>
    <n v="102073"/>
    <x v="167"/>
    <s v="Ana Souza"/>
    <s v="CARTÃO DE CRÉDITO"/>
    <x v="0"/>
    <x v="2"/>
    <n v="0"/>
    <n v="573"/>
    <s v="Norte"/>
    <x v="0"/>
    <n v="421.48"/>
    <d v="2025-01-31T00:00:00"/>
  </r>
  <r>
    <n v="101466"/>
    <x v="95"/>
    <s v="Joao Pedro Dias"/>
    <s v="TED"/>
    <x v="3"/>
    <x v="0"/>
    <n v="29"/>
    <n v="823"/>
    <s v="Norte"/>
    <x v="1"/>
    <n v="414.34"/>
    <d v="2025-01-31T00:00:00"/>
  </r>
  <r>
    <n v="102038"/>
    <x v="143"/>
    <s v="Elaine Ferreira"/>
    <s v="BOLETO"/>
    <x v="3"/>
    <x v="2"/>
    <n v="0"/>
    <n v="543"/>
    <s v="Norte"/>
    <x v="2"/>
    <n v="354.24"/>
    <d v="2025-01-31T00:00:00"/>
  </r>
  <r>
    <n v="102097"/>
    <x v="150"/>
    <s v="William Santos"/>
    <s v="TED"/>
    <x v="2"/>
    <x v="0"/>
    <n v="22"/>
    <n v="699"/>
    <s v="Nordeste"/>
    <x v="1"/>
    <n v="300.37"/>
    <d v="2025-01-31T00:00:00"/>
  </r>
  <r>
    <n v="101063"/>
    <x v="239"/>
    <s v="Diego Alves"/>
    <s v="BOLETO"/>
    <x v="4"/>
    <x v="1"/>
    <n v="0"/>
    <n v="853"/>
    <s v="Sul"/>
    <x v="1"/>
    <n v="276.29000000000002"/>
    <d v="2025-01-31T00:00:00"/>
  </r>
  <r>
    <n v="101848"/>
    <x v="33"/>
    <s v="William Santos"/>
    <s v="PIX"/>
    <x v="5"/>
    <x v="0"/>
    <n v="24"/>
    <n v="360"/>
    <s v="Norte"/>
    <x v="2"/>
    <n v="497.88"/>
    <d v="2025-01-30T00:00:00"/>
  </r>
  <r>
    <n v="101104"/>
    <x v="28"/>
    <s v="Lucas Martins"/>
    <s v="PIX"/>
    <x v="5"/>
    <x v="1"/>
    <n v="0"/>
    <n v="843"/>
    <s v="Centro-Oeste"/>
    <x v="0"/>
    <n v="179.52"/>
    <d v="2025-01-30T00:00:00"/>
  </r>
  <r>
    <n v="102057"/>
    <x v="5"/>
    <s v="Bruno Lima"/>
    <s v="CARTÃO DE DÉBITO"/>
    <x v="3"/>
    <x v="1"/>
    <n v="0"/>
    <n v="434"/>
    <s v="Nordeste"/>
    <x v="2"/>
    <n v="409.95"/>
    <d v="2025-01-29T00:00:00"/>
  </r>
  <r>
    <n v="100520"/>
    <x v="93"/>
    <s v="Fabio Costa"/>
    <s v="BOLETO"/>
    <x v="1"/>
    <x v="1"/>
    <n v="0"/>
    <n v="814"/>
    <s v="Sul"/>
    <x v="1"/>
    <n v="347.55"/>
    <d v="2025-01-29T00:00:00"/>
  </r>
  <r>
    <n v="100214"/>
    <x v="52"/>
    <s v="Otavio Ramos"/>
    <s v="PIX"/>
    <x v="2"/>
    <x v="1"/>
    <n v="0"/>
    <n v="303"/>
    <s v="Norte"/>
    <x v="1"/>
    <n v="309.95999999999998"/>
    <d v="2025-01-29T00:00:00"/>
  </r>
  <r>
    <n v="101165"/>
    <x v="240"/>
    <s v="Sandra Vieira"/>
    <s v="BOLETO"/>
    <x v="3"/>
    <x v="1"/>
    <n v="0"/>
    <n v="552"/>
    <s v="Não Informado"/>
    <x v="1"/>
    <n v="236.41"/>
    <d v="2025-01-29T00:00:00"/>
  </r>
  <r>
    <n v="101816"/>
    <x v="225"/>
    <s v="Isabela Nunes"/>
    <s v="PIX"/>
    <x v="3"/>
    <x v="1"/>
    <n v="0"/>
    <n v="638"/>
    <s v="Centro-Oeste"/>
    <x v="2"/>
    <n v="157.28"/>
    <d v="2025-01-29T00:00:00"/>
  </r>
  <r>
    <n v="100414"/>
    <x v="48"/>
    <s v="Mariana Cardoso"/>
    <s v="PIX"/>
    <x v="0"/>
    <x v="2"/>
    <n v="0"/>
    <n v="733"/>
    <s v="Nordeste"/>
    <x v="1"/>
    <n v="417.52"/>
    <d v="2025-01-28T00:00:00"/>
  </r>
  <r>
    <n v="101333"/>
    <x v="108"/>
    <s v="Otavio Ramos"/>
    <s v="TED"/>
    <x v="0"/>
    <x v="1"/>
    <n v="0"/>
    <n v="792"/>
    <s v="Centro-Oeste"/>
    <x v="2"/>
    <n v="282.45999999999998"/>
    <d v="2025-01-28T00:00:00"/>
  </r>
  <r>
    <n v="100909"/>
    <x v="90"/>
    <s v="Elaine Ferreira"/>
    <s v="TED"/>
    <x v="3"/>
    <x v="1"/>
    <n v="0"/>
    <n v="659"/>
    <s v="Sudeste"/>
    <x v="0"/>
    <n v="269.22000000000003"/>
    <d v="2025-01-28T00:00:00"/>
  </r>
  <r>
    <n v="100142"/>
    <x v="7"/>
    <s v="Yasmin Araujo"/>
    <s v="BOLETO"/>
    <x v="0"/>
    <x v="2"/>
    <n v="0"/>
    <n v="494"/>
    <s v="Centro-Oeste"/>
    <x v="2"/>
    <n v="43.51"/>
    <d v="2025-01-28T00:00:00"/>
  </r>
  <r>
    <n v="100711"/>
    <x v="216"/>
    <s v="William Santos"/>
    <s v="PIX"/>
    <x v="4"/>
    <x v="1"/>
    <n v="0"/>
    <n v="835"/>
    <s v="Norte"/>
    <x v="0"/>
    <n v="436.64"/>
    <d v="2025-01-27T00:00:00"/>
  </r>
  <r>
    <n v="100907"/>
    <x v="113"/>
    <s v="Caio Monteiro"/>
    <s v="TED"/>
    <x v="0"/>
    <x v="1"/>
    <n v="0"/>
    <n v="308"/>
    <s v="Norte"/>
    <x v="1"/>
    <n v="367.08"/>
    <d v="2025-01-27T00:00:00"/>
  </r>
  <r>
    <n v="101223"/>
    <x v="130"/>
    <s v="Bruno Lima"/>
    <s v="BOLETO"/>
    <x v="4"/>
    <x v="1"/>
    <n v="0"/>
    <n v="515"/>
    <s v="Sul"/>
    <x v="1"/>
    <n v="462.96"/>
    <d v="2025-01-26T00:00:00"/>
  </r>
  <r>
    <n v="100258"/>
    <x v="187"/>
    <s v="Diego Alves"/>
    <s v="BOLETO"/>
    <x v="0"/>
    <x v="2"/>
    <n v="0"/>
    <n v="301"/>
    <s v="Sul"/>
    <x v="0"/>
    <n v="322.52"/>
    <d v="2025-01-26T00:00:00"/>
  </r>
  <r>
    <n v="101429"/>
    <x v="153"/>
    <s v="Diego Alves"/>
    <s v="BOLETO"/>
    <x v="0"/>
    <x v="1"/>
    <n v="0"/>
    <n v="797"/>
    <s v="Sul"/>
    <x v="1"/>
    <n v="245.3"/>
    <d v="2025-01-26T00:00:00"/>
  </r>
  <r>
    <n v="101830"/>
    <x v="241"/>
    <s v="Ana Souza"/>
    <s v="PIX"/>
    <x v="7"/>
    <x v="1"/>
    <n v="0"/>
    <n v="339"/>
    <s v="Centro-Oeste"/>
    <x v="1"/>
    <n v="152.99"/>
    <d v="2025-01-26T00:00:00"/>
  </r>
  <r>
    <n v="100335"/>
    <x v="131"/>
    <s v="William Santos"/>
    <s v="PIX"/>
    <x v="4"/>
    <x v="0"/>
    <n v="13"/>
    <n v="355"/>
    <s v="Centro-Oeste"/>
    <x v="1"/>
    <n v="32.82"/>
    <d v="2025-01-26T00:00:00"/>
  </r>
  <r>
    <n v="100767"/>
    <x v="7"/>
    <s v="Yasmin Araujo"/>
    <s v="CARTÃO DE DÉBITO"/>
    <x v="4"/>
    <x v="1"/>
    <n v="0"/>
    <n v="494"/>
    <s v="Norte"/>
    <x v="1"/>
    <n v="16.72"/>
    <d v="2025-01-26T00:00:00"/>
  </r>
  <r>
    <n v="101936"/>
    <x v="242"/>
    <s v="William Santos"/>
    <s v="PIX"/>
    <x v="7"/>
    <x v="1"/>
    <n v="0"/>
    <n v="570"/>
    <s v="Norte"/>
    <x v="1"/>
    <n v="1071.96"/>
    <d v="2025-01-25T00:00:00"/>
  </r>
  <r>
    <n v="100185"/>
    <x v="156"/>
    <s v="Não Informado"/>
    <s v="PIX"/>
    <x v="0"/>
    <x v="1"/>
    <n v="0"/>
    <n v="890"/>
    <s v="Sul"/>
    <x v="2"/>
    <n v="578.4"/>
    <d v="2025-01-25T00:00:00"/>
  </r>
  <r>
    <n v="100249"/>
    <x v="33"/>
    <s v="William Santos"/>
    <s v="CARTÃO DE DÉBITO"/>
    <x v="3"/>
    <x v="0"/>
    <n v="19"/>
    <n v="360"/>
    <s v="Norte"/>
    <x v="1"/>
    <n v="521.02"/>
    <d v="2025-01-25T00:00:00"/>
  </r>
  <r>
    <n v="100606"/>
    <x v="123"/>
    <s v="Carla Mendes"/>
    <s v="TED"/>
    <x v="4"/>
    <x v="1"/>
    <n v="0"/>
    <n v="636"/>
    <s v="Centro-Oeste"/>
    <x v="0"/>
    <n v="472.73"/>
    <d v="2025-01-25T00:00:00"/>
  </r>
  <r>
    <n v="102176"/>
    <x v="124"/>
    <s v="Sandra Vieira"/>
    <s v="BOLETO"/>
    <x v="6"/>
    <x v="1"/>
    <n v="0"/>
    <n v="568"/>
    <s v="Sul"/>
    <x v="2"/>
    <n v="463.05"/>
    <d v="2025-01-25T00:00:00"/>
  </r>
  <r>
    <n v="100532"/>
    <x v="75"/>
    <s v="Carla Mendes"/>
    <s v="TED"/>
    <x v="4"/>
    <x v="0"/>
    <n v="26"/>
    <n v="798"/>
    <s v="Sul"/>
    <x v="1"/>
    <n v="437.57"/>
    <d v="2025-01-25T00:00:00"/>
  </r>
  <r>
    <n v="100517"/>
    <x v="157"/>
    <s v="Patricia Gomes"/>
    <s v="CARTÃO DE DÉBITO"/>
    <x v="5"/>
    <x v="1"/>
    <n v="0"/>
    <n v="849"/>
    <s v="Sudeste"/>
    <x v="0"/>
    <n v="435.07"/>
    <d v="2025-01-25T00:00:00"/>
  </r>
  <r>
    <n v="101973"/>
    <x v="21"/>
    <s v="Yasmin Araujo"/>
    <s v="BOLETO"/>
    <x v="6"/>
    <x v="2"/>
    <s v="Não Informado"/>
    <n v="709"/>
    <s v="Sudeste"/>
    <x v="0"/>
    <n v="396.56"/>
    <d v="2025-01-25T00:00:00"/>
  </r>
  <r>
    <n v="101819"/>
    <x v="156"/>
    <s v="William Santos"/>
    <s v="TED"/>
    <x v="4"/>
    <x v="3"/>
    <n v="133"/>
    <n v="890"/>
    <s v="Norte"/>
    <x v="1"/>
    <n v="370.12"/>
    <d v="2025-01-25T00:00:00"/>
  </r>
  <r>
    <n v="101720"/>
    <x v="238"/>
    <s v="Sandra Vieira"/>
    <s v="CARTÃO DE CRÉDITO"/>
    <x v="3"/>
    <x v="1"/>
    <n v="0"/>
    <n v="640"/>
    <s v="Centro-Oeste"/>
    <x v="1"/>
    <n v="190.41"/>
    <d v="2025-01-25T00:00:00"/>
  </r>
  <r>
    <n v="101832"/>
    <x v="26"/>
    <s v="Diego Alves"/>
    <s v="BOLETO"/>
    <x v="5"/>
    <x v="1"/>
    <n v="0"/>
    <n v="710"/>
    <s v="Centro-Oeste"/>
    <x v="1"/>
    <n v="154.1"/>
    <d v="2025-01-25T00:00:00"/>
  </r>
  <r>
    <n v="101583"/>
    <x v="243"/>
    <s v="Elaine Ferreira"/>
    <s v="PIX"/>
    <x v="2"/>
    <x v="2"/>
    <n v="0"/>
    <n v="481"/>
    <s v="Nordeste"/>
    <x v="0"/>
    <n v="131.94"/>
    <d v="2025-01-25T00:00:00"/>
  </r>
  <r>
    <n v="100277"/>
    <x v="121"/>
    <s v="Isabela Nunes"/>
    <s v="BOLETO"/>
    <x v="1"/>
    <x v="1"/>
    <n v="0"/>
    <n v="585"/>
    <s v="Sudeste"/>
    <x v="1"/>
    <n v="84.15"/>
    <d v="2025-01-25T00:00:00"/>
  </r>
  <r>
    <n v="100693"/>
    <x v="244"/>
    <s v="Karina Silva"/>
    <s v="TED"/>
    <x v="4"/>
    <x v="1"/>
    <n v="0"/>
    <n v="753"/>
    <s v="Nordeste"/>
    <x v="2"/>
    <n v="1187.82"/>
    <d v="2025-01-24T00:00:00"/>
  </r>
  <r>
    <n v="102011"/>
    <x v="163"/>
    <s v="Bruno Lima"/>
    <s v="PIX"/>
    <x v="2"/>
    <x v="1"/>
    <n v="0"/>
    <n v="548"/>
    <s v="Sul"/>
    <x v="1"/>
    <n v="1052.1500000000001"/>
    <d v="2025-01-24T00:00:00"/>
  </r>
  <r>
    <n v="101623"/>
    <x v="69"/>
    <s v="Ana Souza"/>
    <s v="BOLETO"/>
    <x v="2"/>
    <x v="1"/>
    <n v="0"/>
    <n v="741"/>
    <s v="Norte"/>
    <x v="2"/>
    <n v="320.45999999999998"/>
    <d v="2025-01-24T00:00:00"/>
  </r>
  <r>
    <n v="100555"/>
    <x v="182"/>
    <s v="Gabriela Rocha"/>
    <s v="TED"/>
    <x v="7"/>
    <x v="1"/>
    <n v="0"/>
    <n v="358"/>
    <s v="Nordeste"/>
    <x v="1"/>
    <n v="1002"/>
    <d v="2025-01-23T00:00:00"/>
  </r>
  <r>
    <n v="101539"/>
    <x v="240"/>
    <s v="Sandra Vieira"/>
    <s v="TED"/>
    <x v="7"/>
    <x v="1"/>
    <n v="0"/>
    <n v="552"/>
    <s v="Norte"/>
    <x v="0"/>
    <n v="402.18"/>
    <d v="2025-01-23T00:00:00"/>
  </r>
  <r>
    <n v="100009"/>
    <x v="77"/>
    <s v="Carla Mendes"/>
    <s v="CARTÃO DE DÉBITO"/>
    <x v="5"/>
    <x v="1"/>
    <n v="0"/>
    <n v="884"/>
    <s v="Sul"/>
    <x v="2"/>
    <n v="399.09"/>
    <d v="2025-01-23T00:00:00"/>
  </r>
  <r>
    <n v="102039"/>
    <x v="48"/>
    <s v="Mariana Cardoso"/>
    <s v="TED"/>
    <x v="1"/>
    <x v="0"/>
    <n v="27"/>
    <n v="733"/>
    <s v="Centro-Oeste"/>
    <x v="2"/>
    <n v="722.54"/>
    <d v="2025-01-22T00:00:00"/>
  </r>
  <r>
    <n v="101939"/>
    <x v="200"/>
    <s v="Sandra Vieira"/>
    <s v="CARTÃO DE DÉBITO"/>
    <x v="3"/>
    <x v="1"/>
    <n v="0"/>
    <n v="639"/>
    <s v="Sul"/>
    <x v="1"/>
    <n v="347.24"/>
    <d v="2025-01-22T00:00:00"/>
  </r>
  <r>
    <n v="101323"/>
    <x v="245"/>
    <s v="Vanessa Duarte"/>
    <s v="BOLETO"/>
    <x v="0"/>
    <x v="0"/>
    <n v="4"/>
    <n v="571"/>
    <s v="Sul"/>
    <x v="1"/>
    <n v="220.71"/>
    <d v="2025-01-22T00:00:00"/>
  </r>
  <r>
    <n v="101829"/>
    <x v="81"/>
    <s v="Não Informado"/>
    <s v="CARTÃO DE CRÉDITO"/>
    <x v="3"/>
    <x v="1"/>
    <n v="0"/>
    <n v="658"/>
    <s v="Não Informado"/>
    <x v="0"/>
    <n v="939.88"/>
    <d v="2025-01-21T00:00:00"/>
  </r>
  <r>
    <n v="100993"/>
    <x v="91"/>
    <s v="Nelson Teixeira"/>
    <s v="TED"/>
    <x v="1"/>
    <x v="1"/>
    <n v="0"/>
    <n v="784"/>
    <s v="Centro-Oeste"/>
    <x v="2"/>
    <n v="774.21"/>
    <d v="2025-01-21T00:00:00"/>
  </r>
  <r>
    <n v="101827"/>
    <x v="55"/>
    <s v="Carla Mendes"/>
    <s v="PIX"/>
    <x v="5"/>
    <x v="1"/>
    <n v="0"/>
    <n v="616"/>
    <s v="Centro-Oeste"/>
    <x v="1"/>
    <n v="758.04"/>
    <d v="2025-01-21T00:00:00"/>
  </r>
  <r>
    <n v="100639"/>
    <x v="112"/>
    <s v="Sandra Vieira"/>
    <s v="PIX"/>
    <x v="5"/>
    <x v="2"/>
    <n v="0"/>
    <n v="638"/>
    <s v="Nordeste"/>
    <x v="2"/>
    <n v="598.61"/>
    <d v="2025-01-21T00:00:00"/>
  </r>
  <r>
    <n v="100825"/>
    <x v="218"/>
    <s v="Caio Monteiro"/>
    <s v="CARTÃO DE DÉBITO"/>
    <x v="2"/>
    <x v="1"/>
    <s v="Não Informado"/>
    <n v="748"/>
    <s v="Sul"/>
    <x v="2"/>
    <n v="557.4"/>
    <d v="2025-01-21T00:00:00"/>
  </r>
  <r>
    <n v="100525"/>
    <x v="114"/>
    <s v="Heitor Barbosa"/>
    <s v="CARTÃO DE CRÉDITO"/>
    <x v="3"/>
    <x v="3"/>
    <n v="101"/>
    <n v="340"/>
    <s v="Sudeste"/>
    <x v="0"/>
    <n v="508.77"/>
    <d v="2025-01-21T00:00:00"/>
  </r>
  <r>
    <n v="100281"/>
    <x v="245"/>
    <s v="Vanessa Duarte"/>
    <s v="CARTÃO DE DÉBITO"/>
    <x v="1"/>
    <x v="0"/>
    <n v="24"/>
    <n v="571"/>
    <s v="Sul"/>
    <x v="0"/>
    <n v="305.51"/>
    <d v="2025-01-21T00:00:00"/>
  </r>
  <r>
    <n v="100820"/>
    <x v="17"/>
    <s v="Rafael Pereira"/>
    <s v="TED"/>
    <x v="1"/>
    <x v="1"/>
    <n v="0"/>
    <n v="554"/>
    <s v="Centro-Oeste"/>
    <x v="1"/>
    <n v="199.92"/>
    <d v="2025-01-21T00:00:00"/>
  </r>
  <r>
    <n v="101779"/>
    <x v="21"/>
    <s v="Yasmin Araujo"/>
    <s v="TED"/>
    <x v="3"/>
    <x v="0"/>
    <n v="16"/>
    <n v="709"/>
    <s v="Centro-Oeste"/>
    <x v="1"/>
    <n v="459.63"/>
    <d v="2025-01-20T00:00:00"/>
  </r>
  <r>
    <n v="101306"/>
    <x v="107"/>
    <s v="Carla Mendes"/>
    <s v="PIX"/>
    <x v="1"/>
    <x v="0"/>
    <n v="26"/>
    <n v="893"/>
    <s v="Nordeste"/>
    <x v="2"/>
    <n v="348.39"/>
    <d v="2025-01-20T00:00:00"/>
  </r>
  <r>
    <n v="101342"/>
    <x v="212"/>
    <s v="Yasmin Araujo"/>
    <s v="PIX"/>
    <x v="7"/>
    <x v="0"/>
    <n v="25"/>
    <n v="874"/>
    <s v="Norte"/>
    <x v="2"/>
    <n v="273.52"/>
    <d v="2025-01-20T00:00:00"/>
  </r>
  <r>
    <n v="101564"/>
    <x v="189"/>
    <s v="Sandra Vieira"/>
    <s v="PIX"/>
    <x v="2"/>
    <x v="2"/>
    <n v="0"/>
    <n v="362"/>
    <s v="Centro-Oeste"/>
    <x v="1"/>
    <n v="169.95"/>
    <d v="2025-01-20T00:00:00"/>
  </r>
  <r>
    <n v="101390"/>
    <x v="158"/>
    <s v="Heitor Barbosa"/>
    <s v="PIX"/>
    <x v="7"/>
    <x v="1"/>
    <n v="0"/>
    <n v="771"/>
    <s v="Norte"/>
    <x v="2"/>
    <n v="830.75"/>
    <d v="2025-01-19T00:00:00"/>
  </r>
  <r>
    <n v="101279"/>
    <x v="76"/>
    <s v="Sandra Vieira"/>
    <s v="PIX"/>
    <x v="2"/>
    <x v="1"/>
    <n v="0"/>
    <n v="371"/>
    <s v="Norte"/>
    <x v="2"/>
    <n v="209.44"/>
    <d v="2025-01-19T00:00:00"/>
  </r>
  <r>
    <n v="100721"/>
    <x v="191"/>
    <s v="Diego Alves"/>
    <s v="BOLETO"/>
    <x v="4"/>
    <x v="1"/>
    <n v="0"/>
    <n v="863"/>
    <s v="Sudeste"/>
    <x v="1"/>
    <n v="731.34"/>
    <d v="2025-01-18T00:00:00"/>
  </r>
  <r>
    <n v="101634"/>
    <x v="8"/>
    <s v="Sandra Vieira"/>
    <s v="BOLETO"/>
    <x v="3"/>
    <x v="1"/>
    <n v="0"/>
    <n v="339"/>
    <s v="Sul"/>
    <x v="2"/>
    <n v="645.5"/>
    <d v="2025-01-18T00:00:00"/>
  </r>
  <r>
    <n v="100458"/>
    <x v="38"/>
    <s v="William Santos"/>
    <s v="PIX"/>
    <x v="4"/>
    <x v="1"/>
    <n v="0"/>
    <n v="662"/>
    <s v="Nordeste"/>
    <x v="2"/>
    <n v="623.6"/>
    <d v="2025-01-18T00:00:00"/>
  </r>
  <r>
    <n v="100816"/>
    <x v="117"/>
    <s v="Nelson Teixeira"/>
    <s v="CARTÃO DE CRÉDITO"/>
    <x v="7"/>
    <x v="3"/>
    <n v="75"/>
    <n v="712"/>
    <s v="Sul"/>
    <x v="2"/>
    <n v="551.07000000000005"/>
    <d v="2025-01-18T00:00:00"/>
  </r>
  <r>
    <n v="100507"/>
    <x v="120"/>
    <s v="Vanessa Duarte"/>
    <s v="CARTÃO DE DÉBITO"/>
    <x v="3"/>
    <x v="2"/>
    <s v="Não Informado"/>
    <n v="542"/>
    <s v="Sul"/>
    <x v="1"/>
    <n v="533.14"/>
    <d v="2025-01-18T00:00:00"/>
  </r>
  <r>
    <n v="101437"/>
    <x v="24"/>
    <s v="Rafael Pereira"/>
    <s v="PIX"/>
    <x v="7"/>
    <x v="1"/>
    <n v="0"/>
    <n v="458"/>
    <s v="Norte"/>
    <x v="2"/>
    <n v="980.6"/>
    <d v="2025-01-17T00:00:00"/>
  </r>
  <r>
    <n v="101563"/>
    <x v="152"/>
    <s v="Isabela Nunes"/>
    <s v="PIX"/>
    <x v="7"/>
    <x v="1"/>
    <n v="0"/>
    <n v="673"/>
    <s v="Centro-Oeste"/>
    <x v="2"/>
    <n v="316.57"/>
    <d v="2025-01-17T00:00:00"/>
  </r>
  <r>
    <n v="102154"/>
    <x v="102"/>
    <s v="Ana Souza"/>
    <s v="PIX"/>
    <x v="3"/>
    <x v="1"/>
    <n v="0"/>
    <n v="430"/>
    <s v="Não Informado"/>
    <x v="2"/>
    <n v="297.69"/>
    <d v="2025-01-17T00:00:00"/>
  </r>
  <r>
    <n v="100122"/>
    <x v="230"/>
    <s v="Bruno Lima"/>
    <s v="PIX"/>
    <x v="7"/>
    <x v="2"/>
    <n v="0"/>
    <n v="716"/>
    <s v="Centro-Oeste"/>
    <x v="1"/>
    <m/>
    <d v="2025-01-17T00:00:00"/>
  </r>
  <r>
    <n v="100547"/>
    <x v="20"/>
    <s v="Elaine Ferreira"/>
    <s v="CARTÃO DE DÉBITO"/>
    <x v="5"/>
    <x v="1"/>
    <n v="0"/>
    <n v="591"/>
    <s v="Centro-Oeste"/>
    <x v="1"/>
    <n v="830.81"/>
    <d v="2025-01-16T00:00:00"/>
  </r>
  <r>
    <n v="100940"/>
    <x v="208"/>
    <s v="Heitor Barbosa"/>
    <s v="BOLETO"/>
    <x v="7"/>
    <x v="1"/>
    <n v="0"/>
    <n v="418"/>
    <s v="Sudeste"/>
    <x v="1"/>
    <n v="588.03"/>
    <d v="2025-01-16T00:00:00"/>
  </r>
  <r>
    <n v="101700"/>
    <x v="33"/>
    <s v="William Santos"/>
    <s v="CARTÃO DE CRÉDITO"/>
    <x v="2"/>
    <x v="1"/>
    <n v="0"/>
    <n v="360"/>
    <s v="Nordeste"/>
    <x v="2"/>
    <n v="313.55"/>
    <d v="2025-01-16T00:00:00"/>
  </r>
  <r>
    <n v="102147"/>
    <x v="92"/>
    <s v="Rafael Pereira"/>
    <s v="CARTÃO DE CRÉDITO"/>
    <x v="5"/>
    <x v="1"/>
    <n v="0"/>
    <n v="866"/>
    <s v="Norte"/>
    <x v="2"/>
    <n v="131.93"/>
    <d v="2025-01-16T00:00:00"/>
  </r>
  <r>
    <n v="102118"/>
    <x v="212"/>
    <s v="Yasmin Araujo"/>
    <s v="CARTÃO DE CRÉDITO"/>
    <x v="3"/>
    <x v="0"/>
    <n v="17"/>
    <n v="874"/>
    <s v="Centro-Oeste"/>
    <x v="1"/>
    <n v="306.48"/>
    <d v="2025-01-15T00:00:00"/>
  </r>
  <r>
    <n v="101290"/>
    <x v="78"/>
    <s v="Elaine Ferreira"/>
    <s v="PIX"/>
    <x v="4"/>
    <x v="2"/>
    <n v="0"/>
    <n v="409"/>
    <s v="Norte"/>
    <x v="1"/>
    <n v="292.93"/>
    <d v="2025-01-15T00:00:00"/>
  </r>
  <r>
    <n v="100620"/>
    <x v="102"/>
    <s v="Ana Souza"/>
    <s v="CARTÃO DE DÉBITO"/>
    <x v="4"/>
    <x v="0"/>
    <n v="5"/>
    <n v="430"/>
    <s v="Nordeste"/>
    <x v="1"/>
    <n v="241.33"/>
    <d v="2025-01-15T00:00:00"/>
  </r>
  <r>
    <n v="101650"/>
    <x v="125"/>
    <s v="Thiago Correia"/>
    <s v="TED"/>
    <x v="0"/>
    <x v="0"/>
    <n v="25"/>
    <n v="867"/>
    <s v="Sudeste"/>
    <x v="1"/>
    <n v="214.35"/>
    <d v="2025-01-15T00:00:00"/>
  </r>
  <r>
    <n v="101795"/>
    <x v="197"/>
    <s v="Mariana Cardoso"/>
    <s v="CARTÃO DE DÉBITO"/>
    <x v="1"/>
    <x v="1"/>
    <n v="0"/>
    <n v="897"/>
    <s v="Sudeste"/>
    <x v="3"/>
    <n v="112.23"/>
    <d v="2025-01-15T00:00:00"/>
  </r>
  <r>
    <n v="102131"/>
    <x v="216"/>
    <s v="William Santos"/>
    <s v="BOLETO"/>
    <x v="1"/>
    <x v="2"/>
    <n v="0"/>
    <n v="835"/>
    <s v="Norte"/>
    <x v="0"/>
    <n v="907.25"/>
    <d v="2025-01-14T00:00:00"/>
  </r>
  <r>
    <n v="100968"/>
    <x v="4"/>
    <s v="Bianca Freitas"/>
    <s v="CARTÃO DE CRÉDITO"/>
    <x v="5"/>
    <x v="1"/>
    <n v="0"/>
    <n v="623"/>
    <s v="Sudeste"/>
    <x v="0"/>
    <n v="552.41"/>
    <d v="2025-01-14T00:00:00"/>
  </r>
  <r>
    <n v="101379"/>
    <x v="127"/>
    <s v="Otavio Ramos"/>
    <s v="CARTÃO DE CRÉDITO"/>
    <x v="6"/>
    <x v="2"/>
    <n v="0"/>
    <n v="560"/>
    <s v="Norte"/>
    <x v="1"/>
    <n v="416.39"/>
    <d v="2025-01-14T00:00:00"/>
  </r>
  <r>
    <n v="100754"/>
    <x v="180"/>
    <s v="Vanessa Duarte"/>
    <s v="CARTÃO DE CRÉDITO"/>
    <x v="1"/>
    <x v="1"/>
    <n v="0"/>
    <n v="482"/>
    <s v="Nordeste"/>
    <x v="0"/>
    <n v="373.9"/>
    <d v="2025-01-14T00:00:00"/>
  </r>
  <r>
    <n v="101438"/>
    <x v="49"/>
    <s v="Patricia Gomes"/>
    <s v="PIX"/>
    <x v="0"/>
    <x v="1"/>
    <n v="0"/>
    <n v="691"/>
    <s v="Sul"/>
    <x v="1"/>
    <n v="323.10000000000002"/>
    <d v="2025-01-14T00:00:00"/>
  </r>
  <r>
    <n v="101169"/>
    <x v="145"/>
    <s v="Ana Souza"/>
    <s v="BOLETO"/>
    <x v="4"/>
    <x v="0"/>
    <n v="25"/>
    <n v="784"/>
    <s v="Centro-Oeste"/>
    <x v="0"/>
    <n v="529.33000000000004"/>
    <d v="2025-01-13T00:00:00"/>
  </r>
  <r>
    <n v="100486"/>
    <x v="235"/>
    <s v="Sandra Vieira"/>
    <s v="PIX"/>
    <x v="0"/>
    <x v="1"/>
    <n v="0"/>
    <n v="609"/>
    <s v="Sul"/>
    <x v="2"/>
    <n v="221.6"/>
    <d v="2025-01-13T00:00:00"/>
  </r>
  <r>
    <n v="101522"/>
    <x v="246"/>
    <s v="Otavio Ramos"/>
    <s v="CARTÃO DE CRÉDITO"/>
    <x v="0"/>
    <x v="1"/>
    <n v="0"/>
    <n v="351"/>
    <s v="Sul"/>
    <x v="2"/>
    <n v="162.75"/>
    <d v="2025-01-13T00:00:00"/>
  </r>
  <r>
    <n v="100987"/>
    <x v="238"/>
    <s v="Sandra Vieira"/>
    <s v="BOLETO"/>
    <x v="0"/>
    <x v="0"/>
    <n v="18"/>
    <n v="640"/>
    <s v="Sul"/>
    <x v="0"/>
    <n v="474.91"/>
    <d v="2025-01-12T00:00:00"/>
  </r>
  <r>
    <n v="102099"/>
    <x v="77"/>
    <s v="Carla Mendes"/>
    <s v="CARTÃO DE CRÉDITO"/>
    <x v="5"/>
    <x v="1"/>
    <n v="0"/>
    <n v="884"/>
    <s v="Norte"/>
    <x v="1"/>
    <n v="463.63"/>
    <d v="2025-01-12T00:00:00"/>
  </r>
  <r>
    <n v="100286"/>
    <x v="0"/>
    <s v="Heitor Barbosa"/>
    <s v="BOLETO"/>
    <x v="3"/>
    <x v="1"/>
    <n v="0"/>
    <n v="826"/>
    <s v="Norte"/>
    <x v="0"/>
    <n v="134.03"/>
    <d v="2025-01-12T00:00:00"/>
  </r>
  <r>
    <n v="102010"/>
    <x v="175"/>
    <s v="Debora Pinto"/>
    <s v="PIX"/>
    <x v="5"/>
    <x v="1"/>
    <n v="0"/>
    <n v="588"/>
    <s v="Sudeste"/>
    <x v="2"/>
    <n v="430.06"/>
    <d v="2025-01-11T00:00:00"/>
  </r>
  <r>
    <n v="100226"/>
    <x v="52"/>
    <s v="Otavio Ramos"/>
    <s v="TED"/>
    <x v="4"/>
    <x v="1"/>
    <n v="0"/>
    <n v="303"/>
    <s v="Sul"/>
    <x v="0"/>
    <n v="427.25"/>
    <d v="2025-01-11T00:00:00"/>
  </r>
  <r>
    <n v="100105"/>
    <x v="159"/>
    <s v="Bianca Freitas"/>
    <s v="PIX"/>
    <x v="3"/>
    <x v="1"/>
    <n v="0"/>
    <n v="375"/>
    <s v="Sul"/>
    <x v="1"/>
    <n v="317.39"/>
    <d v="2025-01-11T00:00:00"/>
  </r>
  <r>
    <n v="100402"/>
    <x v="210"/>
    <s v="Thiago Correia"/>
    <s v="TED"/>
    <x v="5"/>
    <x v="1"/>
    <n v="0"/>
    <n v="371"/>
    <s v="Norte"/>
    <x v="1"/>
    <n v="422.76"/>
    <d v="2025-01-10T00:00:00"/>
  </r>
  <r>
    <n v="100736"/>
    <x v="247"/>
    <s v="Não Informado"/>
    <s v="TED"/>
    <x v="7"/>
    <x v="1"/>
    <n v="0"/>
    <n v="452"/>
    <s v="Norte"/>
    <x v="0"/>
    <n v="421.49"/>
    <d v="2025-01-10T00:00:00"/>
  </r>
  <r>
    <n v="100912"/>
    <x v="204"/>
    <s v="Rafael Pereira"/>
    <s v="CARTÃO DE DÉBITO"/>
    <x v="3"/>
    <x v="2"/>
    <n v="0"/>
    <n v="340"/>
    <s v="Centro-Oeste"/>
    <x v="1"/>
    <n v="317.22000000000003"/>
    <d v="2025-01-10T00:00:00"/>
  </r>
  <r>
    <n v="100079"/>
    <x v="67"/>
    <s v="Fabio Costa"/>
    <s v="TED"/>
    <x v="6"/>
    <x v="0"/>
    <n v="13"/>
    <n v="515"/>
    <s v="Norte"/>
    <x v="1"/>
    <n v="80.73"/>
    <d v="2025-01-10T00:00:00"/>
  </r>
  <r>
    <n v="101142"/>
    <x v="69"/>
    <s v="Ana Souza"/>
    <s v="PIX"/>
    <x v="2"/>
    <x v="0"/>
    <n v="30"/>
    <n v="741"/>
    <s v="Sul"/>
    <x v="1"/>
    <n v="693.97"/>
    <d v="2025-01-09T00:00:00"/>
  </r>
  <r>
    <n v="100263"/>
    <x v="128"/>
    <s v="Lucas Martins"/>
    <s v="CARTÃO DE CRÉDITO"/>
    <x v="5"/>
    <x v="1"/>
    <n v="0"/>
    <n v="395"/>
    <s v="Centro-Oeste"/>
    <x v="2"/>
    <n v="320.82"/>
    <d v="2025-01-09T00:00:00"/>
  </r>
  <r>
    <n v="100040"/>
    <x v="242"/>
    <s v="William Santos"/>
    <s v="CARTÃO DE CRÉDITO"/>
    <x v="3"/>
    <x v="1"/>
    <n v="0"/>
    <n v="570"/>
    <s v="Centro-Oeste"/>
    <x v="1"/>
    <n v="292.38"/>
    <d v="2025-01-09T00:00:00"/>
  </r>
  <r>
    <n v="102026"/>
    <x v="59"/>
    <s v="Heitor Barbosa"/>
    <s v="CARTÃO DE CRÉDITO"/>
    <x v="7"/>
    <x v="2"/>
    <n v="0"/>
    <n v="372"/>
    <s v="Centro-Oeste"/>
    <x v="3"/>
    <n v="171.11"/>
    <d v="2025-01-09T00:00:00"/>
  </r>
  <r>
    <n v="101599"/>
    <x v="175"/>
    <s v="Debora Pinto"/>
    <s v="CARTÃO DE CRÉDITO"/>
    <x v="4"/>
    <x v="1"/>
    <n v="0"/>
    <n v="588"/>
    <s v="Centro-Oeste"/>
    <x v="1"/>
    <n v="197.08"/>
    <d v="2025-01-08T00:00:00"/>
  </r>
  <r>
    <n v="101541"/>
    <x v="232"/>
    <s v="Joao Pedro Dias"/>
    <s v="CARTÃO DE CRÉDITO"/>
    <x v="1"/>
    <x v="0"/>
    <n v="16"/>
    <n v="896"/>
    <s v="Sudeste"/>
    <x v="2"/>
    <n v="224.33"/>
    <d v="2025-01-07T00:00:00"/>
  </r>
  <r>
    <n v="101807"/>
    <x v="233"/>
    <s v="Otavio Ramos"/>
    <s v="PIX"/>
    <x v="5"/>
    <x v="2"/>
    <n v="0"/>
    <n v="370"/>
    <s v="Norte"/>
    <x v="1"/>
    <n v="189.52"/>
    <d v="2025-01-07T00:00:00"/>
  </r>
  <r>
    <n v="100283"/>
    <x v="242"/>
    <s v="William Santos"/>
    <s v="CARTÃO DE CRÉDITO"/>
    <x v="1"/>
    <x v="1"/>
    <n v="0"/>
    <n v="570"/>
    <s v="Nordeste"/>
    <x v="1"/>
    <n v="182.21"/>
    <d v="2025-01-07T00:00:00"/>
  </r>
  <r>
    <n v="101176"/>
    <x v="68"/>
    <s v="Carla Mendes"/>
    <s v="TED"/>
    <x v="1"/>
    <x v="1"/>
    <n v="0"/>
    <n v="400"/>
    <s v="Nordeste"/>
    <x v="0"/>
    <n v="507.24"/>
    <d v="2025-01-06T00:00:00"/>
  </r>
  <r>
    <n v="100043"/>
    <x v="231"/>
    <s v="Lucas Martins"/>
    <s v="CARTÃO DE DÉBITO"/>
    <x v="3"/>
    <x v="1"/>
    <n v="0"/>
    <n v="315"/>
    <s v="Nordeste"/>
    <x v="0"/>
    <n v="433.01"/>
    <d v="2025-01-06T00:00:00"/>
  </r>
  <r>
    <n v="101857"/>
    <x v="248"/>
    <s v="Isabela Nunes"/>
    <s v="CARTÃO DE CRÉDITO"/>
    <x v="4"/>
    <x v="2"/>
    <n v="0"/>
    <n v="841"/>
    <s v="Centro-Oeste"/>
    <x v="1"/>
    <n v="223.77"/>
    <d v="2025-01-06T00:00:00"/>
  </r>
  <r>
    <n v="100046"/>
    <x v="79"/>
    <s v="Yasmin Araujo"/>
    <s v="PIX"/>
    <x v="1"/>
    <x v="1"/>
    <s v="Não Informado"/>
    <n v="752"/>
    <s v="Centro-Oeste"/>
    <x v="1"/>
    <n v="886.36"/>
    <d v="2025-01-05T00:00:00"/>
  </r>
  <r>
    <n v="100446"/>
    <x v="108"/>
    <s v="Otavio Ramos"/>
    <s v="PIX"/>
    <x v="0"/>
    <x v="1"/>
    <n v="0"/>
    <n v="792"/>
    <s v="Nordeste"/>
    <x v="2"/>
    <n v="318.02999999999997"/>
    <d v="2025-01-05T00:00:00"/>
  </r>
  <r>
    <n v="102090"/>
    <x v="195"/>
    <s v="Joao Pedro Dias"/>
    <s v="CARTÃO DE DÉBITO"/>
    <x v="0"/>
    <x v="0"/>
    <n v="7"/>
    <n v="873"/>
    <s v="Sudeste"/>
    <x v="3"/>
    <n v="217.54"/>
    <d v="2025-01-05T00:00:00"/>
  </r>
  <r>
    <n v="100057"/>
    <x v="101"/>
    <s v="Thiago Correia"/>
    <s v="CARTÃO DE CRÉDITO"/>
    <x v="3"/>
    <x v="3"/>
    <n v="142"/>
    <n v="533"/>
    <s v="Sudeste"/>
    <x v="1"/>
    <n v="191.23"/>
    <d v="2025-01-05T00:00:00"/>
  </r>
  <r>
    <n v="101789"/>
    <x v="115"/>
    <s v="Karina Silva"/>
    <s v="BOLETO"/>
    <x v="7"/>
    <x v="2"/>
    <n v="0"/>
    <n v="487"/>
    <s v="Nordeste"/>
    <x v="0"/>
    <n v="746.53"/>
    <d v="2025-01-04T00:00:00"/>
  </r>
  <r>
    <n v="100193"/>
    <x v="241"/>
    <s v="Não Informado"/>
    <s v="BOLETO"/>
    <x v="5"/>
    <x v="1"/>
    <n v="0"/>
    <n v="339"/>
    <s v="Nordeste"/>
    <x v="0"/>
    <n v="570.72"/>
    <d v="2025-01-04T00:00:00"/>
  </r>
  <r>
    <n v="100715"/>
    <x v="228"/>
    <s v="Não Informado"/>
    <s v="CARTÃO DE CRÉDITO"/>
    <x v="7"/>
    <x v="1"/>
    <n v="0"/>
    <n v="746"/>
    <s v="Sudeste"/>
    <x v="0"/>
    <n v="355.04"/>
    <d v="2025-01-04T00:00:00"/>
  </r>
  <r>
    <n v="100566"/>
    <x v="87"/>
    <s v="Não Informado"/>
    <s v="CARTÃO DE CRÉDITO"/>
    <x v="6"/>
    <x v="1"/>
    <n v="0"/>
    <n v="672"/>
    <s v="Norte"/>
    <x v="0"/>
    <n v="335.11"/>
    <d v="2025-01-04T00:00:00"/>
  </r>
  <r>
    <n v="101502"/>
    <x v="196"/>
    <s v="Lucas Martins"/>
    <s v="BOLETO"/>
    <x v="5"/>
    <x v="1"/>
    <n v="0"/>
    <n v="722"/>
    <s v="Centro-Oeste"/>
    <x v="1"/>
    <n v="513.38"/>
    <d v="2025-01-03T00:00:00"/>
  </r>
  <r>
    <n v="100210"/>
    <x v="227"/>
    <s v="Heitor Barbosa"/>
    <s v="BOLETO"/>
    <x v="1"/>
    <x v="1"/>
    <n v="0"/>
    <n v="461"/>
    <s v="Centro-Oeste"/>
    <x v="1"/>
    <n v="331.47"/>
    <d v="2025-01-03T00:00:00"/>
  </r>
  <r>
    <n v="100677"/>
    <x v="4"/>
    <s v="Bianca Freitas"/>
    <s v="CARTÃO DE CRÉDITO"/>
    <x v="1"/>
    <x v="1"/>
    <n v="0"/>
    <n v="623"/>
    <s v="Centro-Oeste"/>
    <x v="0"/>
    <n v="147.66999999999999"/>
    <d v="2025-01-03T00:00:00"/>
  </r>
  <r>
    <n v="102022"/>
    <x v="234"/>
    <s v="Ana Souza"/>
    <s v="TED"/>
    <x v="4"/>
    <x v="1"/>
    <n v="0"/>
    <n v="494"/>
    <s v="Sudeste"/>
    <x v="1"/>
    <n v="129.75"/>
    <d v="2025-01-03T00:00:00"/>
  </r>
  <r>
    <n v="100175"/>
    <x v="83"/>
    <s v="Bianca Freitas"/>
    <s v="BOLETO"/>
    <x v="0"/>
    <x v="1"/>
    <n v="0"/>
    <n v="400"/>
    <s v="Nordeste"/>
    <x v="1"/>
    <n v="591.24"/>
    <d v="2025-01-02T00:00:00"/>
  </r>
  <r>
    <n v="101007"/>
    <x v="206"/>
    <s v="Carla Mendes"/>
    <s v="BOLETO"/>
    <x v="5"/>
    <x v="1"/>
    <n v="0"/>
    <n v="468"/>
    <s v="Não Informado"/>
    <x v="0"/>
    <n v="265.55"/>
    <d v="2025-01-02T00:00:00"/>
  </r>
  <r>
    <n v="100117"/>
    <x v="126"/>
    <s v="Rafael Pereira"/>
    <s v="BOLETO"/>
    <x v="5"/>
    <x v="1"/>
    <n v="0"/>
    <n v="345"/>
    <s v="Nordeste"/>
    <x v="0"/>
    <n v="167.81"/>
    <d v="2025-01-02T00:00:00"/>
  </r>
  <r>
    <n v="100368"/>
    <x v="231"/>
    <s v="Lucas Martins"/>
    <s v="CARTÃO DE CRÉDITO"/>
    <x v="7"/>
    <x v="2"/>
    <n v="0"/>
    <n v="315"/>
    <s v="Sul"/>
    <x v="1"/>
    <n v="143.5"/>
    <d v="2025-01-02T00:00:00"/>
  </r>
  <r>
    <n v="101252"/>
    <x v="229"/>
    <s v="Ana Souza"/>
    <s v="CARTÃO DE CRÉDITO"/>
    <x v="0"/>
    <x v="1"/>
    <n v="0"/>
    <n v="662"/>
    <s v="Nordeste"/>
    <x v="1"/>
    <n v="1094.1099999999999"/>
    <d v="2025-01-01T00:00:00"/>
  </r>
  <r>
    <n v="100471"/>
    <x v="64"/>
    <s v="Nelson Teixeira"/>
    <s v="TED"/>
    <x v="0"/>
    <x v="1"/>
    <n v="0"/>
    <n v="732"/>
    <s v="Sul"/>
    <x v="1"/>
    <n v="815.43"/>
    <d v="2025-01-01T00:00:00"/>
  </r>
  <r>
    <n v="101089"/>
    <x v="177"/>
    <s v="Otavio Ramos"/>
    <s v="PIX"/>
    <x v="4"/>
    <x v="3"/>
    <n v="83"/>
    <n v="411"/>
    <s v="Centro-Oeste"/>
    <x v="1"/>
    <n v="437.53"/>
    <d v="2025-01-01T00:00:00"/>
  </r>
  <r>
    <n v="100852"/>
    <x v="124"/>
    <s v="Sandra Vieira"/>
    <s v="TED"/>
    <x v="2"/>
    <x v="2"/>
    <n v="0"/>
    <n v="568"/>
    <s v="Nordeste"/>
    <x v="2"/>
    <n v="335.17"/>
    <d v="2025-01-01T00:00:00"/>
  </r>
  <r>
    <n v="100481"/>
    <x v="57"/>
    <s v="Fabio Costa"/>
    <s v="BOLETO"/>
    <x v="7"/>
    <x v="1"/>
    <n v="0"/>
    <n v="328"/>
    <s v="Norte"/>
    <x v="1"/>
    <n v="286.07"/>
    <d v="2025-01-01T00:00:00"/>
  </r>
  <r>
    <n v="100148"/>
    <x v="65"/>
    <s v="Gabriela Rocha"/>
    <s v="CARTÃO DE DÉBITO"/>
    <x v="5"/>
    <x v="0"/>
    <n v="26"/>
    <n v="571"/>
    <s v="Norte"/>
    <x v="2"/>
    <n v="232.21"/>
    <d v="2025-01-01T00:00:00"/>
  </r>
  <r>
    <n v="100893"/>
    <x v="156"/>
    <s v="William Santos"/>
    <s v="PIX"/>
    <x v="3"/>
    <x v="2"/>
    <n v="0"/>
    <n v="890"/>
    <s v="Centro-Oeste"/>
    <x v="1"/>
    <n v="173.53"/>
    <d v="2025-01-01T00:00:00"/>
  </r>
  <r>
    <n v="101846"/>
    <x v="31"/>
    <s v="Caio Monteiro"/>
    <s v="PIX"/>
    <x v="1"/>
    <x v="1"/>
    <n v="0"/>
    <n v="497"/>
    <s v="Norte"/>
    <x v="2"/>
    <n v="585.92999999999995"/>
    <d v="2024-12-31T00:00:00"/>
  </r>
  <r>
    <n v="101140"/>
    <x v="202"/>
    <s v="Rafael Pereira"/>
    <s v="CARTÃO DE CRÉDITO"/>
    <x v="2"/>
    <x v="3"/>
    <n v="33"/>
    <n v="641"/>
    <s v="Sul"/>
    <x v="2"/>
    <n v="245.06"/>
    <d v="2024-12-31T00:00:00"/>
  </r>
  <r>
    <n v="100866"/>
    <x v="47"/>
    <s v="Gabriela Rocha"/>
    <s v="CARTÃO DE DÉBITO"/>
    <x v="4"/>
    <x v="1"/>
    <n v="0"/>
    <n v="733"/>
    <s v="Sudeste"/>
    <x v="2"/>
    <n v="233.93"/>
    <d v="2024-12-31T00:00:00"/>
  </r>
  <r>
    <n v="102092"/>
    <x v="206"/>
    <s v="Carla Mendes"/>
    <s v="CARTÃO DE CRÉDITO"/>
    <x v="0"/>
    <x v="0"/>
    <n v="3"/>
    <n v="468"/>
    <s v="Norte"/>
    <x v="0"/>
    <n v="181.66"/>
    <d v="2024-12-31T00:00:00"/>
  </r>
  <r>
    <n v="101498"/>
    <x v="13"/>
    <s v="Yasmin Araujo"/>
    <s v="CARTÃO DE CRÉDITO"/>
    <x v="0"/>
    <x v="2"/>
    <n v="0"/>
    <n v="800"/>
    <s v="Sudeste"/>
    <x v="2"/>
    <n v="142.86000000000001"/>
    <d v="2024-12-31T00:00:00"/>
  </r>
  <r>
    <n v="101751"/>
    <x v="12"/>
    <s v="Patricia Gomes"/>
    <s v="CARTÃO DE CRÉDITO"/>
    <x v="2"/>
    <x v="1"/>
    <n v="0"/>
    <n v="708"/>
    <s v="Sudeste"/>
    <x v="2"/>
    <n v="363.63"/>
    <d v="2024-12-30T00:00:00"/>
  </r>
  <r>
    <n v="100260"/>
    <x v="172"/>
    <s v="Caio Monteiro"/>
    <s v="CARTÃO DE DÉBITO"/>
    <x v="7"/>
    <x v="0"/>
    <n v="25"/>
    <n v="892"/>
    <s v="Sudeste"/>
    <x v="1"/>
    <n v="314.56"/>
    <d v="2024-12-30T00:00:00"/>
  </r>
  <r>
    <n v="101980"/>
    <x v="209"/>
    <s v="Heitor Barbosa"/>
    <s v="TED"/>
    <x v="2"/>
    <x v="2"/>
    <n v="0"/>
    <n v="851"/>
    <s v="Nordeste"/>
    <x v="2"/>
    <n v="772.95"/>
    <d v="2024-12-29T00:00:00"/>
  </r>
  <r>
    <n v="101330"/>
    <x v="228"/>
    <s v="Bianca Freitas"/>
    <s v="TED"/>
    <x v="4"/>
    <x v="0"/>
    <n v="24"/>
    <n v="746"/>
    <s v="Norte"/>
    <x v="0"/>
    <n v="404.16"/>
    <d v="2024-12-29T00:00:00"/>
  </r>
  <r>
    <n v="101184"/>
    <x v="112"/>
    <s v="Sandra Vieira"/>
    <s v="PIX"/>
    <x v="0"/>
    <x v="1"/>
    <n v="0"/>
    <n v="638"/>
    <s v="Norte"/>
    <x v="1"/>
    <n v="489.31"/>
    <d v="2024-12-28T00:00:00"/>
  </r>
  <r>
    <n v="101800"/>
    <x v="11"/>
    <s v="Yasmin Araujo"/>
    <s v="TED"/>
    <x v="4"/>
    <x v="2"/>
    <n v="0"/>
    <n v="694"/>
    <s v="Sul"/>
    <x v="2"/>
    <n v="456.63"/>
    <d v="2024-12-28T00:00:00"/>
  </r>
  <r>
    <n v="100321"/>
    <x v="81"/>
    <s v="Bruno Lima"/>
    <s v="PIX"/>
    <x v="5"/>
    <x v="2"/>
    <n v="0"/>
    <n v="658"/>
    <s v="Sul"/>
    <x v="0"/>
    <n v="208.28"/>
    <d v="2024-12-28T00:00:00"/>
  </r>
  <r>
    <n v="101244"/>
    <x v="139"/>
    <s v="Diego Alves"/>
    <s v="CARTÃO DE CRÉDITO"/>
    <x v="1"/>
    <x v="3"/>
    <n v="66"/>
    <n v="362"/>
    <s v="Nordeste"/>
    <x v="2"/>
    <n v="54.27"/>
    <d v="2024-12-28T00:00:00"/>
  </r>
  <r>
    <n v="100259"/>
    <x v="225"/>
    <s v="Isabela Nunes"/>
    <s v="CARTÃO DE CRÉDITO"/>
    <x v="1"/>
    <x v="1"/>
    <n v="0"/>
    <n v="638"/>
    <s v="Norte"/>
    <x v="0"/>
    <n v="40.9"/>
    <d v="2024-12-28T00:00:00"/>
  </r>
  <r>
    <n v="101573"/>
    <x v="203"/>
    <s v="Karina Silva"/>
    <s v="BOLETO"/>
    <x v="7"/>
    <x v="1"/>
    <n v="0"/>
    <n v="336"/>
    <s v="Centro-Oeste"/>
    <x v="2"/>
    <n v="953.47"/>
    <d v="2024-12-27T00:00:00"/>
  </r>
  <r>
    <n v="100078"/>
    <x v="29"/>
    <s v="Carla Mendes"/>
    <s v="CARTÃO DE DÉBITO"/>
    <x v="2"/>
    <x v="1"/>
    <n v="0"/>
    <n v="394"/>
    <s v="Nordeste"/>
    <x v="1"/>
    <n v="215.09"/>
    <d v="2024-12-27T00:00:00"/>
  </r>
  <r>
    <n v="102091"/>
    <x v="49"/>
    <s v="Patricia Gomes"/>
    <s v="CARTÃO DE DÉBITO"/>
    <x v="7"/>
    <x v="3"/>
    <n v="31"/>
    <n v="691"/>
    <s v="Sul"/>
    <x v="1"/>
    <n v="178.04"/>
    <d v="2024-12-27T00:00:00"/>
  </r>
  <r>
    <n v="100922"/>
    <x v="34"/>
    <s v="Debora Pinto"/>
    <s v="PIX"/>
    <x v="1"/>
    <x v="2"/>
    <n v="0"/>
    <n v="585"/>
    <s v="Sul"/>
    <x v="0"/>
    <n v="658.28"/>
    <d v="2024-12-26T00:00:00"/>
  </r>
  <r>
    <n v="100416"/>
    <x v="87"/>
    <s v="Não Informado"/>
    <s v="CARTÃO DE CRÉDITO"/>
    <x v="0"/>
    <x v="2"/>
    <s v="Não Informado"/>
    <n v="672"/>
    <s v="Norte"/>
    <x v="0"/>
    <n v="379.8"/>
    <d v="2024-12-26T00:00:00"/>
  </r>
  <r>
    <n v="100744"/>
    <x v="38"/>
    <s v="William Santos"/>
    <s v="CARTÃO DE CRÉDITO"/>
    <x v="0"/>
    <x v="1"/>
    <n v="0"/>
    <n v="662"/>
    <s v="Centro-Oeste"/>
    <x v="1"/>
    <n v="105.62"/>
    <d v="2024-12-26T00:00:00"/>
  </r>
  <r>
    <n v="101546"/>
    <x v="128"/>
    <s v="Lucas Martins"/>
    <s v="CARTÃO DE DÉBITO"/>
    <x v="5"/>
    <x v="1"/>
    <n v="0"/>
    <n v="395"/>
    <s v="Sul"/>
    <x v="1"/>
    <n v="80.92"/>
    <d v="2024-12-25T00:00:00"/>
  </r>
  <r>
    <n v="100794"/>
    <x v="144"/>
    <s v="Debora Pinto"/>
    <s v="CARTÃO DE DÉBITO"/>
    <x v="0"/>
    <x v="1"/>
    <n v="0"/>
    <n v="522"/>
    <s v="Sul"/>
    <x v="0"/>
    <n v="720.08"/>
    <d v="2024-12-24T00:00:00"/>
  </r>
  <r>
    <n v="100326"/>
    <x v="157"/>
    <s v="Patricia Gomes"/>
    <s v="PIX"/>
    <x v="7"/>
    <x v="1"/>
    <n v="0"/>
    <n v="849"/>
    <s v="Nordeste"/>
    <x v="1"/>
    <n v="442.64"/>
    <d v="2024-12-24T00:00:00"/>
  </r>
  <r>
    <n v="101442"/>
    <x v="119"/>
    <s v="Mariana Cardoso"/>
    <s v="TED"/>
    <x v="4"/>
    <x v="2"/>
    <n v="0"/>
    <n v="374"/>
    <s v="Nordeste"/>
    <x v="0"/>
    <n v="175.15"/>
    <d v="2024-12-24T00:00:00"/>
  </r>
  <r>
    <n v="102062"/>
    <x v="48"/>
    <s v="Mariana Cardoso"/>
    <s v="TED"/>
    <x v="0"/>
    <x v="1"/>
    <n v="0"/>
    <n v="733"/>
    <s v="Norte"/>
    <x v="0"/>
    <n v="60.33"/>
    <d v="2024-12-24T00:00:00"/>
  </r>
  <r>
    <n v="100069"/>
    <x v="62"/>
    <s v="Lucas Martins"/>
    <s v="CARTÃO DE CRÉDITO"/>
    <x v="5"/>
    <x v="0"/>
    <n v="14"/>
    <n v="788"/>
    <s v="Sudeste"/>
    <x v="2"/>
    <n v="351.03"/>
    <d v="2024-12-23T00:00:00"/>
  </r>
  <r>
    <n v="101022"/>
    <x v="107"/>
    <s v="Carla Mendes"/>
    <s v="PIX"/>
    <x v="0"/>
    <x v="1"/>
    <n v="0"/>
    <n v="893"/>
    <s v="Sul"/>
    <x v="1"/>
    <n v="36.01"/>
    <d v="2024-12-23T00:00:00"/>
  </r>
  <r>
    <n v="102198"/>
    <x v="95"/>
    <s v="Joao Pedro Dias"/>
    <s v="PIX"/>
    <x v="7"/>
    <x v="2"/>
    <n v="0"/>
    <n v="823"/>
    <s v="Sul"/>
    <x v="0"/>
    <n v="763.84"/>
    <d v="2024-12-22T00:00:00"/>
  </r>
  <r>
    <n v="100256"/>
    <x v="167"/>
    <s v="Ana Souza"/>
    <s v="CARTÃO DE DÉBITO"/>
    <x v="7"/>
    <x v="2"/>
    <n v="0"/>
    <n v="573"/>
    <s v="Nordeste"/>
    <x v="1"/>
    <n v="98.05"/>
    <d v="2024-12-22T00:00:00"/>
  </r>
  <r>
    <n v="100880"/>
    <x v="195"/>
    <s v="Joao Pedro Dias"/>
    <s v="TED"/>
    <x v="1"/>
    <x v="2"/>
    <n v="0"/>
    <n v="873"/>
    <s v="Sul"/>
    <x v="2"/>
    <n v="853.01"/>
    <d v="2024-12-21T00:00:00"/>
  </r>
  <r>
    <n v="101679"/>
    <x v="236"/>
    <s v="Yasmin Araujo"/>
    <s v="CARTÃO DE DÉBITO"/>
    <x v="7"/>
    <x v="1"/>
    <n v="0"/>
    <n v="370"/>
    <s v="Norte"/>
    <x v="0"/>
    <n v="726.05"/>
    <d v="2024-12-21T00:00:00"/>
  </r>
  <r>
    <n v="100501"/>
    <x v="212"/>
    <s v="Yasmin Araujo"/>
    <s v="TED"/>
    <x v="3"/>
    <x v="2"/>
    <n v="0"/>
    <n v="874"/>
    <s v="Centro-Oeste"/>
    <x v="1"/>
    <n v="327.92"/>
    <d v="2024-12-21T00:00:00"/>
  </r>
  <r>
    <n v="100634"/>
    <x v="226"/>
    <s v="Diego Alves"/>
    <s v="CARTÃO DE CRÉDITO"/>
    <x v="4"/>
    <x v="2"/>
    <n v="0"/>
    <n v="781"/>
    <s v="Norte"/>
    <x v="0"/>
    <n v="302.83"/>
    <d v="2024-12-21T00:00:00"/>
  </r>
  <r>
    <n v="101808"/>
    <x v="201"/>
    <s v="Gabriela Rocha"/>
    <s v="TED"/>
    <x v="5"/>
    <x v="1"/>
    <n v="0"/>
    <n v="876"/>
    <s v="Norte"/>
    <x v="2"/>
    <n v="280.77999999999997"/>
    <d v="2024-12-21T00:00:00"/>
  </r>
  <r>
    <n v="101643"/>
    <x v="187"/>
    <s v="Diego Alves"/>
    <s v="PIX"/>
    <x v="1"/>
    <x v="2"/>
    <n v="0"/>
    <n v="301"/>
    <s v="Nordeste"/>
    <x v="1"/>
    <n v="76.245000000000005"/>
    <d v="2024-12-20T00:00:00"/>
  </r>
  <r>
    <n v="101813"/>
    <x v="184"/>
    <s v="Thiago Correia"/>
    <s v="TED"/>
    <x v="3"/>
    <x v="1"/>
    <n v="0"/>
    <n v="402"/>
    <s v="Nordeste"/>
    <x v="1"/>
    <n v="521.38"/>
    <d v="2024-12-19T00:00:00"/>
  </r>
  <r>
    <n v="100850"/>
    <x v="179"/>
    <s v="Isabela Nunes"/>
    <s v="BOLETO"/>
    <x v="2"/>
    <x v="1"/>
    <n v="0"/>
    <n v="309"/>
    <s v="Norte"/>
    <x v="1"/>
    <n v="503.8"/>
    <d v="2024-12-19T00:00:00"/>
  </r>
  <r>
    <n v="100054"/>
    <x v="121"/>
    <s v="Isabela Nunes"/>
    <s v="CARTÃO DE CRÉDITO"/>
    <x v="2"/>
    <x v="1"/>
    <n v="0"/>
    <n v="585"/>
    <s v="Sudeste"/>
    <x v="0"/>
    <n v="423.51"/>
    <d v="2024-12-19T00:00:00"/>
  </r>
  <r>
    <n v="100088"/>
    <x v="117"/>
    <s v="Nelson Teixeira"/>
    <s v="BOLETO"/>
    <x v="3"/>
    <x v="1"/>
    <n v="0"/>
    <n v="712"/>
    <s v="Sul"/>
    <x v="3"/>
    <n v="383.48"/>
    <d v="2024-12-19T00:00:00"/>
  </r>
  <r>
    <n v="100554"/>
    <x v="150"/>
    <s v="William Santos"/>
    <s v="CARTÃO DE DÉBITO"/>
    <x v="5"/>
    <x v="3"/>
    <n v="166"/>
    <n v="699"/>
    <s v="Norte"/>
    <x v="1"/>
    <n v="195.6"/>
    <d v="2024-12-19T00:00:00"/>
  </r>
  <r>
    <n v="100194"/>
    <x v="150"/>
    <s v="William Santos"/>
    <s v="PIX"/>
    <x v="1"/>
    <x v="2"/>
    <n v="0"/>
    <n v="699"/>
    <s v="Nordeste"/>
    <x v="1"/>
    <n v="333"/>
    <d v="2024-12-18T00:00:00"/>
  </r>
  <r>
    <n v="100235"/>
    <x v="27"/>
    <s v="William Santos"/>
    <s v="PIX"/>
    <x v="4"/>
    <x v="1"/>
    <n v="0"/>
    <n v="716"/>
    <s v="Centro-Oeste"/>
    <x v="1"/>
    <n v="308.61"/>
    <d v="2024-12-18T00:00:00"/>
  </r>
  <r>
    <n v="101553"/>
    <x v="57"/>
    <s v="Fabio Costa"/>
    <s v="CARTÃO DE CRÉDITO"/>
    <x v="0"/>
    <x v="1"/>
    <s v="Não Informado"/>
    <n v="328"/>
    <s v="Nordeste"/>
    <x v="0"/>
    <n v="179.98"/>
    <d v="2024-12-18T00:00:00"/>
  </r>
  <r>
    <n v="101745"/>
    <x v="171"/>
    <s v="Debora Pinto"/>
    <s v="TED"/>
    <x v="7"/>
    <x v="0"/>
    <n v="24"/>
    <n v="571"/>
    <s v="Norte"/>
    <x v="0"/>
    <m/>
    <d v="2024-12-18T00:00:00"/>
  </r>
  <r>
    <n v="100640"/>
    <x v="166"/>
    <s v="Bianca Freitas"/>
    <s v="CARTÃO DE CRÉDITO"/>
    <x v="1"/>
    <x v="2"/>
    <n v="0"/>
    <n v="490"/>
    <s v="Centro-Oeste"/>
    <x v="2"/>
    <n v="473.24"/>
    <d v="2024-12-17T00:00:00"/>
  </r>
  <r>
    <n v="101889"/>
    <x v="9"/>
    <s v="Isabela Nunes"/>
    <s v="CARTÃO DE CRÉDITO"/>
    <x v="4"/>
    <x v="1"/>
    <n v="0"/>
    <n v="678"/>
    <s v="Sul"/>
    <x v="0"/>
    <n v="455.03"/>
    <d v="2024-12-17T00:00:00"/>
  </r>
  <r>
    <n v="101860"/>
    <x v="84"/>
    <s v="Mariana Cardoso"/>
    <s v="PIX"/>
    <x v="7"/>
    <x v="0"/>
    <n v="26"/>
    <n v="437"/>
    <s v="Norte"/>
    <x v="1"/>
    <n v="296.89"/>
    <d v="2024-12-17T00:00:00"/>
  </r>
  <r>
    <n v="100149"/>
    <x v="213"/>
    <s v="Debora Pinto"/>
    <s v="BOLETO"/>
    <x v="1"/>
    <x v="0"/>
    <n v="2"/>
    <n v="585"/>
    <s v="Sudeste"/>
    <x v="2"/>
    <n v="199.58"/>
    <d v="2024-12-17T00:00:00"/>
  </r>
  <r>
    <n v="102071"/>
    <x v="81"/>
    <s v="Bruno Lima"/>
    <s v="PIX"/>
    <x v="5"/>
    <x v="1"/>
    <n v="0"/>
    <n v="658"/>
    <s v="Sul"/>
    <x v="0"/>
    <n v="189.11"/>
    <d v="2024-12-17T00:00:00"/>
  </r>
  <r>
    <n v="100567"/>
    <x v="196"/>
    <s v="Lucas Martins"/>
    <s v="PIX"/>
    <x v="7"/>
    <x v="1"/>
    <n v="0"/>
    <n v="722"/>
    <s v="Centro-Oeste"/>
    <x v="1"/>
    <n v="124.05"/>
    <d v="2024-12-17T00:00:00"/>
  </r>
  <r>
    <n v="101950"/>
    <x v="76"/>
    <s v="Sandra Vieira"/>
    <s v="TED"/>
    <x v="3"/>
    <x v="3"/>
    <n v="125"/>
    <n v="371"/>
    <s v="Sudeste"/>
    <x v="0"/>
    <n v="20.190000000000001"/>
    <d v="2024-12-17T00:00:00"/>
  </r>
  <r>
    <n v="101378"/>
    <x v="101"/>
    <s v="Thiago Correia"/>
    <s v="CARTÃO DE DÉBITO"/>
    <x v="0"/>
    <x v="1"/>
    <n v="0"/>
    <n v="533"/>
    <s v="Norte"/>
    <x v="0"/>
    <n v="658.53499999999997"/>
    <d v="2024-12-16T00:00:00"/>
  </r>
  <r>
    <n v="100900"/>
    <x v="48"/>
    <s v="Mariana Cardoso"/>
    <s v="CARTÃO DE DÉBITO"/>
    <x v="3"/>
    <x v="0"/>
    <n v="9"/>
    <n v="733"/>
    <s v="Nordeste"/>
    <x v="0"/>
    <n v="610.92999999999995"/>
    <d v="2024-12-16T00:00:00"/>
  </r>
  <r>
    <n v="101367"/>
    <x v="116"/>
    <s v="William Santos"/>
    <s v="PIX"/>
    <x v="3"/>
    <x v="2"/>
    <n v="0"/>
    <n v="898"/>
    <s v="Norte"/>
    <x v="1"/>
    <n v="319.75"/>
    <d v="2024-12-16T00:00:00"/>
  </r>
  <r>
    <n v="101000"/>
    <x v="248"/>
    <s v="Isabela Nunes"/>
    <s v="CARTÃO DE CRÉDITO"/>
    <x v="6"/>
    <x v="1"/>
    <n v="0"/>
    <n v="841"/>
    <s v="Sul"/>
    <x v="2"/>
    <n v="104.7"/>
    <d v="2024-12-16T00:00:00"/>
  </r>
  <r>
    <n v="101267"/>
    <x v="147"/>
    <s v="Não Informado"/>
    <s v="CARTÃO DE CRÉDITO"/>
    <x v="7"/>
    <x v="1"/>
    <n v="0"/>
    <n v="554"/>
    <s v="Norte"/>
    <x v="1"/>
    <n v="428.96"/>
    <d v="2024-12-15T00:00:00"/>
  </r>
  <r>
    <n v="100065"/>
    <x v="176"/>
    <s v="Não Informado"/>
    <s v="TED"/>
    <x v="2"/>
    <x v="1"/>
    <n v="0"/>
    <n v="765"/>
    <s v="Sul"/>
    <x v="1"/>
    <n v="403.4"/>
    <d v="2024-12-15T00:00:00"/>
  </r>
  <r>
    <n v="100857"/>
    <x v="0"/>
    <s v="Heitor Barbosa"/>
    <s v="CARTÃO DE CRÉDITO"/>
    <x v="1"/>
    <x v="1"/>
    <n v="0"/>
    <n v="826"/>
    <s v="Sul"/>
    <x v="0"/>
    <n v="316.07"/>
    <d v="2024-12-15T00:00:00"/>
  </r>
  <r>
    <n v="100903"/>
    <x v="247"/>
    <s v="Debora Pinto"/>
    <s v="BOLETO"/>
    <x v="0"/>
    <x v="1"/>
    <n v="0"/>
    <n v="452"/>
    <s v="Nordeste"/>
    <x v="1"/>
    <n v="293"/>
    <d v="2024-12-15T00:00:00"/>
  </r>
  <r>
    <n v="100686"/>
    <x v="65"/>
    <s v="Gabriela Rocha"/>
    <s v="CARTÃO DE DÉBITO"/>
    <x v="3"/>
    <x v="1"/>
    <n v="0"/>
    <n v="571"/>
    <s v="Norte"/>
    <x v="2"/>
    <n v="191.24"/>
    <d v="2024-12-15T00:00:00"/>
  </r>
  <r>
    <n v="101782"/>
    <x v="220"/>
    <s v="Vanessa Duarte"/>
    <s v="TED"/>
    <x v="2"/>
    <x v="2"/>
    <n v="0"/>
    <n v="542"/>
    <s v="Norte"/>
    <x v="2"/>
    <n v="71.069999999999993"/>
    <d v="2024-12-15T00:00:00"/>
  </r>
  <r>
    <n v="100989"/>
    <x v="53"/>
    <s v="Thiago Correia"/>
    <s v="TED"/>
    <x v="0"/>
    <x v="1"/>
    <n v="0"/>
    <n v="427"/>
    <s v="Nordeste"/>
    <x v="1"/>
    <n v="531.79999999999995"/>
    <d v="2024-12-14T00:00:00"/>
  </r>
  <r>
    <n v="101809"/>
    <x v="8"/>
    <s v="Sandra Vieira"/>
    <s v="BOLETO"/>
    <x v="0"/>
    <x v="1"/>
    <n v="0"/>
    <n v="339"/>
    <s v="Sul"/>
    <x v="1"/>
    <n v="347.44"/>
    <d v="2024-12-14T00:00:00"/>
  </r>
  <r>
    <n v="100891"/>
    <x v="64"/>
    <s v="Nelson Teixeira"/>
    <s v="BOLETO"/>
    <x v="3"/>
    <x v="1"/>
    <n v="0"/>
    <n v="732"/>
    <s v="Sul"/>
    <x v="2"/>
    <n v="327.31"/>
    <d v="2024-12-14T00:00:00"/>
  </r>
  <r>
    <n v="101155"/>
    <x v="52"/>
    <s v="Otavio Ramos"/>
    <s v="TED"/>
    <x v="2"/>
    <x v="1"/>
    <n v="0"/>
    <n v="303"/>
    <s v="Centro-Oeste"/>
    <x v="1"/>
    <n v="633.73"/>
    <d v="2024-12-13T00:00:00"/>
  </r>
  <r>
    <n v="100442"/>
    <x v="133"/>
    <s v="Nelson Teixeira"/>
    <s v="CARTÃO DE CRÉDITO"/>
    <x v="4"/>
    <x v="1"/>
    <n v="0"/>
    <n v="865"/>
    <s v="Sul"/>
    <x v="0"/>
    <n v="541.84"/>
    <d v="2024-12-13T00:00:00"/>
  </r>
  <r>
    <n v="100092"/>
    <x v="30"/>
    <s v="Debora Pinto"/>
    <s v="TED"/>
    <x v="0"/>
    <x v="1"/>
    <n v="0"/>
    <n v="325"/>
    <s v="Sul"/>
    <x v="1"/>
    <n v="414.46"/>
    <d v="2024-12-13T00:00:00"/>
  </r>
  <r>
    <n v="102104"/>
    <x v="177"/>
    <s v="Otavio Ramos"/>
    <s v="CARTÃO DE CRÉDITO"/>
    <x v="4"/>
    <x v="1"/>
    <n v="0"/>
    <n v="411"/>
    <s v="Nordeste"/>
    <x v="0"/>
    <n v="244.44"/>
    <d v="2024-12-13T00:00:00"/>
  </r>
  <r>
    <n v="101430"/>
    <x v="60"/>
    <s v="Karina Silva"/>
    <s v="CARTÃO DE CRÉDITO"/>
    <x v="2"/>
    <x v="1"/>
    <n v="0"/>
    <n v="410"/>
    <s v="Centro-Oeste"/>
    <x v="0"/>
    <n v="594.41999999999996"/>
    <d v="2024-12-12T00:00:00"/>
  </r>
  <r>
    <n v="100219"/>
    <x v="219"/>
    <s v="Joao Pedro Dias"/>
    <s v="PIX"/>
    <x v="5"/>
    <x v="1"/>
    <n v="0"/>
    <n v="504"/>
    <s v="Centro-Oeste"/>
    <x v="1"/>
    <n v="473.95"/>
    <d v="2024-12-12T00:00:00"/>
  </r>
  <r>
    <n v="101605"/>
    <x v="14"/>
    <s v="Heitor Barbosa"/>
    <s v="PIX"/>
    <x v="2"/>
    <x v="1"/>
    <n v="0"/>
    <n v="603"/>
    <s v="Sul"/>
    <x v="1"/>
    <n v="371.95"/>
    <d v="2024-12-12T00:00:00"/>
  </r>
  <r>
    <n v="102041"/>
    <x v="203"/>
    <s v="Karina Silva"/>
    <s v="BOLETO"/>
    <x v="0"/>
    <x v="1"/>
    <n v="0"/>
    <n v="336"/>
    <s v="Sudeste"/>
    <x v="2"/>
    <n v="381.89"/>
    <d v="2024-12-11T00:00:00"/>
  </r>
  <r>
    <n v="101025"/>
    <x v="149"/>
    <s v="Carla Mendes"/>
    <s v="TED"/>
    <x v="2"/>
    <x v="2"/>
    <n v="0"/>
    <n v="769"/>
    <s v="Não Informado"/>
    <x v="0"/>
    <n v="355.26"/>
    <d v="2024-12-11T00:00:00"/>
  </r>
  <r>
    <n v="100086"/>
    <x v="82"/>
    <s v="Vanessa Duarte"/>
    <s v="TED"/>
    <x v="5"/>
    <x v="1"/>
    <n v="0"/>
    <n v="352"/>
    <s v="Sudeste"/>
    <x v="1"/>
    <n v="115.1"/>
    <d v="2024-12-11T00:00:00"/>
  </r>
  <r>
    <n v="101831"/>
    <x v="104"/>
    <s v="Diego Alves"/>
    <s v="TED"/>
    <x v="0"/>
    <x v="1"/>
    <n v="0"/>
    <n v="405"/>
    <s v="Centro-Oeste"/>
    <x v="2"/>
    <n v="426.33"/>
    <d v="2024-12-10T00:00:00"/>
  </r>
  <r>
    <n v="100684"/>
    <x v="224"/>
    <s v="Fabio Costa"/>
    <s v="CARTÃO DE DÉBITO"/>
    <x v="7"/>
    <x v="2"/>
    <n v="0"/>
    <n v="483"/>
    <s v="Sudeste"/>
    <x v="1"/>
    <n v="366.98"/>
    <d v="2024-12-10T00:00:00"/>
  </r>
  <r>
    <n v="102163"/>
    <x v="60"/>
    <s v="Karina Silva"/>
    <s v="PIX"/>
    <x v="5"/>
    <x v="3"/>
    <n v="62"/>
    <n v="410"/>
    <s v="Sul"/>
    <x v="1"/>
    <n v="910.11"/>
    <d v="2024-12-09T00:00:00"/>
  </r>
  <r>
    <n v="100551"/>
    <x v="249"/>
    <s v="Isabela Nunes"/>
    <s v="BOLETO"/>
    <x v="3"/>
    <x v="2"/>
    <n v="0"/>
    <n v="358"/>
    <s v="Centro-Oeste"/>
    <x v="1"/>
    <n v="780.33"/>
    <d v="2024-12-09T00:00:00"/>
  </r>
  <r>
    <n v="101386"/>
    <x v="22"/>
    <s v="Heitor Barbosa"/>
    <s v="CARTÃO DE DÉBITO"/>
    <x v="1"/>
    <x v="1"/>
    <n v="0"/>
    <n v="607"/>
    <s v="Norte"/>
    <x v="2"/>
    <n v="594.83000000000004"/>
    <d v="2024-12-09T00:00:00"/>
  </r>
  <r>
    <n v="100511"/>
    <x v="250"/>
    <s v="Caio Monteiro"/>
    <s v="CARTÃO DE DÉBITO"/>
    <x v="1"/>
    <x v="2"/>
    <n v="0"/>
    <n v="864"/>
    <s v="Norte"/>
    <x v="2"/>
    <n v="580.87"/>
    <d v="2024-12-09T00:00:00"/>
  </r>
  <r>
    <n v="101636"/>
    <x v="3"/>
    <s v="William Santos"/>
    <s v="PIX"/>
    <x v="5"/>
    <x v="1"/>
    <n v="0"/>
    <n v="818"/>
    <s v="Nordeste"/>
    <x v="1"/>
    <n v="519.41"/>
    <d v="2024-12-09T00:00:00"/>
  </r>
  <r>
    <n v="100859"/>
    <x v="188"/>
    <s v="Fabio Costa"/>
    <s v="BOLETO"/>
    <x v="0"/>
    <x v="2"/>
    <n v="0"/>
    <n v="383"/>
    <s v="Norte"/>
    <x v="2"/>
    <n v="141.82"/>
    <d v="2024-12-09T00:00:00"/>
  </r>
  <r>
    <n v="101170"/>
    <x v="65"/>
    <s v="Gabriela Rocha"/>
    <s v="CARTÃO DE DÉBITO"/>
    <x v="2"/>
    <x v="0"/>
    <n v="12"/>
    <n v="571"/>
    <s v="Sul"/>
    <x v="2"/>
    <n v="135.33000000000001"/>
    <d v="2024-12-09T00:00:00"/>
  </r>
  <r>
    <n v="101506"/>
    <x v="106"/>
    <s v="Carla Mendes"/>
    <s v="BOLETO"/>
    <x v="7"/>
    <x v="2"/>
    <n v="0"/>
    <n v="501"/>
    <s v="Norte"/>
    <x v="1"/>
    <n v="401.12"/>
    <d v="2024-12-08T00:00:00"/>
  </r>
  <r>
    <n v="100939"/>
    <x v="31"/>
    <s v="Caio Monteiro"/>
    <s v="CARTÃO DE CRÉDITO"/>
    <x v="0"/>
    <x v="1"/>
    <n v="0"/>
    <n v="497"/>
    <s v="Sudeste"/>
    <x v="1"/>
    <n v="330.41"/>
    <d v="2024-12-08T00:00:00"/>
  </r>
  <r>
    <n v="101733"/>
    <x v="55"/>
    <s v="Carla Mendes"/>
    <s v="PIX"/>
    <x v="4"/>
    <x v="1"/>
    <n v="0"/>
    <n v="616"/>
    <s v="Sul"/>
    <x v="0"/>
    <n v="255.42"/>
    <d v="2024-12-08T00:00:00"/>
  </r>
  <r>
    <n v="100371"/>
    <x v="228"/>
    <s v="Bianca Freitas"/>
    <s v="TED"/>
    <x v="1"/>
    <x v="1"/>
    <n v="0"/>
    <n v="746"/>
    <s v="Norte"/>
    <x v="1"/>
    <n v="107.54"/>
    <d v="2024-12-08T00:00:00"/>
  </r>
  <r>
    <n v="100440"/>
    <x v="57"/>
    <s v="Fabio Costa"/>
    <s v="CARTÃO DE CRÉDITO"/>
    <x v="4"/>
    <x v="2"/>
    <n v="0"/>
    <n v="328"/>
    <s v="Sudeste"/>
    <x v="2"/>
    <n v="327.47000000000003"/>
    <d v="2024-12-07T00:00:00"/>
  </r>
  <r>
    <n v="100273"/>
    <x v="225"/>
    <s v="Isabela Nunes"/>
    <s v="CARTÃO DE CRÉDITO"/>
    <x v="1"/>
    <x v="0"/>
    <n v="29"/>
    <n v="638"/>
    <s v="Norte"/>
    <x v="2"/>
    <n v="309.13"/>
    <d v="2024-12-07T00:00:00"/>
  </r>
  <r>
    <n v="100477"/>
    <x v="164"/>
    <s v="Sandra Vieira"/>
    <s v="TED"/>
    <x v="0"/>
    <x v="1"/>
    <n v="0"/>
    <n v="435"/>
    <s v="Sudeste"/>
    <x v="2"/>
    <n v="180.34"/>
    <d v="2024-12-07T00:00:00"/>
  </r>
  <r>
    <n v="100421"/>
    <x v="113"/>
    <s v="Caio Monteiro"/>
    <s v="CARTÃO DE CRÉDITO"/>
    <x v="3"/>
    <x v="1"/>
    <s v="Não Informado"/>
    <n v="308"/>
    <s v="Sul"/>
    <x v="2"/>
    <n v="148.25"/>
    <d v="2024-12-07T00:00:00"/>
  </r>
  <r>
    <n v="101863"/>
    <x v="221"/>
    <s v="Bruno Lima"/>
    <s v="PIX"/>
    <x v="1"/>
    <x v="2"/>
    <n v="0"/>
    <n v="768"/>
    <s v="Nordeste"/>
    <x v="1"/>
    <n v="124.69"/>
    <d v="2024-12-07T00:00:00"/>
  </r>
  <r>
    <n v="100352"/>
    <x v="234"/>
    <s v="Ana Souza"/>
    <s v="TED"/>
    <x v="4"/>
    <x v="3"/>
    <n v="133"/>
    <n v="494"/>
    <s v="Sudeste"/>
    <x v="1"/>
    <n v="60.94"/>
    <d v="2024-12-07T00:00:00"/>
  </r>
  <r>
    <n v="101521"/>
    <x v="201"/>
    <s v="Gabriela Rocha"/>
    <s v="CARTÃO DE CRÉDITO"/>
    <x v="0"/>
    <x v="1"/>
    <n v="0"/>
    <n v="876"/>
    <s v="Nordeste"/>
    <x v="2"/>
    <n v="494.31"/>
    <d v="2024-12-06T00:00:00"/>
  </r>
  <r>
    <n v="101946"/>
    <x v="59"/>
    <s v="Heitor Barbosa"/>
    <s v="CARTÃO DE DÉBITO"/>
    <x v="7"/>
    <x v="3"/>
    <n v="101"/>
    <n v="372"/>
    <s v="Sudeste"/>
    <x v="2"/>
    <n v="467.01"/>
    <d v="2024-12-06T00:00:00"/>
  </r>
  <r>
    <n v="102034"/>
    <x v="159"/>
    <s v="Bianca Freitas"/>
    <s v="CARTÃO DE CRÉDITO"/>
    <x v="6"/>
    <x v="1"/>
    <n v="0"/>
    <n v="375"/>
    <s v="Centro-Oeste"/>
    <x v="1"/>
    <n v="426.36"/>
    <d v="2024-12-06T00:00:00"/>
  </r>
  <r>
    <n v="101040"/>
    <x v="80"/>
    <s v="Isabela Nunes"/>
    <s v="TED"/>
    <x v="7"/>
    <x v="1"/>
    <s v="Não Informado"/>
    <n v="433"/>
    <s v="Sul"/>
    <x v="1"/>
    <n v="119.64"/>
    <d v="2024-12-06T00:00:00"/>
  </r>
  <r>
    <n v="100976"/>
    <x v="201"/>
    <s v="Gabriela Rocha"/>
    <s v="BOLETO"/>
    <x v="4"/>
    <x v="1"/>
    <n v="0"/>
    <n v="876"/>
    <s v="Sul"/>
    <x v="1"/>
    <m/>
    <d v="2024-12-06T00:00:00"/>
  </r>
  <r>
    <n v="100596"/>
    <x v="227"/>
    <s v="Heitor Barbosa"/>
    <s v="CARTÃO DE DÉBITO"/>
    <x v="4"/>
    <x v="1"/>
    <n v="0"/>
    <n v="461"/>
    <s v="Nordeste"/>
    <x v="0"/>
    <n v="230.63"/>
    <d v="2024-12-05T00:00:00"/>
  </r>
  <r>
    <n v="100559"/>
    <x v="90"/>
    <s v="Elaine Ferreira"/>
    <s v="PIX"/>
    <x v="0"/>
    <x v="1"/>
    <n v="0"/>
    <n v="659"/>
    <s v="Sul"/>
    <x v="1"/>
    <n v="52.61"/>
    <d v="2024-12-05T00:00:00"/>
  </r>
  <r>
    <n v="101630"/>
    <x v="7"/>
    <s v="Yasmin Araujo"/>
    <s v="CARTÃO DE DÉBITO"/>
    <x v="1"/>
    <x v="2"/>
    <n v="0"/>
    <n v="494"/>
    <s v="Sudeste"/>
    <x v="1"/>
    <n v="600.77"/>
    <d v="2024-12-04T00:00:00"/>
  </r>
  <r>
    <n v="100607"/>
    <x v="231"/>
    <s v="Lucas Martins"/>
    <s v="PIX"/>
    <x v="4"/>
    <x v="2"/>
    <n v="0"/>
    <n v="315"/>
    <s v="Norte"/>
    <x v="1"/>
    <n v="404.27"/>
    <d v="2024-12-04T00:00:00"/>
  </r>
  <r>
    <n v="100708"/>
    <x v="130"/>
    <s v="Bruno Lima"/>
    <s v="TED"/>
    <x v="0"/>
    <x v="3"/>
    <n v="73"/>
    <n v="515"/>
    <s v="Norte"/>
    <x v="2"/>
    <n v="396.84"/>
    <d v="2024-12-04T00:00:00"/>
  </r>
  <r>
    <n v="101224"/>
    <x v="216"/>
    <s v="Não Informado"/>
    <s v="CARTÃO DE CRÉDITO"/>
    <x v="6"/>
    <x v="0"/>
    <n v="9"/>
    <n v="835"/>
    <s v="Centro-Oeste"/>
    <x v="1"/>
    <n v="384.85"/>
    <d v="2024-12-04T00:00:00"/>
  </r>
  <r>
    <n v="100329"/>
    <x v="228"/>
    <s v="Bianca Freitas"/>
    <s v="CARTÃO DE DÉBITO"/>
    <x v="7"/>
    <x v="0"/>
    <n v="15"/>
    <n v="746"/>
    <s v="Centro-Oeste"/>
    <x v="1"/>
    <n v="262.02999999999997"/>
    <d v="2024-12-04T00:00:00"/>
  </r>
  <r>
    <n v="101397"/>
    <x v="31"/>
    <s v="Caio Monteiro"/>
    <s v="PIX"/>
    <x v="2"/>
    <x v="1"/>
    <n v="0"/>
    <n v="497"/>
    <s v="Sul"/>
    <x v="1"/>
    <n v="1708.24"/>
    <d v="2024-12-03T00:00:00"/>
  </r>
  <r>
    <n v="101550"/>
    <x v="3"/>
    <s v="William Santos"/>
    <s v="PIX"/>
    <x v="5"/>
    <x v="0"/>
    <n v="10"/>
    <n v="818"/>
    <s v="Sudeste"/>
    <x v="0"/>
    <n v="468.24"/>
    <d v="2024-12-03T00:00:00"/>
  </r>
  <r>
    <n v="100498"/>
    <x v="106"/>
    <s v="Carla Mendes"/>
    <s v="PIX"/>
    <x v="7"/>
    <x v="3"/>
    <n v="45"/>
    <n v="501"/>
    <s v="Nordeste"/>
    <x v="1"/>
    <n v="425.15"/>
    <d v="2024-12-03T00:00:00"/>
  </r>
  <r>
    <n v="100476"/>
    <x v="193"/>
    <s v="Isabela Nunes"/>
    <s v="PIX"/>
    <x v="2"/>
    <x v="3"/>
    <n v="47"/>
    <n v="377"/>
    <s v="Sudeste"/>
    <x v="1"/>
    <n v="144.61000000000001"/>
    <d v="2024-12-03T00:00:00"/>
  </r>
  <r>
    <n v="100061"/>
    <x v="190"/>
    <s v="Carla Mendes"/>
    <s v="PIX"/>
    <x v="5"/>
    <x v="1"/>
    <n v="0"/>
    <n v="578"/>
    <s v="Norte"/>
    <x v="1"/>
    <n v="94.28"/>
    <d v="2024-12-02T00:00:00"/>
  </r>
  <r>
    <n v="101871"/>
    <x v="170"/>
    <s v="Elaine Ferreira"/>
    <s v="BOLETO"/>
    <x v="5"/>
    <x v="1"/>
    <s v="Não Informado"/>
    <n v="821"/>
    <s v="Nordeste"/>
    <x v="1"/>
    <n v="834.04"/>
    <d v="2024-12-01T00:00:00"/>
  </r>
  <r>
    <n v="100041"/>
    <x v="104"/>
    <s v="Diego Alves"/>
    <s v="CARTÃO DE CRÉDITO"/>
    <x v="3"/>
    <x v="3"/>
    <n v="47"/>
    <n v="405"/>
    <s v="Centro-Oeste"/>
    <x v="0"/>
    <n v="578.04999999999995"/>
    <d v="2024-12-01T00:00:00"/>
  </r>
  <r>
    <n v="102085"/>
    <x v="251"/>
    <s v="Fabio Costa"/>
    <s v="PIX"/>
    <x v="7"/>
    <x v="1"/>
    <n v="0"/>
    <n v="817"/>
    <s v="Norte"/>
    <x v="1"/>
    <n v="173.1"/>
    <d v="2024-12-01T00:00:00"/>
  </r>
  <r>
    <n v="101052"/>
    <x v="25"/>
    <s v="Sandra Vieira"/>
    <s v="BOLETO"/>
    <x v="5"/>
    <x v="0"/>
    <n v="19"/>
    <n v="309"/>
    <s v="Norte"/>
    <x v="1"/>
    <n v="772.23"/>
    <d v="2024-11-30T00:00:00"/>
  </r>
  <r>
    <n v="100772"/>
    <x v="109"/>
    <s v="Sandra Vieira"/>
    <s v="TED"/>
    <x v="5"/>
    <x v="1"/>
    <n v="0"/>
    <n v="733"/>
    <s v="Nordeste"/>
    <x v="0"/>
    <n v="724.54"/>
    <d v="2024-11-30T00:00:00"/>
  </r>
  <r>
    <n v="100464"/>
    <x v="182"/>
    <s v="Gabriela Rocha"/>
    <s v="CARTÃO DE CRÉDITO"/>
    <x v="7"/>
    <x v="0"/>
    <n v="1"/>
    <n v="358"/>
    <s v="Sudeste"/>
    <x v="0"/>
    <n v="832.26"/>
    <d v="2024-11-29T00:00:00"/>
  </r>
  <r>
    <n v="101740"/>
    <x v="214"/>
    <s v="Lucas Martins"/>
    <s v="CARTÃO DE CRÉDITO"/>
    <x v="3"/>
    <x v="1"/>
    <n v="0"/>
    <n v="494"/>
    <s v="Norte"/>
    <x v="0"/>
    <n v="466.41"/>
    <d v="2024-11-29T00:00:00"/>
  </r>
  <r>
    <n v="101340"/>
    <x v="224"/>
    <s v="Fabio Costa"/>
    <s v="CARTÃO DE CRÉDITO"/>
    <x v="2"/>
    <x v="1"/>
    <n v="0"/>
    <n v="483"/>
    <s v="Sudeste"/>
    <x v="0"/>
    <n v="353.34"/>
    <d v="2024-11-29T00:00:00"/>
  </r>
  <r>
    <n v="100460"/>
    <x v="220"/>
    <s v="Vanessa Duarte"/>
    <s v="CARTÃO DE DÉBITO"/>
    <x v="7"/>
    <x v="1"/>
    <n v="0"/>
    <n v="542"/>
    <s v="Norte"/>
    <x v="2"/>
    <n v="240.07"/>
    <d v="2024-11-29T00:00:00"/>
  </r>
  <r>
    <n v="100503"/>
    <x v="5"/>
    <s v="Bruno Lima"/>
    <s v="CARTÃO DE CRÉDITO"/>
    <x v="0"/>
    <x v="1"/>
    <n v="0"/>
    <n v="434"/>
    <s v="Centro-Oeste"/>
    <x v="1"/>
    <n v="224.1"/>
    <d v="2024-11-29T00:00:00"/>
  </r>
  <r>
    <n v="101968"/>
    <x v="114"/>
    <s v="Heitor Barbosa"/>
    <s v="TED"/>
    <x v="7"/>
    <x v="1"/>
    <n v="0"/>
    <n v="340"/>
    <s v="Nordeste"/>
    <x v="0"/>
    <n v="1409.44"/>
    <d v="2024-11-28T00:00:00"/>
  </r>
  <r>
    <n v="101313"/>
    <x v="175"/>
    <s v="Não Informado"/>
    <s v="PIX"/>
    <x v="3"/>
    <x v="1"/>
    <n v="0"/>
    <n v="588"/>
    <s v="Centro-Oeste"/>
    <x v="1"/>
    <n v="669.89"/>
    <d v="2024-11-28T00:00:00"/>
  </r>
  <r>
    <n v="101345"/>
    <x v="179"/>
    <s v="Não Informado"/>
    <s v="TED"/>
    <x v="0"/>
    <x v="0"/>
    <n v="22"/>
    <n v="309"/>
    <s v="Sul"/>
    <x v="2"/>
    <n v="577.65"/>
    <d v="2024-11-28T00:00:00"/>
  </r>
  <r>
    <n v="102155"/>
    <x v="222"/>
    <s v="Otavio Ramos"/>
    <s v="BOLETO"/>
    <x v="4"/>
    <x v="1"/>
    <n v="0"/>
    <n v="729"/>
    <s v="Centro-Oeste"/>
    <x v="0"/>
    <n v="536.82000000000005"/>
    <d v="2024-11-28T00:00:00"/>
  </r>
  <r>
    <n v="101614"/>
    <x v="34"/>
    <s v="Debora Pinto"/>
    <s v="CARTÃO DE CRÉDITO"/>
    <x v="5"/>
    <x v="1"/>
    <n v="0"/>
    <n v="585"/>
    <s v="Sul"/>
    <x v="1"/>
    <n v="243.69"/>
    <d v="2024-11-28T00:00:00"/>
  </r>
  <r>
    <n v="101806"/>
    <x v="83"/>
    <s v="Bianca Freitas"/>
    <s v="CARTÃO DE DÉBITO"/>
    <x v="0"/>
    <x v="1"/>
    <n v="0"/>
    <n v="400"/>
    <s v="Nordeste"/>
    <x v="1"/>
    <n v="162.56"/>
    <d v="2024-11-28T00:00:00"/>
  </r>
  <r>
    <n v="101507"/>
    <x v="21"/>
    <s v="Yasmin Araujo"/>
    <s v="CARTÃO DE DÉBITO"/>
    <x v="0"/>
    <x v="1"/>
    <n v="0"/>
    <n v="709"/>
    <s v="Sul"/>
    <x v="0"/>
    <n v="664.12"/>
    <d v="2024-11-27T00:00:00"/>
  </r>
  <r>
    <n v="101536"/>
    <x v="12"/>
    <s v="Patricia Gomes"/>
    <s v="PIX"/>
    <x v="5"/>
    <x v="1"/>
    <n v="0"/>
    <n v="708"/>
    <s v="Sudeste"/>
    <x v="1"/>
    <n v="513.59"/>
    <d v="2024-11-27T00:00:00"/>
  </r>
  <r>
    <n v="101255"/>
    <x v="252"/>
    <s v="Diego Alves"/>
    <s v="CARTÃO DE DÉBITO"/>
    <x v="3"/>
    <x v="1"/>
    <n v="0"/>
    <n v="678"/>
    <s v="Norte"/>
    <x v="2"/>
    <n v="103.54"/>
    <d v="2024-11-27T00:00:00"/>
  </r>
  <r>
    <n v="100278"/>
    <x v="253"/>
    <s v="William Santos"/>
    <s v="PIX"/>
    <x v="3"/>
    <x v="0"/>
    <n v="21"/>
    <n v="657"/>
    <s v="Sudeste"/>
    <x v="1"/>
    <n v="796.71"/>
    <d v="2024-11-26T00:00:00"/>
  </r>
  <r>
    <n v="101398"/>
    <x v="236"/>
    <s v="Yasmin Araujo"/>
    <s v="TED"/>
    <x v="2"/>
    <x v="0"/>
    <n v="25"/>
    <n v="370"/>
    <s v="Sul"/>
    <x v="2"/>
    <n v="744.46"/>
    <d v="2024-11-26T00:00:00"/>
  </r>
  <r>
    <n v="100749"/>
    <x v="238"/>
    <s v="Sandra Vieira"/>
    <s v="TED"/>
    <x v="0"/>
    <x v="1"/>
    <n v="0"/>
    <n v="640"/>
    <s v="Nordeste"/>
    <x v="1"/>
    <n v="352.11"/>
    <d v="2024-11-26T00:00:00"/>
  </r>
  <r>
    <n v="101615"/>
    <x v="3"/>
    <s v="William Santos"/>
    <s v="CARTÃO DE CRÉDITO"/>
    <x v="5"/>
    <x v="1"/>
    <n v="0"/>
    <n v="818"/>
    <s v="Centro-Oeste"/>
    <x v="0"/>
    <n v="127.67"/>
    <d v="2024-11-26T00:00:00"/>
  </r>
  <r>
    <n v="100802"/>
    <x v="40"/>
    <s v="Lucas Martins"/>
    <s v="CARTÃO DE DÉBITO"/>
    <x v="1"/>
    <x v="2"/>
    <n v="0"/>
    <n v="570"/>
    <s v="Nordeste"/>
    <x v="1"/>
    <n v="619.73"/>
    <d v="2024-11-25T00:00:00"/>
  </r>
  <r>
    <n v="101510"/>
    <x v="199"/>
    <s v="Debora Pinto"/>
    <s v="TED"/>
    <x v="5"/>
    <x v="1"/>
    <n v="0"/>
    <n v="411"/>
    <s v="Sul"/>
    <x v="2"/>
    <n v="237.26499999999999"/>
    <d v="2024-11-25T00:00:00"/>
  </r>
  <r>
    <n v="101011"/>
    <x v="193"/>
    <s v="Isabela Nunes"/>
    <s v="PIX"/>
    <x v="6"/>
    <x v="1"/>
    <n v="0"/>
    <n v="377"/>
    <s v="Centro-Oeste"/>
    <x v="2"/>
    <n v="182.92"/>
    <d v="2024-11-25T00:00:00"/>
  </r>
  <r>
    <n v="101826"/>
    <x v="173"/>
    <s v="Mariana Cardoso"/>
    <s v="PIX"/>
    <x v="7"/>
    <x v="2"/>
    <n v="0"/>
    <n v="621"/>
    <s v="Sudeste"/>
    <x v="0"/>
    <n v="819.52"/>
    <d v="2024-11-24T00:00:00"/>
  </r>
  <r>
    <n v="101046"/>
    <x v="11"/>
    <s v="Yasmin Araujo"/>
    <s v="CARTÃO DE DÉBITO"/>
    <x v="2"/>
    <x v="2"/>
    <n v="0"/>
    <n v="694"/>
    <s v="Nordeste"/>
    <x v="0"/>
    <n v="769.68"/>
    <d v="2024-11-24T00:00:00"/>
  </r>
  <r>
    <n v="101861"/>
    <x v="49"/>
    <s v="Patricia Gomes"/>
    <s v="CARTÃO DE DÉBITO"/>
    <x v="7"/>
    <x v="0"/>
    <n v="30"/>
    <n v="691"/>
    <s v="Sul"/>
    <x v="0"/>
    <n v="461.74"/>
    <d v="2024-11-24T00:00:00"/>
  </r>
  <r>
    <n v="102140"/>
    <x v="140"/>
    <s v="Yasmin Araujo"/>
    <s v="CARTÃO DE CRÉDITO"/>
    <x v="0"/>
    <x v="1"/>
    <n v="0"/>
    <n v="519"/>
    <s v="Sul"/>
    <x v="1"/>
    <n v="290.2"/>
    <d v="2024-11-24T00:00:00"/>
  </r>
  <r>
    <n v="100673"/>
    <x v="167"/>
    <s v="Ana Souza"/>
    <s v="PIX"/>
    <x v="1"/>
    <x v="2"/>
    <n v="0"/>
    <n v="573"/>
    <s v="Sul"/>
    <x v="2"/>
    <n v="146.80000000000001"/>
    <d v="2024-11-24T00:00:00"/>
  </r>
  <r>
    <n v="100162"/>
    <x v="151"/>
    <s v="Heitor Barbosa"/>
    <s v="BOLETO"/>
    <x v="5"/>
    <x v="2"/>
    <n v="0"/>
    <n v="855"/>
    <s v="Sudeste"/>
    <x v="0"/>
    <n v="829.69"/>
    <d v="2024-11-23T00:00:00"/>
  </r>
  <r>
    <n v="102074"/>
    <x v="200"/>
    <s v="Sandra Vieira"/>
    <s v="PIX"/>
    <x v="1"/>
    <x v="0"/>
    <n v="23"/>
    <n v="639"/>
    <s v="Sul"/>
    <x v="0"/>
    <n v="379.05"/>
    <d v="2024-11-23T00:00:00"/>
  </r>
  <r>
    <n v="101865"/>
    <x v="36"/>
    <s v="Vanessa Duarte"/>
    <s v="CARTÃO DE DÉBITO"/>
    <x v="7"/>
    <x v="1"/>
    <n v="0"/>
    <n v="463"/>
    <s v="Norte"/>
    <x v="2"/>
    <n v="59.75"/>
    <d v="2024-11-23T00:00:00"/>
  </r>
  <r>
    <n v="100760"/>
    <x v="47"/>
    <s v="Gabriela Rocha"/>
    <s v="TED"/>
    <x v="4"/>
    <x v="1"/>
    <n v="0"/>
    <n v="733"/>
    <s v="Sul"/>
    <x v="2"/>
    <n v="627.79999999999995"/>
    <d v="2024-11-22T00:00:00"/>
  </r>
  <r>
    <n v="101441"/>
    <x v="50"/>
    <s v="Gabriela Rocha"/>
    <s v="CARTÃO DE CRÉDITO"/>
    <x v="1"/>
    <x v="1"/>
    <n v="0"/>
    <n v="621"/>
    <s v="Norte"/>
    <x v="0"/>
    <n v="288.51"/>
    <d v="2024-11-22T00:00:00"/>
  </r>
  <r>
    <n v="100093"/>
    <x v="194"/>
    <s v="Heitor Barbosa"/>
    <s v="PIX"/>
    <x v="7"/>
    <x v="0"/>
    <n v="13"/>
    <n v="396"/>
    <s v="Norte"/>
    <x v="0"/>
    <n v="194.98"/>
    <d v="2024-11-22T00:00:00"/>
  </r>
  <r>
    <n v="101375"/>
    <x v="153"/>
    <s v="Diego Alves"/>
    <s v="TED"/>
    <x v="3"/>
    <x v="1"/>
    <n v="0"/>
    <n v="797"/>
    <s v="Sudeste"/>
    <x v="2"/>
    <n v="181.07"/>
    <d v="2024-11-22T00:00:00"/>
  </r>
  <r>
    <n v="100469"/>
    <x v="13"/>
    <s v="Yasmin Araujo"/>
    <s v="PIX"/>
    <x v="2"/>
    <x v="0"/>
    <n v="21"/>
    <n v="800"/>
    <s v="Nordeste"/>
    <x v="2"/>
    <n v="672.05"/>
    <d v="2024-11-21T00:00:00"/>
  </r>
  <r>
    <n v="101555"/>
    <x v="224"/>
    <s v="Fabio Costa"/>
    <s v="CARTÃO DE CRÉDITO"/>
    <x v="3"/>
    <x v="1"/>
    <n v="0"/>
    <n v="483"/>
    <s v="Centro-Oeste"/>
    <x v="2"/>
    <n v="504.61"/>
    <d v="2024-11-21T00:00:00"/>
  </r>
  <r>
    <n v="101490"/>
    <x v="159"/>
    <s v="Bianca Freitas"/>
    <s v="PIX"/>
    <x v="0"/>
    <x v="0"/>
    <n v="22"/>
    <n v="375"/>
    <s v="Sudeste"/>
    <x v="0"/>
    <n v="429.53"/>
    <d v="2024-11-21T00:00:00"/>
  </r>
  <r>
    <n v="100741"/>
    <x v="215"/>
    <s v="Patricia Gomes"/>
    <s v="CARTÃO DE CRÉDITO"/>
    <x v="3"/>
    <x v="1"/>
    <n v="0"/>
    <n v="459"/>
    <s v="Sul"/>
    <x v="1"/>
    <n v="329.88"/>
    <d v="2024-11-21T00:00:00"/>
  </r>
  <r>
    <n v="100746"/>
    <x v="5"/>
    <s v="Bruno Lima"/>
    <s v="CARTÃO DE DÉBITO"/>
    <x v="1"/>
    <x v="0"/>
    <n v="8"/>
    <n v="434"/>
    <s v="Centro-Oeste"/>
    <x v="3"/>
    <n v="292.08"/>
    <d v="2024-11-21T00:00:00"/>
  </r>
  <r>
    <n v="101174"/>
    <x v="16"/>
    <s v="Bianca Freitas"/>
    <s v="CARTÃO DE CRÉDITO"/>
    <x v="5"/>
    <x v="1"/>
    <n v="0"/>
    <n v="778"/>
    <s v="Sul"/>
    <x v="1"/>
    <n v="923.51"/>
    <d v="2024-11-20T00:00:00"/>
  </r>
  <r>
    <n v="100377"/>
    <x v="162"/>
    <s v="Mariana Cardoso"/>
    <s v="PIX"/>
    <x v="5"/>
    <x v="1"/>
    <n v="0"/>
    <n v="360"/>
    <s v="Sul"/>
    <x v="0"/>
    <n v="274.12"/>
    <d v="2024-11-20T00:00:00"/>
  </r>
  <r>
    <n v="100404"/>
    <x v="250"/>
    <s v="Caio Monteiro"/>
    <s v="PIX"/>
    <x v="2"/>
    <x v="2"/>
    <n v="0"/>
    <n v="864"/>
    <s v="Norte"/>
    <x v="2"/>
    <n v="223.15"/>
    <d v="2024-11-20T00:00:00"/>
  </r>
  <r>
    <n v="100441"/>
    <x v="130"/>
    <s v="Bruno Lima"/>
    <s v="PIX"/>
    <x v="3"/>
    <x v="1"/>
    <n v="0"/>
    <n v="515"/>
    <s v="Nordeste"/>
    <x v="2"/>
    <n v="986.73"/>
    <d v="2024-11-19T00:00:00"/>
  </r>
  <r>
    <n v="100839"/>
    <x v="131"/>
    <s v="William Santos"/>
    <s v="CARTÃO DE CRÉDITO"/>
    <x v="1"/>
    <x v="1"/>
    <n v="0"/>
    <n v="355"/>
    <s v="Centro-Oeste"/>
    <x v="0"/>
    <n v="964.78"/>
    <d v="2024-11-19T00:00:00"/>
  </r>
  <r>
    <n v="100345"/>
    <x v="184"/>
    <s v="Thiago Correia"/>
    <s v="CARTÃO DE CRÉDITO"/>
    <x v="3"/>
    <x v="1"/>
    <n v="0"/>
    <n v="402"/>
    <s v="Sudeste"/>
    <x v="0"/>
    <n v="225.53"/>
    <d v="2024-11-19T00:00:00"/>
  </r>
  <r>
    <n v="100387"/>
    <x v="64"/>
    <s v="Nelson Teixeira"/>
    <s v="TED"/>
    <x v="0"/>
    <x v="1"/>
    <n v="0"/>
    <n v="732"/>
    <s v="Nordeste"/>
    <x v="0"/>
    <n v="40.54"/>
    <d v="2024-11-19T00:00:00"/>
  </r>
  <r>
    <n v="101837"/>
    <x v="108"/>
    <s v="Otavio Ramos"/>
    <s v="TED"/>
    <x v="1"/>
    <x v="3"/>
    <n v="144"/>
    <n v="792"/>
    <s v="Norte"/>
    <x v="1"/>
    <n v="1154.4000000000001"/>
    <d v="2024-11-18T00:00:00"/>
  </r>
  <r>
    <n v="100026"/>
    <x v="161"/>
    <s v="Isabela Nunes"/>
    <s v="BOLETO"/>
    <x v="3"/>
    <x v="1"/>
    <n v="0"/>
    <n v="470"/>
    <s v="Nordeste"/>
    <x v="1"/>
    <n v="379.93"/>
    <d v="2024-11-18T00:00:00"/>
  </r>
  <r>
    <n v="100322"/>
    <x v="24"/>
    <s v="Rafael Pereira"/>
    <s v="TED"/>
    <x v="5"/>
    <x v="1"/>
    <n v="0"/>
    <n v="458"/>
    <s v="Nordeste"/>
    <x v="2"/>
    <n v="357.75"/>
    <d v="2024-11-18T00:00:00"/>
  </r>
  <r>
    <n v="100290"/>
    <x v="215"/>
    <s v="Patricia Gomes"/>
    <s v="TED"/>
    <x v="5"/>
    <x v="3"/>
    <n v="101"/>
    <n v="459"/>
    <s v="Norte"/>
    <x v="1"/>
    <n v="165.58"/>
    <d v="2024-11-18T00:00:00"/>
  </r>
  <r>
    <n v="102197"/>
    <x v="172"/>
    <s v="Caio Monteiro"/>
    <s v="BOLETO"/>
    <x v="7"/>
    <x v="1"/>
    <n v="0"/>
    <n v="892"/>
    <s v="Centro-Oeste"/>
    <x v="1"/>
    <n v="1115.23"/>
    <d v="2024-11-17T00:00:00"/>
  </r>
  <r>
    <n v="100687"/>
    <x v="254"/>
    <s v="William Santos"/>
    <s v="BOLETO"/>
    <x v="0"/>
    <x v="0"/>
    <n v="12"/>
    <n v="369"/>
    <s v="Não Informado"/>
    <x v="1"/>
    <n v="197.92"/>
    <d v="2024-11-17T00:00:00"/>
  </r>
  <r>
    <n v="100674"/>
    <x v="228"/>
    <s v="Bianca Freitas"/>
    <s v="PIX"/>
    <x v="3"/>
    <x v="0"/>
    <n v="15"/>
    <n v="746"/>
    <s v="Sul"/>
    <x v="0"/>
    <n v="131.11000000000001"/>
    <d v="2024-11-17T00:00:00"/>
  </r>
  <r>
    <n v="100533"/>
    <x v="130"/>
    <s v="Bruno Lima"/>
    <s v="PIX"/>
    <x v="4"/>
    <x v="2"/>
    <n v="0"/>
    <n v="515"/>
    <s v="Norte"/>
    <x v="3"/>
    <n v="886.78"/>
    <d v="2024-11-16T00:00:00"/>
  </r>
  <r>
    <n v="100629"/>
    <x v="237"/>
    <s v="Debora Pinto"/>
    <s v="CARTÃO DE CRÉDITO"/>
    <x v="7"/>
    <x v="1"/>
    <n v="0"/>
    <n v="705"/>
    <s v="Centro-Oeste"/>
    <x v="1"/>
    <n v="550.29999999999995"/>
    <d v="2024-11-16T00:00:00"/>
  </r>
  <r>
    <n v="101982"/>
    <x v="255"/>
    <s v="Isabela Nunes"/>
    <s v="CARTÃO DE DÉBITO"/>
    <x v="1"/>
    <x v="1"/>
    <n v="0"/>
    <n v="496"/>
    <s v="Centro-Oeste"/>
    <x v="1"/>
    <n v="411.63"/>
    <d v="2024-11-16T00:00:00"/>
  </r>
  <r>
    <n v="101388"/>
    <x v="90"/>
    <s v="Elaine Ferreira"/>
    <s v="CARTÃO DE CRÉDITO"/>
    <x v="2"/>
    <x v="3"/>
    <n v="99"/>
    <n v="659"/>
    <s v="Sul"/>
    <x v="1"/>
    <n v="50.49"/>
    <d v="2024-11-16T00:00:00"/>
  </r>
  <r>
    <n v="100701"/>
    <x v="205"/>
    <s v="Heitor Barbosa"/>
    <s v="PIX"/>
    <x v="2"/>
    <x v="2"/>
    <n v="0"/>
    <n v="612"/>
    <s v="Centro-Oeste"/>
    <x v="1"/>
    <n v="921.79"/>
    <d v="2024-11-15T00:00:00"/>
  </r>
  <r>
    <n v="100793"/>
    <x v="242"/>
    <s v="William Santos"/>
    <s v="CARTÃO DE DÉBITO"/>
    <x v="3"/>
    <x v="1"/>
    <n v="0"/>
    <n v="570"/>
    <s v="Norte"/>
    <x v="1"/>
    <n v="486.01"/>
    <d v="2024-11-15T00:00:00"/>
  </r>
  <r>
    <n v="102195"/>
    <x v="105"/>
    <s v="Karina Silva"/>
    <s v="CARTÃO DE CRÉDITO"/>
    <x v="5"/>
    <x v="0"/>
    <n v="8"/>
    <n v="623"/>
    <s v="Sudeste"/>
    <x v="0"/>
    <n v="207.52"/>
    <d v="2024-11-15T00:00:00"/>
  </r>
  <r>
    <n v="100276"/>
    <x v="125"/>
    <s v="Thiago Correia"/>
    <s v="BOLETO"/>
    <x v="6"/>
    <x v="1"/>
    <s v="Não Informado"/>
    <n v="867"/>
    <s v="Nordeste"/>
    <x v="2"/>
    <m/>
    <d v="2024-11-15T00:00:00"/>
  </r>
  <r>
    <n v="100163"/>
    <x v="16"/>
    <s v="Bianca Freitas"/>
    <s v="BOLETO"/>
    <x v="0"/>
    <x v="3"/>
    <n v="53"/>
    <n v="778"/>
    <s v="Norte"/>
    <x v="2"/>
    <n v="92.14"/>
    <d v="2024-11-14T00:00:00"/>
  </r>
  <r>
    <n v="101664"/>
    <x v="188"/>
    <s v="Fabio Costa"/>
    <s v="CARTÃO DE DÉBITO"/>
    <x v="0"/>
    <x v="1"/>
    <n v="0"/>
    <n v="383"/>
    <s v="Sul"/>
    <x v="2"/>
    <n v="355.42"/>
    <d v="2024-11-13T00:00:00"/>
  </r>
  <r>
    <n v="101772"/>
    <x v="162"/>
    <s v="Mariana Cardoso"/>
    <s v="TED"/>
    <x v="0"/>
    <x v="1"/>
    <n v="0"/>
    <n v="360"/>
    <s v="Norte"/>
    <x v="2"/>
    <n v="271.76"/>
    <d v="2024-11-13T00:00:00"/>
  </r>
  <r>
    <n v="102064"/>
    <x v="37"/>
    <s v="Bianca Freitas"/>
    <s v="CARTÃO DE DÉBITO"/>
    <x v="3"/>
    <x v="1"/>
    <n v="0"/>
    <n v="653"/>
    <s v="Centro-Oeste"/>
    <x v="0"/>
    <n v="673.72"/>
    <d v="2024-11-12T00:00:00"/>
  </r>
  <r>
    <n v="100303"/>
    <x v="212"/>
    <s v="Yasmin Araujo"/>
    <s v="CARTÃO DE DÉBITO"/>
    <x v="7"/>
    <x v="2"/>
    <n v="0"/>
    <n v="874"/>
    <s v="Centro-Oeste"/>
    <x v="1"/>
    <n v="558.11"/>
    <d v="2024-11-12T00:00:00"/>
  </r>
  <r>
    <n v="101967"/>
    <x v="109"/>
    <s v="Sandra Vieira"/>
    <s v="TED"/>
    <x v="7"/>
    <x v="1"/>
    <n v="0"/>
    <n v="733"/>
    <s v="Nordeste"/>
    <x v="3"/>
    <n v="428.68"/>
    <d v="2024-11-12T00:00:00"/>
  </r>
  <r>
    <n v="100461"/>
    <x v="134"/>
    <s v="William Santos"/>
    <s v="TED"/>
    <x v="2"/>
    <x v="2"/>
    <n v="0"/>
    <n v="858"/>
    <s v="Não Informado"/>
    <x v="1"/>
    <n v="265.56"/>
    <d v="2024-11-12T00:00:00"/>
  </r>
  <r>
    <n v="101744"/>
    <x v="95"/>
    <s v="Joao Pedro Dias"/>
    <s v="TED"/>
    <x v="3"/>
    <x v="1"/>
    <n v="0"/>
    <n v="823"/>
    <s v="Centro-Oeste"/>
    <x v="0"/>
    <n v="190.29"/>
    <d v="2024-11-12T00:00:00"/>
  </r>
  <r>
    <n v="101195"/>
    <x v="32"/>
    <s v="Carla Mendes"/>
    <s v="CARTÃO DE CRÉDITO"/>
    <x v="0"/>
    <x v="3"/>
    <n v="60"/>
    <n v="324"/>
    <s v="Norte"/>
    <x v="1"/>
    <n v="76.05"/>
    <d v="2024-11-12T00:00:00"/>
  </r>
  <r>
    <n v="101310"/>
    <x v="122"/>
    <s v="Mariana Cardoso"/>
    <s v="CARTÃO DE DÉBITO"/>
    <x v="4"/>
    <x v="1"/>
    <n v="0"/>
    <n v="435"/>
    <s v="Sudeste"/>
    <x v="1"/>
    <m/>
    <d v="2024-11-12T00:00:00"/>
  </r>
  <r>
    <n v="101617"/>
    <x v="7"/>
    <s v="Yasmin Araujo"/>
    <s v="TED"/>
    <x v="0"/>
    <x v="1"/>
    <n v="0"/>
    <n v="494"/>
    <s v="Sudeste"/>
    <x v="1"/>
    <n v="432.09"/>
    <d v="2024-11-11T00:00:00"/>
  </r>
  <r>
    <n v="100354"/>
    <x v="21"/>
    <s v="Yasmin Araujo"/>
    <s v="BOLETO"/>
    <x v="4"/>
    <x v="1"/>
    <s v="Não Informado"/>
    <n v="709"/>
    <s v="Norte"/>
    <x v="2"/>
    <n v="409.66"/>
    <d v="2024-11-11T00:00:00"/>
  </r>
  <r>
    <n v="100094"/>
    <x v="55"/>
    <s v="Carla Mendes"/>
    <s v="TED"/>
    <x v="2"/>
    <x v="1"/>
    <n v="0"/>
    <n v="616"/>
    <s v="Norte"/>
    <x v="2"/>
    <n v="396.42"/>
    <d v="2024-11-11T00:00:00"/>
  </r>
  <r>
    <n v="100379"/>
    <x v="107"/>
    <s v="Carla Mendes"/>
    <s v="TED"/>
    <x v="1"/>
    <x v="1"/>
    <n v="0"/>
    <n v="893"/>
    <s v="Centro-Oeste"/>
    <x v="1"/>
    <n v="350.77"/>
    <d v="2024-11-11T00:00:00"/>
  </r>
  <r>
    <n v="102070"/>
    <x v="67"/>
    <s v="Fabio Costa"/>
    <s v="CARTÃO DE CRÉDITO"/>
    <x v="5"/>
    <x v="1"/>
    <n v="0"/>
    <n v="515"/>
    <s v="Centro-Oeste"/>
    <x v="2"/>
    <n v="101.56"/>
    <d v="2024-11-11T00:00:00"/>
  </r>
  <r>
    <n v="101505"/>
    <x v="28"/>
    <s v="Lucas Martins"/>
    <s v="BOLETO"/>
    <x v="0"/>
    <x v="1"/>
    <n v="0"/>
    <n v="843"/>
    <s v="Centro-Oeste"/>
    <x v="1"/>
    <n v="682.05"/>
    <d v="2024-11-10T00:00:00"/>
  </r>
  <r>
    <n v="101325"/>
    <x v="69"/>
    <s v="Ana Souza"/>
    <s v="BOLETO"/>
    <x v="5"/>
    <x v="1"/>
    <n v="0"/>
    <n v="741"/>
    <s v="Nordeste"/>
    <x v="0"/>
    <n v="299.10000000000002"/>
    <d v="2024-11-10T00:00:00"/>
  </r>
  <r>
    <n v="100178"/>
    <x v="246"/>
    <s v="Otavio Ramos"/>
    <s v="CARTÃO DE CRÉDITO"/>
    <x v="2"/>
    <x v="1"/>
    <n v="0"/>
    <n v="351"/>
    <s v="Sul"/>
    <x v="1"/>
    <n v="170.58"/>
    <d v="2024-11-10T00:00:00"/>
  </r>
  <r>
    <n v="100023"/>
    <x v="197"/>
    <s v="Mariana Cardoso"/>
    <s v="CARTÃO DE DÉBITO"/>
    <x v="5"/>
    <x v="2"/>
    <n v="0"/>
    <n v="897"/>
    <s v="Centro-Oeste"/>
    <x v="1"/>
    <n v="103.78"/>
    <d v="2024-11-10T00:00:00"/>
  </r>
  <r>
    <n v="100944"/>
    <x v="181"/>
    <s v="Diego Alves"/>
    <s v="CARTÃO DE DÉBITO"/>
    <x v="4"/>
    <x v="1"/>
    <n v="0"/>
    <n v="534"/>
    <s v="Centro-Oeste"/>
    <x v="1"/>
    <n v="733.02"/>
    <d v="2024-11-09T00:00:00"/>
  </r>
  <r>
    <n v="100237"/>
    <x v="71"/>
    <s v="Caio Monteiro"/>
    <s v="BOLETO"/>
    <x v="2"/>
    <x v="1"/>
    <n v="0"/>
    <n v="615"/>
    <s v="Norte"/>
    <x v="0"/>
    <n v="337.29"/>
    <d v="2024-11-09T00:00:00"/>
  </r>
  <r>
    <n v="101766"/>
    <x v="14"/>
    <s v="Heitor Barbosa"/>
    <s v="TED"/>
    <x v="3"/>
    <x v="1"/>
    <n v="0"/>
    <n v="603"/>
    <s v="Sul"/>
    <x v="0"/>
    <n v="119.25"/>
    <d v="2024-11-09T00:00:00"/>
  </r>
  <r>
    <n v="100710"/>
    <x v="255"/>
    <s v="Isabela Nunes"/>
    <s v="CARTÃO DE CRÉDITO"/>
    <x v="7"/>
    <x v="2"/>
    <n v="0"/>
    <n v="496"/>
    <s v="Norte"/>
    <x v="2"/>
    <n v="45.52"/>
    <d v="2024-11-09T00:00:00"/>
  </r>
  <r>
    <n v="101574"/>
    <x v="22"/>
    <s v="Heitor Barbosa"/>
    <s v="CARTÃO DE CRÉDITO"/>
    <x v="6"/>
    <x v="1"/>
    <n v="0"/>
    <n v="607"/>
    <s v="Nordeste"/>
    <x v="2"/>
    <m/>
    <d v="2024-11-09T00:00:00"/>
  </r>
  <r>
    <n v="100196"/>
    <x v="9"/>
    <s v="Isabela Nunes"/>
    <s v="TED"/>
    <x v="2"/>
    <x v="2"/>
    <s v="Não Informado"/>
    <n v="678"/>
    <s v="Nordeste"/>
    <x v="2"/>
    <n v="637.38"/>
    <d v="2024-11-08T00:00:00"/>
  </r>
  <r>
    <n v="101626"/>
    <x v="5"/>
    <s v="Bruno Lima"/>
    <s v="CARTÃO DE CRÉDITO"/>
    <x v="7"/>
    <x v="3"/>
    <n v="46"/>
    <n v="434"/>
    <s v="Nordeste"/>
    <x v="1"/>
    <n v="598.28"/>
    <d v="2024-11-08T00:00:00"/>
  </r>
  <r>
    <n v="100556"/>
    <x v="206"/>
    <s v="Carla Mendes"/>
    <s v="CARTÃO DE CRÉDITO"/>
    <x v="3"/>
    <x v="1"/>
    <s v="Não Informado"/>
    <n v="468"/>
    <s v="Centro-Oeste"/>
    <x v="2"/>
    <n v="368.5"/>
    <d v="2024-11-08T00:00:00"/>
  </r>
  <r>
    <n v="101504"/>
    <x v="32"/>
    <s v="Carla Mendes"/>
    <s v="CARTÃO DE DÉBITO"/>
    <x v="5"/>
    <x v="1"/>
    <s v="Não Informado"/>
    <n v="324"/>
    <s v="Centro-Oeste"/>
    <x v="1"/>
    <n v="440.39"/>
    <d v="2024-11-07T00:00:00"/>
  </r>
  <r>
    <n v="100763"/>
    <x v="157"/>
    <s v="Patricia Gomes"/>
    <s v="PIX"/>
    <x v="3"/>
    <x v="1"/>
    <n v="0"/>
    <n v="849"/>
    <s v="Centro-Oeste"/>
    <x v="0"/>
    <n v="283.7"/>
    <d v="2024-11-07T00:00:00"/>
  </r>
  <r>
    <n v="101690"/>
    <x v="214"/>
    <s v="Lucas Martins"/>
    <s v="PIX"/>
    <x v="3"/>
    <x v="1"/>
    <n v="0"/>
    <n v="494"/>
    <s v="Sul"/>
    <x v="0"/>
    <n v="211.41"/>
    <d v="2024-11-07T00:00:00"/>
  </r>
  <r>
    <n v="100497"/>
    <x v="4"/>
    <s v="Bianca Freitas"/>
    <s v="CARTÃO DE DÉBITO"/>
    <x v="5"/>
    <x v="1"/>
    <n v="0"/>
    <n v="623"/>
    <s v="Sul"/>
    <x v="1"/>
    <m/>
    <d v="2024-11-07T00:00:00"/>
  </r>
  <r>
    <n v="101042"/>
    <x v="79"/>
    <s v="Yasmin Araujo"/>
    <s v="CARTÃO DE CRÉDITO"/>
    <x v="4"/>
    <x v="2"/>
    <n v="0"/>
    <n v="752"/>
    <s v="Norte"/>
    <x v="2"/>
    <n v="807.96"/>
    <d v="2024-11-06T00:00:00"/>
  </r>
  <r>
    <n v="100272"/>
    <x v="90"/>
    <s v="Elaine Ferreira"/>
    <s v="TED"/>
    <x v="1"/>
    <x v="1"/>
    <n v="0"/>
    <n v="659"/>
    <s v="Sudeste"/>
    <x v="1"/>
    <n v="391.42"/>
    <d v="2024-11-06T00:00:00"/>
  </r>
  <r>
    <n v="100116"/>
    <x v="194"/>
    <s v="Heitor Barbosa"/>
    <s v="PIX"/>
    <x v="0"/>
    <x v="2"/>
    <n v="0"/>
    <n v="396"/>
    <s v="Sul"/>
    <x v="1"/>
    <n v="318.41000000000003"/>
    <d v="2024-11-06T00:00:00"/>
  </r>
  <r>
    <n v="101756"/>
    <x v="244"/>
    <s v="Karina Silva"/>
    <s v="BOLETO"/>
    <x v="7"/>
    <x v="0"/>
    <n v="3"/>
    <n v="753"/>
    <s v="Sudeste"/>
    <x v="2"/>
    <n v="312.79000000000002"/>
    <d v="2024-11-06T00:00:00"/>
  </r>
  <r>
    <n v="100855"/>
    <x v="256"/>
    <s v="William Santos"/>
    <s v="BOLETO"/>
    <x v="4"/>
    <x v="1"/>
    <n v="0"/>
    <n v="422"/>
    <s v="Sul"/>
    <x v="1"/>
    <n v="126.17"/>
    <d v="2024-11-06T00:00:00"/>
  </r>
  <r>
    <n v="101455"/>
    <x v="17"/>
    <s v="Rafael Pereira"/>
    <s v="CARTÃO DE CRÉDITO"/>
    <x v="7"/>
    <x v="1"/>
    <n v="0"/>
    <n v="554"/>
    <s v="Centro-Oeste"/>
    <x v="2"/>
    <n v="757.15"/>
    <d v="2024-11-05T00:00:00"/>
  </r>
  <r>
    <n v="101957"/>
    <x v="173"/>
    <s v="Mariana Cardoso"/>
    <s v="CARTÃO DE CRÉDITO"/>
    <x v="3"/>
    <x v="1"/>
    <n v="0"/>
    <n v="621"/>
    <s v="Nordeste"/>
    <x v="0"/>
    <n v="311.2"/>
    <d v="2024-11-05T00:00:00"/>
  </r>
  <r>
    <n v="102049"/>
    <x v="11"/>
    <s v="Yasmin Araujo"/>
    <s v="BOLETO"/>
    <x v="1"/>
    <x v="1"/>
    <n v="0"/>
    <n v="694"/>
    <s v="Nordeste"/>
    <x v="0"/>
    <n v="214.09"/>
    <d v="2024-11-05T00:00:00"/>
  </r>
  <r>
    <n v="101396"/>
    <x v="182"/>
    <s v="Gabriela Rocha"/>
    <s v="TED"/>
    <x v="3"/>
    <x v="2"/>
    <n v="0"/>
    <n v="358"/>
    <s v="Sul"/>
    <x v="1"/>
    <n v="206.8"/>
    <d v="2024-11-05T00:00:00"/>
  </r>
  <r>
    <n v="101535"/>
    <x v="183"/>
    <s v="Fabio Costa"/>
    <s v="TED"/>
    <x v="7"/>
    <x v="1"/>
    <n v="0"/>
    <n v="759"/>
    <s v="Sul"/>
    <x v="1"/>
    <n v="127.6"/>
    <d v="2024-11-05T00:00:00"/>
  </r>
  <r>
    <n v="101875"/>
    <x v="29"/>
    <s v="Carla Mendes"/>
    <s v="PIX"/>
    <x v="6"/>
    <x v="1"/>
    <s v="Não Informado"/>
    <n v="394"/>
    <s v="Centro-Oeste"/>
    <x v="0"/>
    <n v="1199.21"/>
    <d v="2024-11-04T00:00:00"/>
  </r>
  <r>
    <n v="100360"/>
    <x v="180"/>
    <s v="Vanessa Duarte"/>
    <s v="CARTÃO DE DÉBITO"/>
    <x v="7"/>
    <x v="2"/>
    <n v="0"/>
    <n v="482"/>
    <s v="Centro-Oeste"/>
    <x v="1"/>
    <n v="899.83"/>
    <d v="2024-11-04T00:00:00"/>
  </r>
  <r>
    <n v="100580"/>
    <x v="206"/>
    <s v="Carla Mendes"/>
    <s v="CARTÃO DE CRÉDITO"/>
    <x v="4"/>
    <x v="1"/>
    <n v="0"/>
    <n v="468"/>
    <s v="Nordeste"/>
    <x v="1"/>
    <n v="607.73"/>
    <d v="2024-11-04T00:00:00"/>
  </r>
  <r>
    <n v="101205"/>
    <x v="225"/>
    <s v="Isabela Nunes"/>
    <s v="TED"/>
    <x v="7"/>
    <x v="2"/>
    <n v="0"/>
    <n v="638"/>
    <s v="Sul"/>
    <x v="0"/>
    <n v="474.02"/>
    <d v="2024-11-04T00:00:00"/>
  </r>
  <r>
    <n v="101687"/>
    <x v="25"/>
    <s v="Sandra Vieira"/>
    <s v="PIX"/>
    <x v="5"/>
    <x v="0"/>
    <n v="21"/>
    <n v="309"/>
    <s v="Centro-Oeste"/>
    <x v="1"/>
    <n v="458.32"/>
    <d v="2024-11-04T00:00:00"/>
  </r>
  <r>
    <n v="101853"/>
    <x v="186"/>
    <s v="Diego Alves"/>
    <s v="CARTÃO DE CRÉDITO"/>
    <x v="4"/>
    <x v="2"/>
    <n v="0"/>
    <n v="737"/>
    <s v="Centro-Oeste"/>
    <x v="1"/>
    <n v="141.52000000000001"/>
    <d v="2024-11-04T00:00:00"/>
  </r>
  <r>
    <n v="101984"/>
    <x v="215"/>
    <s v="Patricia Gomes"/>
    <s v="CARTÃO DE CRÉDITO"/>
    <x v="3"/>
    <x v="2"/>
    <n v="0"/>
    <n v="459"/>
    <s v="Sudeste"/>
    <x v="3"/>
    <n v="136.08000000000001"/>
    <d v="2024-11-04T00:00:00"/>
  </r>
  <r>
    <n v="100764"/>
    <x v="43"/>
    <s v="Vanessa Duarte"/>
    <s v="BOLETO"/>
    <x v="0"/>
    <x v="1"/>
    <n v="0"/>
    <n v="713"/>
    <s v="Norte"/>
    <x v="1"/>
    <n v="487.53"/>
    <d v="2024-11-03T00:00:00"/>
  </r>
  <r>
    <n v="100434"/>
    <x v="249"/>
    <s v="Isabela Nunes"/>
    <s v="CARTÃO DE DÉBITO"/>
    <x v="2"/>
    <x v="1"/>
    <n v="0"/>
    <n v="358"/>
    <s v="Sul"/>
    <x v="0"/>
    <n v="472.51"/>
    <d v="2024-11-03T00:00:00"/>
  </r>
  <r>
    <n v="101529"/>
    <x v="28"/>
    <s v="Lucas Martins"/>
    <s v="CARTÃO DE DÉBITO"/>
    <x v="1"/>
    <x v="1"/>
    <n v="0"/>
    <n v="843"/>
    <s v="Sul"/>
    <x v="2"/>
    <n v="398.91"/>
    <d v="2024-11-03T00:00:00"/>
  </r>
  <r>
    <n v="102015"/>
    <x v="70"/>
    <s v="Rafael Pereira"/>
    <s v="TED"/>
    <x v="4"/>
    <x v="1"/>
    <n v="0"/>
    <n v="555"/>
    <s v="Centro-Oeste"/>
    <x v="1"/>
    <n v="281.25"/>
    <d v="2024-11-03T00:00:00"/>
  </r>
  <r>
    <n v="100493"/>
    <x v="211"/>
    <s v="Elaine Ferreira"/>
    <s v="CARTÃO DE CRÉDITO"/>
    <x v="7"/>
    <x v="3"/>
    <n v="119"/>
    <n v="550"/>
    <s v="Centro-Oeste"/>
    <x v="2"/>
    <n v="878.34"/>
    <d v="2024-11-02T00:00:00"/>
  </r>
  <r>
    <n v="101735"/>
    <x v="241"/>
    <s v="Ana Souza"/>
    <s v="BOLETO"/>
    <x v="7"/>
    <x v="2"/>
    <n v="0"/>
    <n v="339"/>
    <s v="Sudeste"/>
    <x v="1"/>
    <n v="775.66"/>
    <d v="2024-11-02T00:00:00"/>
  </r>
  <r>
    <n v="100169"/>
    <x v="82"/>
    <s v="Vanessa Duarte"/>
    <s v="TED"/>
    <x v="7"/>
    <x v="1"/>
    <n v="0"/>
    <n v="352"/>
    <s v="Sul"/>
    <x v="1"/>
    <n v="114.26"/>
    <d v="2024-11-02T00:00:00"/>
  </r>
  <r>
    <n v="100479"/>
    <x v="16"/>
    <s v="Bianca Freitas"/>
    <s v="CARTÃO DE CRÉDITO"/>
    <x v="3"/>
    <x v="2"/>
    <n v="0"/>
    <n v="778"/>
    <s v="Centro-Oeste"/>
    <x v="2"/>
    <n v="396.95"/>
    <d v="2024-11-01T00:00:00"/>
  </r>
  <r>
    <n v="101214"/>
    <x v="9"/>
    <s v="Isabela Nunes"/>
    <s v="CARTÃO DE CRÉDITO"/>
    <x v="3"/>
    <x v="2"/>
    <n v="0"/>
    <n v="678"/>
    <s v="Centro-Oeste"/>
    <x v="1"/>
    <n v="291.39999999999998"/>
    <d v="2024-11-01T00:00:00"/>
  </r>
  <r>
    <n v="100872"/>
    <x v="226"/>
    <s v="Diego Alves"/>
    <s v="BOLETO"/>
    <x v="6"/>
    <x v="1"/>
    <n v="0"/>
    <n v="781"/>
    <s v="Norte"/>
    <x v="0"/>
    <n v="208.59"/>
    <d v="2024-11-01T00:00:00"/>
  </r>
  <r>
    <n v="101208"/>
    <x v="11"/>
    <s v="Yasmin Araujo"/>
    <s v="PIX"/>
    <x v="0"/>
    <x v="3"/>
    <n v="97"/>
    <n v="694"/>
    <s v="Nordeste"/>
    <x v="2"/>
    <n v="111.91"/>
    <d v="2024-11-01T00:00:00"/>
  </r>
  <r>
    <n v="100097"/>
    <x v="223"/>
    <s v="Caio Monteiro"/>
    <s v="CARTÃO DE CRÉDITO"/>
    <x v="3"/>
    <x v="3"/>
    <n v="84"/>
    <n v="342"/>
    <s v="Centro-Oeste"/>
    <x v="0"/>
    <n v="1035.4000000000001"/>
    <d v="2024-10-31T00:00:00"/>
  </r>
  <r>
    <n v="101888"/>
    <x v="225"/>
    <s v="Isabela Nunes"/>
    <s v="PIX"/>
    <x v="7"/>
    <x v="2"/>
    <n v="0"/>
    <n v="638"/>
    <s v="Nordeste"/>
    <x v="2"/>
    <n v="312.27"/>
    <d v="2024-10-31T00:00:00"/>
  </r>
  <r>
    <n v="101547"/>
    <x v="166"/>
    <s v="Bianca Freitas"/>
    <s v="TED"/>
    <x v="1"/>
    <x v="1"/>
    <n v="0"/>
    <n v="490"/>
    <s v="Sudeste"/>
    <x v="0"/>
    <m/>
    <d v="2024-10-31T00:00:00"/>
  </r>
  <r>
    <n v="101672"/>
    <x v="159"/>
    <s v="Bianca Freitas"/>
    <s v="CARTÃO DE DÉBITO"/>
    <x v="1"/>
    <x v="1"/>
    <n v="0"/>
    <n v="375"/>
    <s v="Sul"/>
    <x v="1"/>
    <n v="81.05"/>
    <d v="2024-10-30T00:00:00"/>
  </r>
  <r>
    <n v="100172"/>
    <x v="223"/>
    <s v="Caio Monteiro"/>
    <s v="BOLETO"/>
    <x v="1"/>
    <x v="1"/>
    <n v="0"/>
    <n v="342"/>
    <s v="Centro-Oeste"/>
    <x v="2"/>
    <n v="409.95"/>
    <d v="2024-10-29T00:00:00"/>
  </r>
  <r>
    <n v="102003"/>
    <x v="195"/>
    <s v="Joao Pedro Dias"/>
    <s v="PIX"/>
    <x v="3"/>
    <x v="2"/>
    <n v="0"/>
    <n v="873"/>
    <s v="Nordeste"/>
    <x v="0"/>
    <n v="344.44"/>
    <d v="2024-10-29T00:00:00"/>
  </r>
  <r>
    <n v="100200"/>
    <x v="43"/>
    <s v="Vanessa Duarte"/>
    <s v="CARTÃO DE CRÉDITO"/>
    <x v="7"/>
    <x v="1"/>
    <n v="0"/>
    <n v="713"/>
    <s v="Sudeste"/>
    <x v="2"/>
    <n v="399.92"/>
    <d v="2024-10-28T00:00:00"/>
  </r>
  <r>
    <n v="100617"/>
    <x v="118"/>
    <s v="Bruno Lima"/>
    <s v="BOLETO"/>
    <x v="2"/>
    <x v="3"/>
    <n v="157"/>
    <n v="458"/>
    <s v="Centro-Oeste"/>
    <x v="2"/>
    <n v="355.25"/>
    <d v="2024-10-28T00:00:00"/>
  </r>
  <r>
    <n v="100996"/>
    <x v="103"/>
    <s v="Ana Souza"/>
    <s v="BOLETO"/>
    <x v="7"/>
    <x v="1"/>
    <s v="Não Informado"/>
    <n v="819"/>
    <s v="Norte"/>
    <x v="2"/>
    <n v="294.57"/>
    <d v="2024-10-28T00:00:00"/>
  </r>
  <r>
    <n v="101256"/>
    <x v="12"/>
    <s v="Patricia Gomes"/>
    <s v="BOLETO"/>
    <x v="0"/>
    <x v="1"/>
    <n v="0"/>
    <n v="708"/>
    <s v="Sudeste"/>
    <x v="0"/>
    <n v="291.60000000000002"/>
    <d v="2024-10-28T00:00:00"/>
  </r>
  <r>
    <n v="101689"/>
    <x v="14"/>
    <s v="Heitor Barbosa"/>
    <s v="CARTÃO DE DÉBITO"/>
    <x v="5"/>
    <x v="2"/>
    <n v="0"/>
    <n v="603"/>
    <s v="Sul"/>
    <x v="2"/>
    <n v="287.70999999999998"/>
    <d v="2024-10-28T00:00:00"/>
  </r>
  <r>
    <n v="101409"/>
    <x v="113"/>
    <s v="Caio Monteiro"/>
    <s v="TED"/>
    <x v="3"/>
    <x v="1"/>
    <n v="0"/>
    <n v="308"/>
    <s v="Centro-Oeste"/>
    <x v="3"/>
    <n v="466.46"/>
    <d v="2024-10-27T00:00:00"/>
  </r>
  <r>
    <n v="102106"/>
    <x v="131"/>
    <s v="William Santos"/>
    <s v="TED"/>
    <x v="0"/>
    <x v="1"/>
    <n v="0"/>
    <n v="355"/>
    <s v="Sudeste"/>
    <x v="2"/>
    <n v="262.12"/>
    <d v="2024-10-27T00:00:00"/>
  </r>
  <r>
    <n v="101043"/>
    <x v="87"/>
    <s v="Karina Silva"/>
    <s v="BOLETO"/>
    <x v="0"/>
    <x v="3"/>
    <n v="69"/>
    <n v="672"/>
    <s v="Sudeste"/>
    <x v="1"/>
    <n v="278.18"/>
    <d v="2024-10-26T00:00:00"/>
  </r>
  <r>
    <n v="101202"/>
    <x v="193"/>
    <s v="Isabela Nunes"/>
    <s v="TED"/>
    <x v="1"/>
    <x v="1"/>
    <n v="0"/>
    <n v="377"/>
    <s v="Nordeste"/>
    <x v="0"/>
    <n v="206.07"/>
    <d v="2024-10-26T00:00:00"/>
  </r>
  <r>
    <n v="101384"/>
    <x v="224"/>
    <s v="Fabio Costa"/>
    <s v="TED"/>
    <x v="3"/>
    <x v="0"/>
    <n v="20"/>
    <n v="483"/>
    <s v="Sudeste"/>
    <x v="0"/>
    <n v="180.53"/>
    <d v="2024-10-26T00:00:00"/>
  </r>
  <r>
    <n v="102190"/>
    <x v="158"/>
    <s v="Heitor Barbosa"/>
    <s v="CARTÃO DE CRÉDITO"/>
    <x v="0"/>
    <x v="0"/>
    <n v="7"/>
    <n v="771"/>
    <s v="Sudeste"/>
    <x v="1"/>
    <n v="103.48"/>
    <d v="2024-10-26T00:00:00"/>
  </r>
  <r>
    <n v="101791"/>
    <x v="96"/>
    <s v="Rafael Pereira"/>
    <s v="CARTÃO DE CRÉDITO"/>
    <x v="7"/>
    <x v="1"/>
    <n v="0"/>
    <n v="567"/>
    <s v="Sul"/>
    <x v="3"/>
    <n v="43.47"/>
    <d v="2024-10-26T00:00:00"/>
  </r>
  <r>
    <n v="101684"/>
    <x v="44"/>
    <s v="Carla Mendes"/>
    <s v="CARTÃO DE DÉBITO"/>
    <x v="4"/>
    <x v="1"/>
    <n v="0"/>
    <n v="528"/>
    <s v="Norte"/>
    <x v="1"/>
    <n v="20.38"/>
    <d v="2024-10-26T00:00:00"/>
  </r>
  <r>
    <n v="100333"/>
    <x v="207"/>
    <s v="Heitor Barbosa"/>
    <s v="PIX"/>
    <x v="0"/>
    <x v="0"/>
    <n v="20"/>
    <n v="647"/>
    <s v="Norte"/>
    <x v="2"/>
    <n v="939.9"/>
    <d v="2024-10-25T00:00:00"/>
  </r>
  <r>
    <n v="100934"/>
    <x v="88"/>
    <s v="Elaine Ferreira"/>
    <s v="PIX"/>
    <x v="0"/>
    <x v="0"/>
    <n v="27"/>
    <n v="773"/>
    <s v="Norte"/>
    <x v="0"/>
    <n v="379.16"/>
    <d v="2024-10-25T00:00:00"/>
  </r>
  <r>
    <n v="100374"/>
    <x v="35"/>
    <s v="Caio Monteiro"/>
    <s v="CARTÃO DE CRÉDITO"/>
    <x v="2"/>
    <x v="3"/>
    <n v="47"/>
    <n v="852"/>
    <s v="Não Informado"/>
    <x v="1"/>
    <n v="322.82"/>
    <d v="2024-10-25T00:00:00"/>
  </r>
  <r>
    <n v="101696"/>
    <x v="163"/>
    <s v="Bruno Lima"/>
    <s v="PIX"/>
    <x v="2"/>
    <x v="0"/>
    <n v="11"/>
    <n v="548"/>
    <s v="Sul"/>
    <x v="0"/>
    <n v="968.75"/>
    <d v="2024-10-24T00:00:00"/>
  </r>
  <r>
    <n v="101421"/>
    <x v="181"/>
    <s v="Diego Alves"/>
    <s v="CARTÃO DE DÉBITO"/>
    <x v="3"/>
    <x v="1"/>
    <n v="0"/>
    <n v="534"/>
    <s v="Nordeste"/>
    <x v="1"/>
    <n v="654.98"/>
    <d v="2024-10-24T00:00:00"/>
  </r>
  <r>
    <n v="100098"/>
    <x v="84"/>
    <s v="Mariana Cardoso"/>
    <s v="CARTÃO DE CRÉDITO"/>
    <x v="5"/>
    <x v="1"/>
    <n v="0"/>
    <n v="437"/>
    <s v="Nordeste"/>
    <x v="1"/>
    <n v="466.52"/>
    <d v="2024-10-24T00:00:00"/>
  </r>
  <r>
    <n v="100240"/>
    <x v="226"/>
    <s v="Diego Alves"/>
    <s v="TED"/>
    <x v="4"/>
    <x v="1"/>
    <n v="0"/>
    <n v="781"/>
    <s v="Centro-Oeste"/>
    <x v="1"/>
    <m/>
    <d v="2024-10-24T00:00:00"/>
  </r>
  <r>
    <n v="101080"/>
    <x v="103"/>
    <s v="Ana Souza"/>
    <s v="TED"/>
    <x v="7"/>
    <x v="1"/>
    <n v="0"/>
    <n v="819"/>
    <s v="Sudeste"/>
    <x v="2"/>
    <n v="1084.3699999999999"/>
    <d v="2024-10-23T00:00:00"/>
  </r>
  <r>
    <n v="100856"/>
    <x v="34"/>
    <s v="Debora Pinto"/>
    <s v="CARTÃO DE DÉBITO"/>
    <x v="3"/>
    <x v="1"/>
    <n v="0"/>
    <n v="585"/>
    <s v="Sul"/>
    <x v="2"/>
    <n v="290.58999999999997"/>
    <d v="2024-10-23T00:00:00"/>
  </r>
  <r>
    <n v="100745"/>
    <x v="87"/>
    <s v="Karina Silva"/>
    <s v="BOLETO"/>
    <x v="5"/>
    <x v="1"/>
    <n v="0"/>
    <n v="672"/>
    <s v="Sul"/>
    <x v="2"/>
    <n v="207.29"/>
    <d v="2024-10-23T00:00:00"/>
  </r>
  <r>
    <n v="101091"/>
    <x v="208"/>
    <s v="Heitor Barbosa"/>
    <s v="CARTÃO DE CRÉDITO"/>
    <x v="7"/>
    <x v="1"/>
    <n v="0"/>
    <n v="418"/>
    <s v="Sudeste"/>
    <x v="2"/>
    <n v="61.39"/>
    <d v="2024-10-23T00:00:00"/>
  </r>
  <r>
    <n v="101462"/>
    <x v="227"/>
    <s v="Heitor Barbosa"/>
    <s v="CARTÃO DE DÉBITO"/>
    <x v="7"/>
    <x v="1"/>
    <n v="0"/>
    <n v="461"/>
    <s v="Sul"/>
    <x v="0"/>
    <n v="357.04"/>
    <d v="2024-10-22T00:00:00"/>
  </r>
  <r>
    <n v="101916"/>
    <x v="230"/>
    <s v="Bruno Lima"/>
    <s v="CARTÃO DE DÉBITO"/>
    <x v="2"/>
    <x v="1"/>
    <n v="0"/>
    <n v="716"/>
    <s v="Não Informado"/>
    <x v="1"/>
    <n v="122.38"/>
    <d v="2024-10-22T00:00:00"/>
  </r>
  <r>
    <n v="101383"/>
    <x v="218"/>
    <s v="Caio Monteiro"/>
    <s v="CARTÃO DE CRÉDITO"/>
    <x v="3"/>
    <x v="1"/>
    <n v="0"/>
    <n v="748"/>
    <s v="Sul"/>
    <x v="2"/>
    <n v="1102.82"/>
    <d v="2024-10-21T00:00:00"/>
  </r>
  <r>
    <n v="101377"/>
    <x v="211"/>
    <s v="Elaine Ferreira"/>
    <s v="BOLETO"/>
    <x v="4"/>
    <x v="0"/>
    <n v="20"/>
    <n v="550"/>
    <s v="Sudeste"/>
    <x v="1"/>
    <n v="674.98"/>
    <d v="2024-10-21T00:00:00"/>
  </r>
  <r>
    <n v="102036"/>
    <x v="130"/>
    <s v="Bruno Lima"/>
    <s v="TED"/>
    <x v="3"/>
    <x v="1"/>
    <n v="0"/>
    <n v="515"/>
    <s v="Centro-Oeste"/>
    <x v="2"/>
    <n v="599.41999999999996"/>
    <d v="2024-10-21T00:00:00"/>
  </r>
  <r>
    <n v="101575"/>
    <x v="56"/>
    <s v="Mariana Cardoso"/>
    <s v="CARTÃO DE DÉBITO"/>
    <x v="5"/>
    <x v="1"/>
    <n v="0"/>
    <n v="418"/>
    <s v="Sudeste"/>
    <x v="1"/>
    <n v="253.69"/>
    <d v="2024-10-21T00:00:00"/>
  </r>
  <r>
    <n v="100267"/>
    <x v="197"/>
    <s v="Mariana Cardoso"/>
    <s v="TED"/>
    <x v="0"/>
    <x v="1"/>
    <n v="0"/>
    <n v="897"/>
    <s v="Sul"/>
    <x v="1"/>
    <n v="310.36"/>
    <d v="2024-10-20T00:00:00"/>
  </r>
  <r>
    <n v="100121"/>
    <x v="27"/>
    <s v="William Santos"/>
    <s v="PIX"/>
    <x v="2"/>
    <x v="1"/>
    <n v="0"/>
    <n v="716"/>
    <s v="Norte"/>
    <x v="2"/>
    <n v="162.13999999999999"/>
    <d v="2024-10-20T00:00:00"/>
  </r>
  <r>
    <n v="101951"/>
    <x v="198"/>
    <s v="Gabriela Rocha"/>
    <s v="CARTÃO DE DÉBITO"/>
    <x v="5"/>
    <x v="2"/>
    <n v="0"/>
    <n v="518"/>
    <s v="Norte"/>
    <x v="1"/>
    <n v="150.07"/>
    <d v="2024-10-20T00:00:00"/>
  </r>
  <r>
    <n v="101994"/>
    <x v="87"/>
    <s v="Karina Silva"/>
    <s v="CARTÃO DE CRÉDITO"/>
    <x v="3"/>
    <x v="3"/>
    <n v="118"/>
    <n v="672"/>
    <s v="Centro-Oeste"/>
    <x v="0"/>
    <n v="87.69"/>
    <d v="2024-10-20T00:00:00"/>
  </r>
  <r>
    <n v="100871"/>
    <x v="224"/>
    <s v="Fabio Costa"/>
    <s v="BOLETO"/>
    <x v="0"/>
    <x v="1"/>
    <n v="0"/>
    <n v="483"/>
    <s v="Sudeste"/>
    <x v="2"/>
    <n v="987.46"/>
    <d v="2024-10-19T00:00:00"/>
  </r>
  <r>
    <n v="101693"/>
    <x v="106"/>
    <s v="Carla Mendes"/>
    <s v="CARTÃO DE DÉBITO"/>
    <x v="0"/>
    <x v="3"/>
    <n v="66"/>
    <n v="501"/>
    <s v="Norte"/>
    <x v="0"/>
    <n v="259.89999999999998"/>
    <d v="2024-10-19T00:00:00"/>
  </r>
  <r>
    <n v="101211"/>
    <x v="78"/>
    <s v="Elaine Ferreira"/>
    <s v="CARTÃO DE DÉBITO"/>
    <x v="4"/>
    <x v="0"/>
    <n v="15"/>
    <n v="409"/>
    <s v="Nordeste"/>
    <x v="1"/>
    <n v="169.62"/>
    <d v="2024-10-19T00:00:00"/>
  </r>
  <r>
    <n v="101639"/>
    <x v="257"/>
    <s v="Não Informado"/>
    <s v="CARTÃO DE CRÉDITO"/>
    <x v="3"/>
    <x v="1"/>
    <n v="0"/>
    <n v="666"/>
    <s v="Sul"/>
    <x v="1"/>
    <n v="125.41"/>
    <d v="2024-10-19T00:00:00"/>
  </r>
  <r>
    <n v="101914"/>
    <x v="70"/>
    <s v="Rafael Pereira"/>
    <s v="BOLETO"/>
    <x v="3"/>
    <x v="2"/>
    <n v="0"/>
    <n v="555"/>
    <s v="Sul"/>
    <x v="2"/>
    <n v="1135.98"/>
    <d v="2024-10-18T00:00:00"/>
  </r>
  <r>
    <n v="102101"/>
    <x v="107"/>
    <s v="Carla Mendes"/>
    <s v="CARTÃO DE CRÉDITO"/>
    <x v="0"/>
    <x v="1"/>
    <n v="0"/>
    <n v="893"/>
    <s v="Nordeste"/>
    <x v="0"/>
    <n v="382.52"/>
    <d v="2024-10-18T00:00:00"/>
  </r>
  <r>
    <n v="100702"/>
    <x v="128"/>
    <s v="Não Informado"/>
    <s v="CARTÃO DE CRÉDITO"/>
    <x v="3"/>
    <x v="1"/>
    <n v="0"/>
    <n v="395"/>
    <s v="Centro-Oeste"/>
    <x v="1"/>
    <m/>
    <d v="2024-10-18T00:00:00"/>
  </r>
  <r>
    <n v="102159"/>
    <x v="68"/>
    <s v="Carla Mendes"/>
    <s v="CARTÃO DE DÉBITO"/>
    <x v="0"/>
    <x v="1"/>
    <n v="0"/>
    <n v="400"/>
    <s v="Sul"/>
    <x v="1"/>
    <n v="808.39"/>
    <d v="2024-10-17T00:00:00"/>
  </r>
  <r>
    <n v="100359"/>
    <x v="24"/>
    <s v="Rafael Pereira"/>
    <s v="BOLETO"/>
    <x v="3"/>
    <x v="1"/>
    <n v="0"/>
    <n v="458"/>
    <s v="Centro-Oeste"/>
    <x v="1"/>
    <n v="465.8"/>
    <d v="2024-10-17T00:00:00"/>
  </r>
  <r>
    <n v="101945"/>
    <x v="248"/>
    <s v="Isabela Nunes"/>
    <s v="CARTÃO DE CRÉDITO"/>
    <x v="2"/>
    <x v="1"/>
    <n v="0"/>
    <n v="841"/>
    <s v="Nordeste"/>
    <x v="2"/>
    <n v="454.66"/>
    <d v="2024-10-17T00:00:00"/>
  </r>
  <r>
    <n v="101197"/>
    <x v="234"/>
    <s v="Ana Souza"/>
    <s v="CARTÃO DE CRÉDITO"/>
    <x v="0"/>
    <x v="1"/>
    <n v="0"/>
    <n v="494"/>
    <s v="Sudeste"/>
    <x v="1"/>
    <n v="311.24"/>
    <d v="2024-10-17T00:00:00"/>
  </r>
  <r>
    <n v="102080"/>
    <x v="75"/>
    <s v="Carla Mendes"/>
    <s v="CARTÃO DE DÉBITO"/>
    <x v="6"/>
    <x v="2"/>
    <n v="0"/>
    <n v="798"/>
    <s v="Sudeste"/>
    <x v="1"/>
    <n v="237.38"/>
    <d v="2024-10-17T00:00:00"/>
  </r>
  <r>
    <n v="102110"/>
    <x v="159"/>
    <s v="Bianca Freitas"/>
    <s v="TED"/>
    <x v="5"/>
    <x v="3"/>
    <n v="164"/>
    <n v="375"/>
    <s v="Sudeste"/>
    <x v="2"/>
    <n v="76.11"/>
    <d v="2024-10-17T00:00:00"/>
  </r>
  <r>
    <n v="100865"/>
    <x v="202"/>
    <s v="Rafael Pereira"/>
    <s v="CARTÃO DE DÉBITO"/>
    <x v="4"/>
    <x v="2"/>
    <n v="0"/>
    <n v="641"/>
    <s v="Norte"/>
    <x v="1"/>
    <n v="371.85"/>
    <d v="2024-10-16T00:00:00"/>
  </r>
  <r>
    <n v="100862"/>
    <x v="178"/>
    <s v="Isabela Nunes"/>
    <s v="BOLETO"/>
    <x v="6"/>
    <x v="1"/>
    <n v="0"/>
    <n v="878"/>
    <s v="Centro-Oeste"/>
    <x v="2"/>
    <n v="150.97"/>
    <d v="2024-10-16T00:00:00"/>
  </r>
  <r>
    <n v="101233"/>
    <x v="112"/>
    <s v="Sandra Vieira"/>
    <s v="CARTÃO DE DÉBITO"/>
    <x v="3"/>
    <x v="0"/>
    <n v="24"/>
    <n v="638"/>
    <s v="Nordeste"/>
    <x v="1"/>
    <n v="335.83"/>
    <d v="2024-10-15T00:00:00"/>
  </r>
  <r>
    <n v="100689"/>
    <x v="182"/>
    <s v="Gabriela Rocha"/>
    <s v="PIX"/>
    <x v="5"/>
    <x v="0"/>
    <n v="24"/>
    <n v="358"/>
    <s v="Centro-Oeste"/>
    <x v="1"/>
    <n v="192.78"/>
    <d v="2024-10-15T00:00:00"/>
  </r>
  <r>
    <n v="101381"/>
    <x v="78"/>
    <s v="Elaine Ferreira"/>
    <s v="CARTÃO DE DÉBITO"/>
    <x v="2"/>
    <x v="1"/>
    <n v="0"/>
    <n v="409"/>
    <s v="Norte"/>
    <x v="0"/>
    <n v="102.61"/>
    <d v="2024-10-15T00:00:00"/>
  </r>
  <r>
    <n v="101694"/>
    <x v="74"/>
    <s v="Isabela Nunes"/>
    <s v="CARTÃO DE DÉBITO"/>
    <x v="0"/>
    <x v="3"/>
    <n v="98"/>
    <n v="418"/>
    <s v="Sul"/>
    <x v="1"/>
    <n v="98.97"/>
    <d v="2024-10-15T00:00:00"/>
  </r>
  <r>
    <n v="101120"/>
    <x v="17"/>
    <s v="Rafael Pereira"/>
    <s v="CARTÃO DE CRÉDITO"/>
    <x v="0"/>
    <x v="2"/>
    <n v="0"/>
    <n v="554"/>
    <s v="Centro-Oeste"/>
    <x v="0"/>
    <n v="52.32"/>
    <d v="2024-10-15T00:00:00"/>
  </r>
  <r>
    <n v="100244"/>
    <x v="232"/>
    <s v="Joao Pedro Dias"/>
    <s v="CARTÃO DE CRÉDITO"/>
    <x v="5"/>
    <x v="1"/>
    <n v="0"/>
    <n v="896"/>
    <s v="Sul"/>
    <x v="3"/>
    <n v="758.34"/>
    <d v="2024-10-14T00:00:00"/>
  </r>
  <r>
    <n v="100899"/>
    <x v="91"/>
    <s v="Nelson Teixeira"/>
    <s v="CARTÃO DE DÉBITO"/>
    <x v="5"/>
    <x v="2"/>
    <n v="0"/>
    <n v="784"/>
    <s v="Nordeste"/>
    <x v="0"/>
    <n v="455.2"/>
    <d v="2024-10-14T00:00:00"/>
  </r>
  <r>
    <n v="101171"/>
    <x v="11"/>
    <s v="Yasmin Araujo"/>
    <s v="CARTÃO DE CRÉDITO"/>
    <x v="3"/>
    <x v="2"/>
    <n v="0"/>
    <n v="694"/>
    <s v="Sudeste"/>
    <x v="1"/>
    <n v="437.33"/>
    <d v="2024-10-14T00:00:00"/>
  </r>
  <r>
    <n v="100840"/>
    <x v="128"/>
    <s v="Lucas Martins"/>
    <s v="TED"/>
    <x v="7"/>
    <x v="1"/>
    <n v="0"/>
    <n v="395"/>
    <s v="Sudeste"/>
    <x v="1"/>
    <n v="246.99"/>
    <d v="2024-10-14T00:00:00"/>
  </r>
  <r>
    <n v="100531"/>
    <x v="3"/>
    <s v="William Santos"/>
    <s v="BOLETO"/>
    <x v="7"/>
    <x v="1"/>
    <n v="0"/>
    <n v="818"/>
    <s v="Nordeste"/>
    <x v="2"/>
    <n v="216.44"/>
    <d v="2024-10-14T00:00:00"/>
  </r>
  <r>
    <n v="101212"/>
    <x v="100"/>
    <s v="Nelson Teixeira"/>
    <s v="BOLETO"/>
    <x v="4"/>
    <x v="1"/>
    <n v="0"/>
    <n v="557"/>
    <s v="Centro-Oeste"/>
    <x v="0"/>
    <n v="75.430000000000007"/>
    <d v="2024-10-14T00:00:00"/>
  </r>
  <r>
    <n v="101781"/>
    <x v="93"/>
    <s v="Fabio Costa"/>
    <s v="BOLETO"/>
    <x v="2"/>
    <x v="1"/>
    <n v="0"/>
    <n v="814"/>
    <s v="Sudeste"/>
    <x v="2"/>
    <n v="867.07"/>
    <d v="2024-10-13T00:00:00"/>
  </r>
  <r>
    <n v="101039"/>
    <x v="205"/>
    <s v="Heitor Barbosa"/>
    <s v="CARTÃO DE DÉBITO"/>
    <x v="3"/>
    <x v="1"/>
    <n v="0"/>
    <n v="612"/>
    <s v="Norte"/>
    <x v="2"/>
    <n v="452.39"/>
    <d v="2024-10-13T00:00:00"/>
  </r>
  <r>
    <n v="102180"/>
    <x v="205"/>
    <s v="Heitor Barbosa"/>
    <s v="BOLETO"/>
    <x v="7"/>
    <x v="0"/>
    <n v="9"/>
    <n v="612"/>
    <s v="Sul"/>
    <x v="1"/>
    <n v="440.83"/>
    <d v="2024-10-13T00:00:00"/>
  </r>
  <r>
    <n v="101356"/>
    <x v="194"/>
    <s v="Heitor Barbosa"/>
    <s v="CARTÃO DE CRÉDITO"/>
    <x v="4"/>
    <x v="2"/>
    <n v="0"/>
    <n v="396"/>
    <s v="Norte"/>
    <x v="1"/>
    <n v="260.36"/>
    <d v="2024-10-13T00:00:00"/>
  </r>
  <r>
    <n v="100788"/>
    <x v="232"/>
    <s v="Joao Pedro Dias"/>
    <s v="BOLETO"/>
    <x v="0"/>
    <x v="1"/>
    <n v="0"/>
    <n v="896"/>
    <s v="Nordeste"/>
    <x v="1"/>
    <n v="253.93"/>
    <d v="2024-10-13T00:00:00"/>
  </r>
  <r>
    <n v="100505"/>
    <x v="186"/>
    <s v="Diego Alves"/>
    <s v="CARTÃO DE CRÉDITO"/>
    <x v="3"/>
    <x v="1"/>
    <n v="0"/>
    <n v="737"/>
    <s v="Sul"/>
    <x v="1"/>
    <n v="1419.3"/>
    <d v="2024-10-12T00:00:00"/>
  </r>
  <r>
    <n v="100901"/>
    <x v="179"/>
    <s v="Isabela Nunes"/>
    <s v="CARTÃO DE CRÉDITO"/>
    <x v="7"/>
    <x v="1"/>
    <n v="0"/>
    <n v="309"/>
    <s v="Norte"/>
    <x v="2"/>
    <n v="512.42999999999995"/>
    <d v="2024-10-12T00:00:00"/>
  </r>
  <r>
    <n v="100397"/>
    <x v="120"/>
    <s v="Vanessa Duarte"/>
    <s v="BOLETO"/>
    <x v="1"/>
    <x v="1"/>
    <n v="0"/>
    <n v="542"/>
    <s v="Centro-Oeste"/>
    <x v="0"/>
    <n v="251.99"/>
    <d v="2024-10-12T00:00:00"/>
  </r>
  <r>
    <n v="100688"/>
    <x v="84"/>
    <s v="Mariana Cardoso"/>
    <s v="CARTÃO DE CRÉDITO"/>
    <x v="7"/>
    <x v="1"/>
    <n v="0"/>
    <n v="437"/>
    <s v="Sudeste"/>
    <x v="1"/>
    <n v="113.54"/>
    <d v="2024-10-12T00:00:00"/>
  </r>
  <r>
    <n v="100757"/>
    <x v="141"/>
    <s v="Otavio Ramos"/>
    <s v="BOLETO"/>
    <x v="3"/>
    <x v="2"/>
    <n v="0"/>
    <n v="746"/>
    <s v="Sul"/>
    <x v="0"/>
    <n v="266.97000000000003"/>
    <d v="2024-10-11T00:00:00"/>
  </r>
  <r>
    <n v="100410"/>
    <x v="73"/>
    <s v="Mariana Cardoso"/>
    <s v="CARTÃO DE CRÉDITO"/>
    <x v="5"/>
    <x v="1"/>
    <n v="0"/>
    <n v="583"/>
    <s v="Sudeste"/>
    <x v="2"/>
    <n v="219.02"/>
    <d v="2024-10-11T00:00:00"/>
  </r>
  <r>
    <n v="100571"/>
    <x v="125"/>
    <s v="Thiago Correia"/>
    <s v="TED"/>
    <x v="7"/>
    <x v="1"/>
    <n v="0"/>
    <n v="867"/>
    <s v="Nordeste"/>
    <x v="1"/>
    <n v="194.64"/>
    <d v="2024-10-11T00:00:00"/>
  </r>
  <r>
    <n v="100970"/>
    <x v="137"/>
    <s v="Caio Monteiro"/>
    <s v="CARTÃO DE DÉBITO"/>
    <x v="0"/>
    <x v="0"/>
    <n v="14"/>
    <n v="332"/>
    <s v="Nordeste"/>
    <x v="0"/>
    <n v="154.46"/>
    <d v="2024-10-11T00:00:00"/>
  </r>
  <r>
    <n v="101143"/>
    <x v="17"/>
    <s v="Rafael Pereira"/>
    <s v="CARTÃO DE CRÉDITO"/>
    <x v="7"/>
    <x v="0"/>
    <n v="5"/>
    <n v="554"/>
    <s v="Sudeste"/>
    <x v="1"/>
    <m/>
    <d v="2024-10-11T00:00:00"/>
  </r>
  <r>
    <n v="102150"/>
    <x v="127"/>
    <s v="Otavio Ramos"/>
    <s v="CARTÃO DE CRÉDITO"/>
    <x v="7"/>
    <x v="0"/>
    <n v="9"/>
    <n v="560"/>
    <s v="Centro-Oeste"/>
    <x v="1"/>
    <n v="399.37"/>
    <d v="2024-10-10T00:00:00"/>
  </r>
  <r>
    <n v="100197"/>
    <x v="27"/>
    <s v="William Santos"/>
    <s v="TED"/>
    <x v="1"/>
    <x v="1"/>
    <n v="0"/>
    <n v="716"/>
    <s v="Nordeste"/>
    <x v="1"/>
    <n v="301.12"/>
    <d v="2024-10-10T00:00:00"/>
  </r>
  <r>
    <n v="102077"/>
    <x v="41"/>
    <s v="Fabio Costa"/>
    <s v="TED"/>
    <x v="7"/>
    <x v="2"/>
    <n v="0"/>
    <n v="883"/>
    <s v="Centro-Oeste"/>
    <x v="1"/>
    <n v="211.52"/>
    <d v="2024-10-10T00:00:00"/>
  </r>
  <r>
    <n v="100906"/>
    <x v="176"/>
    <s v="Lucas Martins"/>
    <s v="PIX"/>
    <x v="7"/>
    <x v="0"/>
    <n v="14"/>
    <n v="765"/>
    <s v="Sul"/>
    <x v="1"/>
    <n v="175.29"/>
    <d v="2024-10-10T00:00:00"/>
  </r>
  <r>
    <n v="101324"/>
    <x v="34"/>
    <s v="Não Informado"/>
    <s v="CARTÃO DE CRÉDITO"/>
    <x v="2"/>
    <x v="1"/>
    <n v="0"/>
    <n v="585"/>
    <s v="Sudeste"/>
    <x v="1"/>
    <n v="66.73"/>
    <d v="2024-10-10T00:00:00"/>
  </r>
  <r>
    <n v="101767"/>
    <x v="181"/>
    <s v="Diego Alves"/>
    <s v="BOLETO"/>
    <x v="4"/>
    <x v="2"/>
    <n v="0"/>
    <n v="534"/>
    <s v="Sul"/>
    <x v="1"/>
    <n v="607.19000000000005"/>
    <d v="2024-10-09T00:00:00"/>
  </r>
  <r>
    <n v="101497"/>
    <x v="179"/>
    <s v="Isabela Nunes"/>
    <s v="BOLETO"/>
    <x v="6"/>
    <x v="1"/>
    <n v="0"/>
    <n v="309"/>
    <s v="Centro-Oeste"/>
    <x v="3"/>
    <n v="510.25"/>
    <d v="2024-10-09T00:00:00"/>
  </r>
  <r>
    <n v="100279"/>
    <x v="251"/>
    <s v="Fabio Costa"/>
    <s v="BOLETO"/>
    <x v="4"/>
    <x v="3"/>
    <n v="132"/>
    <n v="817"/>
    <s v="Sul"/>
    <x v="1"/>
    <n v="498.67"/>
    <d v="2024-10-09T00:00:00"/>
  </r>
  <r>
    <n v="101739"/>
    <x v="173"/>
    <s v="Mariana Cardoso"/>
    <s v="TED"/>
    <x v="1"/>
    <x v="0"/>
    <n v="17"/>
    <n v="621"/>
    <s v="Sul"/>
    <x v="0"/>
    <n v="457.15"/>
    <d v="2024-10-09T00:00:00"/>
  </r>
  <r>
    <n v="101405"/>
    <x v="186"/>
    <s v="Diego Alves"/>
    <s v="PIX"/>
    <x v="3"/>
    <x v="1"/>
    <n v="0"/>
    <n v="737"/>
    <s v="Sudeste"/>
    <x v="2"/>
    <n v="434.72"/>
    <d v="2024-10-09T00:00:00"/>
  </r>
  <r>
    <n v="101880"/>
    <x v="90"/>
    <s v="Elaine Ferreira"/>
    <s v="BOLETO"/>
    <x v="3"/>
    <x v="1"/>
    <n v="0"/>
    <n v="659"/>
    <s v="Sul"/>
    <x v="1"/>
    <n v="371.37"/>
    <d v="2024-10-09T00:00:00"/>
  </r>
  <r>
    <n v="101784"/>
    <x v="230"/>
    <s v="Bruno Lima"/>
    <s v="PIX"/>
    <x v="1"/>
    <x v="1"/>
    <n v="0"/>
    <n v="716"/>
    <s v="Centro-Oeste"/>
    <x v="0"/>
    <n v="138.26"/>
    <d v="2024-10-09T00:00:00"/>
  </r>
  <r>
    <n v="100373"/>
    <x v="147"/>
    <s v="Thiago Correia"/>
    <s v="BOLETO"/>
    <x v="4"/>
    <x v="1"/>
    <n v="0"/>
    <n v="554"/>
    <s v="Sul"/>
    <x v="2"/>
    <n v="85.33"/>
    <d v="2024-10-09T00:00:00"/>
  </r>
  <r>
    <n v="101087"/>
    <x v="134"/>
    <s v="William Santos"/>
    <s v="PIX"/>
    <x v="7"/>
    <x v="3"/>
    <n v="31"/>
    <n v="858"/>
    <s v="Norte"/>
    <x v="1"/>
    <n v="513.21"/>
    <d v="2024-10-08T00:00:00"/>
  </r>
  <r>
    <n v="101587"/>
    <x v="30"/>
    <s v="Debora Pinto"/>
    <s v="TED"/>
    <x v="4"/>
    <x v="0"/>
    <n v="10"/>
    <n v="325"/>
    <s v="Centro-Oeste"/>
    <x v="0"/>
    <n v="393.21"/>
    <d v="2024-10-08T00:00:00"/>
  </r>
  <r>
    <n v="101921"/>
    <x v="199"/>
    <s v="Debora Pinto"/>
    <s v="CARTÃO DE CRÉDITO"/>
    <x v="2"/>
    <x v="0"/>
    <n v="19"/>
    <n v="411"/>
    <s v="Norte"/>
    <x v="1"/>
    <n v="236.15"/>
    <d v="2024-10-08T00:00:00"/>
  </r>
  <r>
    <n v="102032"/>
    <x v="226"/>
    <s v="Diego Alves"/>
    <s v="TED"/>
    <x v="1"/>
    <x v="1"/>
    <n v="0"/>
    <n v="781"/>
    <s v="Sudeste"/>
    <x v="1"/>
    <n v="111.88"/>
    <d v="2024-10-08T00:00:00"/>
  </r>
  <r>
    <n v="102035"/>
    <x v="203"/>
    <s v="Karina Silva"/>
    <s v="CARTÃO DE CRÉDITO"/>
    <x v="5"/>
    <x v="1"/>
    <n v="0"/>
    <n v="336"/>
    <s v="Nordeste"/>
    <x v="1"/>
    <n v="658.08"/>
    <d v="2024-10-07T00:00:00"/>
  </r>
  <r>
    <n v="100672"/>
    <x v="185"/>
    <s v="Sandra Vieira"/>
    <s v="BOLETO"/>
    <x v="3"/>
    <x v="3"/>
    <n v="94"/>
    <n v="856"/>
    <s v="Norte"/>
    <x v="0"/>
    <n v="271.58999999999997"/>
    <d v="2024-10-07T00:00:00"/>
  </r>
  <r>
    <n v="100692"/>
    <x v="258"/>
    <s v="Carla Mendes"/>
    <s v="PIX"/>
    <x v="7"/>
    <x v="0"/>
    <n v="10"/>
    <n v="716"/>
    <s v="Sul"/>
    <x v="1"/>
    <n v="169.59"/>
    <d v="2024-10-07T00:00:00"/>
  </r>
  <r>
    <n v="100150"/>
    <x v="246"/>
    <s v="Otavio Ramos"/>
    <s v="CARTÃO DE CRÉDITO"/>
    <x v="4"/>
    <x v="1"/>
    <n v="0"/>
    <n v="351"/>
    <s v="Nordeste"/>
    <x v="0"/>
    <n v="111.52"/>
    <d v="2024-10-07T00:00:00"/>
  </r>
  <r>
    <n v="101440"/>
    <x v="134"/>
    <s v="William Santos"/>
    <s v="BOLETO"/>
    <x v="7"/>
    <x v="0"/>
    <n v="2"/>
    <n v="858"/>
    <s v="Sudeste"/>
    <x v="2"/>
    <n v="104.78"/>
    <d v="2024-10-07T00:00:00"/>
  </r>
  <r>
    <n v="101993"/>
    <x v="101"/>
    <s v="Thiago Correia"/>
    <s v="CARTÃO DE DÉBITO"/>
    <x v="7"/>
    <x v="1"/>
    <n v="0"/>
    <n v="533"/>
    <s v="Norte"/>
    <x v="1"/>
    <n v="1280.58"/>
    <d v="2024-10-06T00:00:00"/>
  </r>
  <r>
    <n v="100386"/>
    <x v="15"/>
    <s v="Caio Monteiro"/>
    <s v="CARTÃO DE CRÉDITO"/>
    <x v="5"/>
    <x v="1"/>
    <n v="0"/>
    <n v="585"/>
    <s v="Centro-Oeste"/>
    <x v="0"/>
    <n v="745.05"/>
    <d v="2024-10-06T00:00:00"/>
  </r>
  <r>
    <n v="100837"/>
    <x v="246"/>
    <s v="Otavio Ramos"/>
    <s v="CARTÃO DE DÉBITO"/>
    <x v="3"/>
    <x v="3"/>
    <n v="133"/>
    <n v="351"/>
    <s v="Norte"/>
    <x v="1"/>
    <n v="161.59"/>
    <d v="2024-10-06T00:00:00"/>
  </r>
  <r>
    <n v="100274"/>
    <x v="93"/>
    <s v="Fabio Costa"/>
    <s v="CARTÃO DE CRÉDITO"/>
    <x v="7"/>
    <x v="1"/>
    <n v="0"/>
    <n v="814"/>
    <s v="Norte"/>
    <x v="0"/>
    <n v="284.52999999999997"/>
    <d v="2024-10-05T00:00:00"/>
  </r>
  <r>
    <n v="100167"/>
    <x v="1"/>
    <s v="Karina Silva"/>
    <s v="CARTÃO DE CRÉDITO"/>
    <x v="0"/>
    <x v="3"/>
    <n v="50"/>
    <n v="850"/>
    <s v="Sul"/>
    <x v="1"/>
    <n v="249.87"/>
    <d v="2024-10-05T00:00:00"/>
  </r>
  <r>
    <n v="102043"/>
    <x v="149"/>
    <s v="Carla Mendes"/>
    <s v="CARTÃO DE CRÉDITO"/>
    <x v="7"/>
    <x v="1"/>
    <n v="0"/>
    <n v="769"/>
    <s v="Sul"/>
    <x v="1"/>
    <n v="1392.64"/>
    <d v="2024-10-04T00:00:00"/>
  </r>
  <r>
    <n v="100707"/>
    <x v="209"/>
    <s v="Heitor Barbosa"/>
    <s v="BOLETO"/>
    <x v="0"/>
    <x v="1"/>
    <n v="0"/>
    <n v="851"/>
    <s v="Norte"/>
    <x v="0"/>
    <n v="179.99"/>
    <d v="2024-10-04T00:00:00"/>
  </r>
  <r>
    <n v="101286"/>
    <x v="222"/>
    <s v="Otavio Ramos"/>
    <s v="PIX"/>
    <x v="0"/>
    <x v="3"/>
    <n v="82"/>
    <n v="729"/>
    <s v="Nordeste"/>
    <x v="1"/>
    <n v="85.34"/>
    <d v="2024-10-04T00:00:00"/>
  </r>
  <r>
    <n v="100264"/>
    <x v="195"/>
    <s v="Joao Pedro Dias"/>
    <s v="CARTÃO DE CRÉDITO"/>
    <x v="1"/>
    <x v="1"/>
    <n v="0"/>
    <n v="873"/>
    <s v="Norte"/>
    <x v="2"/>
    <n v="629.88"/>
    <d v="2024-10-03T00:00:00"/>
  </r>
  <r>
    <n v="101580"/>
    <x v="144"/>
    <s v="Debora Pinto"/>
    <s v="BOLETO"/>
    <x v="3"/>
    <x v="2"/>
    <n v="0"/>
    <n v="522"/>
    <s v="Sudeste"/>
    <x v="2"/>
    <n v="414.07"/>
    <d v="2024-10-03T00:00:00"/>
  </r>
  <r>
    <n v="101365"/>
    <x v="77"/>
    <s v="Carla Mendes"/>
    <s v="CARTÃO DE CRÉDITO"/>
    <x v="2"/>
    <x v="1"/>
    <n v="0"/>
    <n v="884"/>
    <s v="Sul"/>
    <x v="1"/>
    <n v="177.76"/>
    <d v="2024-10-03T00:00:00"/>
  </r>
  <r>
    <n v="100700"/>
    <x v="149"/>
    <s v="Carla Mendes"/>
    <s v="BOLETO"/>
    <x v="1"/>
    <x v="1"/>
    <n v="0"/>
    <n v="769"/>
    <s v="Sudeste"/>
    <x v="1"/>
    <n v="174.58"/>
    <d v="2024-10-03T00:00:00"/>
  </r>
  <r>
    <n v="101149"/>
    <x v="41"/>
    <s v="Fabio Costa"/>
    <s v="TED"/>
    <x v="7"/>
    <x v="1"/>
    <n v="0"/>
    <n v="883"/>
    <s v="Sudeste"/>
    <x v="0"/>
    <n v="404.8"/>
    <d v="2024-10-02T00:00:00"/>
  </r>
  <r>
    <n v="100558"/>
    <x v="137"/>
    <s v="Caio Monteiro"/>
    <s v="BOLETO"/>
    <x v="1"/>
    <x v="1"/>
    <n v="0"/>
    <n v="332"/>
    <s v="Centro-Oeste"/>
    <x v="2"/>
    <n v="237.78"/>
    <d v="2024-10-02T00:00:00"/>
  </r>
  <r>
    <n v="100308"/>
    <x v="17"/>
    <s v="Rafael Pereira"/>
    <s v="TED"/>
    <x v="5"/>
    <x v="1"/>
    <n v="0"/>
    <n v="554"/>
    <s v="Norte"/>
    <x v="1"/>
    <n v="73.64"/>
    <d v="2024-10-02T00:00:00"/>
  </r>
  <r>
    <n v="100765"/>
    <x v="167"/>
    <s v="Ana Souza"/>
    <s v="BOLETO"/>
    <x v="5"/>
    <x v="1"/>
    <n v="0"/>
    <n v="573"/>
    <s v="Nordeste"/>
    <x v="2"/>
    <m/>
    <d v="2024-10-02T00:00:00"/>
  </r>
  <r>
    <n v="101105"/>
    <x v="104"/>
    <s v="Não Informado"/>
    <s v="CARTÃO DE CRÉDITO"/>
    <x v="7"/>
    <x v="1"/>
    <n v="0"/>
    <n v="405"/>
    <s v="Sudeste"/>
    <x v="2"/>
    <n v="446.38"/>
    <d v="2024-10-01T00:00:00"/>
  </r>
  <r>
    <n v="100570"/>
    <x v="196"/>
    <s v="Lucas Martins"/>
    <s v="TED"/>
    <x v="3"/>
    <x v="1"/>
    <n v="0"/>
    <n v="722"/>
    <s v="Norte"/>
    <x v="0"/>
    <n v="278.8"/>
    <d v="2024-10-01T00:00:00"/>
  </r>
  <r>
    <n v="100195"/>
    <x v="93"/>
    <s v="Fabio Costa"/>
    <s v="TED"/>
    <x v="0"/>
    <x v="2"/>
    <s v="Não Informado"/>
    <n v="814"/>
    <s v="Sul"/>
    <x v="1"/>
    <n v="160.12"/>
    <d v="2024-10-01T00:00:00"/>
  </r>
  <r>
    <n v="101426"/>
    <x v="145"/>
    <s v="Ana Souza"/>
    <s v="TED"/>
    <x v="4"/>
    <x v="2"/>
    <s v="Não Informado"/>
    <n v="784"/>
    <s v="Centro-Oeste"/>
    <x v="1"/>
    <n v="143.25"/>
    <d v="2024-10-01T00:00:00"/>
  </r>
  <r>
    <n v="100667"/>
    <x v="71"/>
    <s v="Caio Monteiro"/>
    <s v="BOLETO"/>
    <x v="2"/>
    <x v="3"/>
    <n v="169"/>
    <n v="615"/>
    <s v="Norte"/>
    <x v="1"/>
    <n v="804.35"/>
    <d v="2024-09-30T00:00:00"/>
  </r>
  <r>
    <n v="100719"/>
    <x v="70"/>
    <s v="Rafael Pereira"/>
    <s v="TED"/>
    <x v="6"/>
    <x v="1"/>
    <n v="0"/>
    <n v="555"/>
    <s v="Não Informado"/>
    <x v="2"/>
    <n v="740.88"/>
    <d v="2024-09-30T00:00:00"/>
  </r>
  <r>
    <n v="100878"/>
    <x v="81"/>
    <s v="Bruno Lima"/>
    <s v="BOLETO"/>
    <x v="5"/>
    <x v="2"/>
    <n v="0"/>
    <n v="658"/>
    <s v="Nordeste"/>
    <x v="1"/>
    <n v="283.32"/>
    <d v="2024-09-30T00:00:00"/>
  </r>
  <r>
    <n v="100104"/>
    <x v="165"/>
    <s v="Debora Pinto"/>
    <s v="CARTÃO DE DÉBITO"/>
    <x v="6"/>
    <x v="1"/>
    <n v="0"/>
    <n v="377"/>
    <s v="Nordeste"/>
    <x v="1"/>
    <n v="182.63"/>
    <d v="2024-09-30T00:00:00"/>
  </r>
  <r>
    <n v="100268"/>
    <x v="32"/>
    <s v="Carla Mendes"/>
    <s v="TED"/>
    <x v="0"/>
    <x v="1"/>
    <n v="0"/>
    <n v="324"/>
    <s v="Nordeste"/>
    <x v="2"/>
    <n v="140.30000000000001"/>
    <d v="2024-09-30T00:00:00"/>
  </r>
  <r>
    <n v="100633"/>
    <x v="69"/>
    <s v="Ana Souza"/>
    <s v="TED"/>
    <x v="4"/>
    <x v="2"/>
    <n v="0"/>
    <n v="741"/>
    <s v="Sudeste"/>
    <x v="1"/>
    <n v="1155.71"/>
    <d v="2024-09-29T00:00:00"/>
  </r>
  <r>
    <n v="100860"/>
    <x v="66"/>
    <s v="Mariana Cardoso"/>
    <s v="CARTÃO DE DÉBITO"/>
    <x v="5"/>
    <x v="1"/>
    <n v="0"/>
    <n v="351"/>
    <s v="Centro-Oeste"/>
    <x v="2"/>
    <n v="1029.33"/>
    <d v="2024-09-29T00:00:00"/>
  </r>
  <r>
    <n v="101166"/>
    <x v="20"/>
    <s v="Elaine Ferreira"/>
    <s v="BOLETO"/>
    <x v="2"/>
    <x v="3"/>
    <n v="56"/>
    <n v="591"/>
    <s v="Norte"/>
    <x v="1"/>
    <n v="834.73"/>
    <d v="2024-09-29T00:00:00"/>
  </r>
  <r>
    <n v="100895"/>
    <x v="216"/>
    <s v="William Santos"/>
    <s v="BOLETO"/>
    <x v="7"/>
    <x v="1"/>
    <n v="0"/>
    <n v="835"/>
    <s v="Nordeste"/>
    <x v="1"/>
    <n v="351.4"/>
    <d v="2024-09-29T00:00:00"/>
  </r>
  <r>
    <n v="100759"/>
    <x v="253"/>
    <s v="William Santos"/>
    <s v="BOLETO"/>
    <x v="0"/>
    <x v="1"/>
    <n v="0"/>
    <n v="657"/>
    <s v="Sudeste"/>
    <x v="1"/>
    <n v="336.75"/>
    <d v="2024-09-29T00:00:00"/>
  </r>
  <r>
    <n v="101864"/>
    <x v="2"/>
    <s v="Lucas Martins"/>
    <s v="CARTÃO DE DÉBITO"/>
    <x v="3"/>
    <x v="1"/>
    <n v="0"/>
    <n v="461"/>
    <s v="Sul"/>
    <x v="2"/>
    <n v="68.42"/>
    <d v="2024-09-29T00:00:00"/>
  </r>
  <r>
    <n v="101053"/>
    <x v="146"/>
    <s v="Thiago Correia"/>
    <s v="PIX"/>
    <x v="0"/>
    <x v="1"/>
    <n v="0"/>
    <n v="890"/>
    <s v="Norte"/>
    <x v="2"/>
    <n v="809.38"/>
    <d v="2024-09-28T00:00:00"/>
  </r>
  <r>
    <n v="100926"/>
    <x v="139"/>
    <s v="Diego Alves"/>
    <s v="CARTÃO DE DÉBITO"/>
    <x v="5"/>
    <x v="3"/>
    <n v="47"/>
    <n v="362"/>
    <s v="Sul"/>
    <x v="2"/>
    <n v="451.31"/>
    <d v="2024-09-28T00:00:00"/>
  </r>
  <r>
    <n v="102027"/>
    <x v="22"/>
    <s v="Heitor Barbosa"/>
    <s v="BOLETO"/>
    <x v="4"/>
    <x v="1"/>
    <n v="0"/>
    <n v="607"/>
    <s v="Sudeste"/>
    <x v="1"/>
    <n v="337.77"/>
    <d v="2024-09-28T00:00:00"/>
  </r>
  <r>
    <n v="100183"/>
    <x v="28"/>
    <s v="Lucas Martins"/>
    <s v="TED"/>
    <x v="7"/>
    <x v="1"/>
    <n v="0"/>
    <n v="843"/>
    <s v="Nordeste"/>
    <x v="1"/>
    <n v="288.69"/>
    <d v="2024-09-28T00:00:00"/>
  </r>
  <r>
    <n v="101093"/>
    <x v="39"/>
    <s v="Nelson Teixeira"/>
    <s v="CARTÃO DE DÉBITO"/>
    <x v="0"/>
    <x v="0"/>
    <n v="20"/>
    <n v="606"/>
    <s v="Norte"/>
    <x v="1"/>
    <n v="209.77"/>
    <d v="2024-09-28T00:00:00"/>
  </r>
  <r>
    <n v="100349"/>
    <x v="79"/>
    <s v="Yasmin Araujo"/>
    <s v="CARTÃO DE CRÉDITO"/>
    <x v="0"/>
    <x v="1"/>
    <n v="0"/>
    <n v="752"/>
    <s v="Não Informado"/>
    <x v="1"/>
    <n v="156.41"/>
    <d v="2024-09-28T00:00:00"/>
  </r>
  <r>
    <n v="100247"/>
    <x v="141"/>
    <s v="Otavio Ramos"/>
    <s v="BOLETO"/>
    <x v="0"/>
    <x v="2"/>
    <n v="0"/>
    <n v="746"/>
    <s v="Nordeste"/>
    <x v="2"/>
    <n v="1140.3"/>
    <d v="2024-09-27T00:00:00"/>
  </r>
  <r>
    <n v="101126"/>
    <x v="241"/>
    <s v="Ana Souza"/>
    <s v="BOLETO"/>
    <x v="1"/>
    <x v="1"/>
    <n v="0"/>
    <n v="339"/>
    <s v="Nordeste"/>
    <x v="1"/>
    <n v="584.05999999999995"/>
    <d v="2024-09-27T00:00:00"/>
  </r>
  <r>
    <n v="100021"/>
    <x v="213"/>
    <s v="Debora Pinto"/>
    <s v="CARTÃO DE CRÉDITO"/>
    <x v="5"/>
    <x v="2"/>
    <n v="0"/>
    <n v="585"/>
    <s v="Sul"/>
    <x v="1"/>
    <n v="581.6"/>
    <d v="2024-09-27T00:00:00"/>
  </r>
  <r>
    <n v="100456"/>
    <x v="214"/>
    <s v="Lucas Martins"/>
    <s v="BOLETO"/>
    <x v="4"/>
    <x v="2"/>
    <n v="0"/>
    <n v="494"/>
    <s v="Centro-Oeste"/>
    <x v="2"/>
    <n v="326.37"/>
    <d v="2024-09-27T00:00:00"/>
  </r>
  <r>
    <n v="102060"/>
    <x v="49"/>
    <s v="Patricia Gomes"/>
    <s v="CARTÃO DE DÉBITO"/>
    <x v="1"/>
    <x v="1"/>
    <n v="0"/>
    <n v="691"/>
    <s v="Nordeste"/>
    <x v="0"/>
    <n v="310.52"/>
    <d v="2024-09-27T00:00:00"/>
  </r>
  <r>
    <n v="100572"/>
    <x v="142"/>
    <s v="Yasmin Araujo"/>
    <s v="TED"/>
    <x v="4"/>
    <x v="2"/>
    <n v="0"/>
    <n v="621"/>
    <s v="Centro-Oeste"/>
    <x v="0"/>
    <n v="144.97"/>
    <d v="2024-09-27T00:00:00"/>
  </r>
  <r>
    <n v="102051"/>
    <x v="75"/>
    <s v="Carla Mendes"/>
    <s v="CARTÃO DE DÉBITO"/>
    <x v="4"/>
    <x v="1"/>
    <n v="0"/>
    <n v="798"/>
    <s v="Sudeste"/>
    <x v="1"/>
    <n v="671.93"/>
    <d v="2024-09-26T00:00:00"/>
  </r>
  <r>
    <n v="100425"/>
    <x v="185"/>
    <s v="Sandra Vieira"/>
    <s v="PIX"/>
    <x v="4"/>
    <x v="1"/>
    <n v="0"/>
    <n v="856"/>
    <s v="Norte"/>
    <x v="0"/>
    <n v="640.24"/>
    <d v="2024-09-26T00:00:00"/>
  </r>
  <r>
    <n v="101283"/>
    <x v="171"/>
    <s v="Debora Pinto"/>
    <s v="PIX"/>
    <x v="7"/>
    <x v="1"/>
    <n v="0"/>
    <n v="571"/>
    <s v="Nordeste"/>
    <x v="2"/>
    <n v="449.76"/>
    <d v="2024-09-26T00:00:00"/>
  </r>
  <r>
    <n v="101491"/>
    <x v="68"/>
    <s v="Carla Mendes"/>
    <s v="TED"/>
    <x v="5"/>
    <x v="2"/>
    <n v="0"/>
    <n v="400"/>
    <s v="Nordeste"/>
    <x v="0"/>
    <n v="79.39"/>
    <d v="2024-09-26T00:00:00"/>
  </r>
  <r>
    <n v="101746"/>
    <x v="257"/>
    <s v="Debora Pinto"/>
    <s v="TED"/>
    <x v="2"/>
    <x v="1"/>
    <n v="0"/>
    <n v="666"/>
    <s v="Sul"/>
    <x v="2"/>
    <n v="309.51"/>
    <d v="2024-09-25T00:00:00"/>
  </r>
  <r>
    <n v="101389"/>
    <x v="208"/>
    <s v="Heitor Barbosa"/>
    <s v="BOLETO"/>
    <x v="0"/>
    <x v="2"/>
    <n v="0"/>
    <n v="418"/>
    <s v="Sudeste"/>
    <x v="0"/>
    <n v="228.73"/>
    <d v="2024-09-25T00:00:00"/>
  </r>
  <r>
    <n v="101743"/>
    <x v="9"/>
    <s v="Isabela Nunes"/>
    <s v="CARTÃO DE CRÉDITO"/>
    <x v="0"/>
    <x v="0"/>
    <n v="5"/>
    <n v="678"/>
    <s v="Sul"/>
    <x v="0"/>
    <n v="208.48"/>
    <d v="2024-09-25T00:00:00"/>
  </r>
  <r>
    <n v="101074"/>
    <x v="164"/>
    <s v="Não Informado"/>
    <s v="PIX"/>
    <x v="4"/>
    <x v="2"/>
    <n v="0"/>
    <n v="435"/>
    <s v="Norte"/>
    <x v="1"/>
    <n v="205.28"/>
    <d v="2024-09-25T00:00:00"/>
  </r>
  <r>
    <n v="100485"/>
    <x v="14"/>
    <s v="Heitor Barbosa"/>
    <s v="CARTÃO DE CRÉDITO"/>
    <x v="7"/>
    <x v="1"/>
    <s v="Não Informado"/>
    <n v="603"/>
    <s v="Nordeste"/>
    <x v="1"/>
    <n v="202.3"/>
    <d v="2024-09-25T00:00:00"/>
  </r>
  <r>
    <n v="101271"/>
    <x v="240"/>
    <s v="Sandra Vieira"/>
    <s v="TED"/>
    <x v="4"/>
    <x v="1"/>
    <n v="0"/>
    <n v="552"/>
    <s v="Sudeste"/>
    <x v="0"/>
    <n v="133.27000000000001"/>
    <d v="2024-09-25T00:00:00"/>
  </r>
  <r>
    <n v="101094"/>
    <x v="167"/>
    <s v="Ana Souza"/>
    <s v="TED"/>
    <x v="1"/>
    <x v="1"/>
    <n v="0"/>
    <n v="573"/>
    <s v="Sudeste"/>
    <x v="1"/>
    <n v="800.03"/>
    <d v="2024-09-24T00:00:00"/>
  </r>
  <r>
    <n v="100845"/>
    <x v="224"/>
    <s v="Fabio Costa"/>
    <s v="PIX"/>
    <x v="2"/>
    <x v="1"/>
    <n v="0"/>
    <n v="483"/>
    <s v="Centro-Oeste"/>
    <x v="0"/>
    <n v="217.74"/>
    <d v="2024-09-24T00:00:00"/>
  </r>
  <r>
    <n v="100118"/>
    <x v="231"/>
    <s v="Lucas Martins"/>
    <s v="CARTÃO DE DÉBITO"/>
    <x v="7"/>
    <x v="1"/>
    <n v="0"/>
    <n v="315"/>
    <s v="Nordeste"/>
    <x v="1"/>
    <n v="84.18"/>
    <d v="2024-09-24T00:00:00"/>
  </r>
  <r>
    <n v="102156"/>
    <x v="6"/>
    <s v="Thiago Correia"/>
    <s v="CARTÃO DE CRÉDITO"/>
    <x v="4"/>
    <x v="1"/>
    <n v="0"/>
    <n v="406"/>
    <s v="Nordeste"/>
    <x v="0"/>
    <n v="500.6"/>
    <d v="2024-09-23T00:00:00"/>
  </r>
  <r>
    <n v="101079"/>
    <x v="155"/>
    <s v="Caio Monteiro"/>
    <s v="TED"/>
    <x v="4"/>
    <x v="1"/>
    <n v="0"/>
    <n v="744"/>
    <s v="Norte"/>
    <x v="1"/>
    <n v="685.99"/>
    <d v="2024-09-22T00:00:00"/>
  </r>
  <r>
    <n v="101708"/>
    <x v="191"/>
    <s v="Diego Alves"/>
    <s v="TED"/>
    <x v="2"/>
    <x v="3"/>
    <n v="75"/>
    <n v="863"/>
    <s v="Nordeste"/>
    <x v="1"/>
    <n v="564.96"/>
    <d v="2024-09-22T00:00:00"/>
  </r>
  <r>
    <n v="102186"/>
    <x v="168"/>
    <s v="Sandra Vieira"/>
    <s v="BOLETO"/>
    <x v="4"/>
    <x v="1"/>
    <n v="0"/>
    <n v="567"/>
    <s v="Sudeste"/>
    <x v="1"/>
    <n v="452.69"/>
    <d v="2024-09-22T00:00:00"/>
  </r>
  <r>
    <n v="100350"/>
    <x v="17"/>
    <s v="Rafael Pereira"/>
    <s v="BOLETO"/>
    <x v="3"/>
    <x v="1"/>
    <n v="0"/>
    <n v="554"/>
    <s v="Sudeste"/>
    <x v="1"/>
    <n v="448.28"/>
    <d v="2024-09-22T00:00:00"/>
  </r>
  <r>
    <n v="101632"/>
    <x v="67"/>
    <s v="Fabio Costa"/>
    <s v="CARTÃO DE DÉBITO"/>
    <x v="5"/>
    <x v="2"/>
    <n v="0"/>
    <n v="515"/>
    <s v="Sudeste"/>
    <x v="1"/>
    <n v="208.28"/>
    <d v="2024-09-22T00:00:00"/>
  </r>
  <r>
    <n v="101141"/>
    <x v="148"/>
    <s v="Gabriela Rocha"/>
    <s v="PIX"/>
    <x v="4"/>
    <x v="1"/>
    <n v="0"/>
    <n v="720"/>
    <s v="Norte"/>
    <x v="0"/>
    <n v="171.61"/>
    <d v="2024-09-22T00:00:00"/>
  </r>
  <r>
    <n v="101319"/>
    <x v="244"/>
    <s v="Karina Silva"/>
    <s v="CARTÃO DE CRÉDITO"/>
    <x v="4"/>
    <x v="1"/>
    <n v="0"/>
    <n v="753"/>
    <s v="Nordeste"/>
    <x v="2"/>
    <n v="141.1"/>
    <d v="2024-09-22T00:00:00"/>
  </r>
  <r>
    <n v="101918"/>
    <x v="72"/>
    <s v="Nelson Teixeira"/>
    <s v="CARTÃO DE CRÉDITO"/>
    <x v="0"/>
    <x v="1"/>
    <n v="0"/>
    <n v="894"/>
    <s v="Sudeste"/>
    <x v="0"/>
    <n v="1051.9000000000001"/>
    <d v="2024-09-21T00:00:00"/>
  </r>
  <r>
    <n v="101203"/>
    <x v="29"/>
    <s v="Carla Mendes"/>
    <s v="TED"/>
    <x v="6"/>
    <x v="3"/>
    <n v="179"/>
    <n v="394"/>
    <s v="Centro-Oeste"/>
    <x v="0"/>
    <n v="760.02"/>
    <d v="2024-09-21T00:00:00"/>
  </r>
  <r>
    <n v="101451"/>
    <x v="192"/>
    <s v="Bianca Freitas"/>
    <s v="CARTÃO DE CRÉDITO"/>
    <x v="0"/>
    <x v="0"/>
    <n v="15"/>
    <n v="869"/>
    <s v="Centro-Oeste"/>
    <x v="1"/>
    <n v="512.61"/>
    <d v="2024-09-21T00:00:00"/>
  </r>
  <r>
    <n v="100188"/>
    <x v="58"/>
    <s v="Karina Silva"/>
    <s v="BOLETO"/>
    <x v="4"/>
    <x v="1"/>
    <n v="0"/>
    <n v="544"/>
    <s v="Sudeste"/>
    <x v="1"/>
    <n v="422.19"/>
    <d v="2024-09-21T00:00:00"/>
  </r>
  <r>
    <n v="100927"/>
    <x v="28"/>
    <s v="Lucas Martins"/>
    <s v="CARTÃO DE DÉBITO"/>
    <x v="4"/>
    <x v="0"/>
    <n v="21"/>
    <n v="843"/>
    <s v="Nordeste"/>
    <x v="3"/>
    <n v="341.99"/>
    <d v="2024-09-21T00:00:00"/>
  </r>
  <r>
    <n v="101970"/>
    <x v="168"/>
    <s v="Sandra Vieira"/>
    <s v="TED"/>
    <x v="7"/>
    <x v="0"/>
    <n v="14"/>
    <n v="567"/>
    <s v="Nordeste"/>
    <x v="2"/>
    <n v="328.12"/>
    <d v="2024-09-21T00:00:00"/>
  </r>
  <r>
    <n v="100739"/>
    <x v="128"/>
    <s v="Lucas Martins"/>
    <s v="CARTÃO DE DÉBITO"/>
    <x v="2"/>
    <x v="1"/>
    <n v="0"/>
    <n v="395"/>
    <s v="Centro-Oeste"/>
    <x v="1"/>
    <n v="342.98"/>
    <d v="2024-09-20T00:00:00"/>
  </r>
  <r>
    <n v="101577"/>
    <x v="101"/>
    <s v="Não Informado"/>
    <s v="CARTÃO DE DÉBITO"/>
    <x v="5"/>
    <x v="2"/>
    <n v="0"/>
    <n v="533"/>
    <s v="Sul"/>
    <x v="1"/>
    <n v="273.02"/>
    <d v="2024-09-20T00:00:00"/>
  </r>
  <r>
    <n v="102088"/>
    <x v="59"/>
    <s v="Heitor Barbosa"/>
    <s v="BOLETO"/>
    <x v="0"/>
    <x v="2"/>
    <n v="0"/>
    <n v="372"/>
    <s v="Sudeste"/>
    <x v="2"/>
    <n v="769.32"/>
    <d v="2024-09-19T00:00:00"/>
  </r>
  <r>
    <n v="101281"/>
    <x v="32"/>
    <s v="Carla Mendes"/>
    <s v="CARTÃO DE CRÉDITO"/>
    <x v="4"/>
    <x v="3"/>
    <n v="136"/>
    <n v="324"/>
    <s v="Sudeste"/>
    <x v="1"/>
    <n v="357.42"/>
    <d v="2024-09-19T00:00:00"/>
  </r>
  <r>
    <n v="100227"/>
    <x v="98"/>
    <s v="Bianca Freitas"/>
    <s v="BOLETO"/>
    <x v="2"/>
    <x v="1"/>
    <n v="0"/>
    <n v="443"/>
    <s v="Nordeste"/>
    <x v="2"/>
    <n v="1040.83"/>
    <d v="2024-09-18T00:00:00"/>
  </r>
  <r>
    <n v="100796"/>
    <x v="65"/>
    <s v="Gabriela Rocha"/>
    <s v="BOLETO"/>
    <x v="0"/>
    <x v="1"/>
    <n v="0"/>
    <n v="571"/>
    <s v="Centro-Oeste"/>
    <x v="2"/>
    <n v="645.29999999999995"/>
    <d v="2024-09-18T00:00:00"/>
  </r>
  <r>
    <n v="100055"/>
    <x v="48"/>
    <s v="Mariana Cardoso"/>
    <s v="PIX"/>
    <x v="3"/>
    <x v="1"/>
    <n v="0"/>
    <n v="733"/>
    <s v="Nordeste"/>
    <x v="1"/>
    <n v="360.44"/>
    <d v="2024-09-18T00:00:00"/>
  </r>
  <r>
    <n v="101152"/>
    <x v="3"/>
    <s v="William Santos"/>
    <s v="CARTÃO DE DÉBITO"/>
    <x v="0"/>
    <x v="0"/>
    <n v="15"/>
    <n v="818"/>
    <s v="Sudeste"/>
    <x v="1"/>
    <n v="311.25"/>
    <d v="2024-09-18T00:00:00"/>
  </r>
  <r>
    <n v="102098"/>
    <x v="19"/>
    <s v="Elaine Ferreira"/>
    <s v="TED"/>
    <x v="5"/>
    <x v="1"/>
    <n v="0"/>
    <n v="508"/>
    <s v="Centro-Oeste"/>
    <x v="0"/>
    <n v="261.89"/>
    <d v="2024-09-18T00:00:00"/>
  </r>
  <r>
    <n v="102119"/>
    <x v="102"/>
    <s v="Ana Souza"/>
    <s v="CARTÃO DE CRÉDITO"/>
    <x v="0"/>
    <x v="1"/>
    <n v="0"/>
    <n v="430"/>
    <s v="Sul"/>
    <x v="2"/>
    <n v="246.94"/>
    <d v="2024-09-18T00:00:00"/>
  </r>
  <r>
    <n v="100546"/>
    <x v="13"/>
    <s v="Yasmin Araujo"/>
    <s v="BOLETO"/>
    <x v="5"/>
    <x v="1"/>
    <n v="0"/>
    <n v="800"/>
    <s v="Centro-Oeste"/>
    <x v="1"/>
    <n v="112.63"/>
    <d v="2024-09-18T00:00:00"/>
  </r>
  <r>
    <n v="101926"/>
    <x v="187"/>
    <s v="Diego Alves"/>
    <s v="TED"/>
    <x v="2"/>
    <x v="1"/>
    <n v="0"/>
    <n v="301"/>
    <s v="Centro-Oeste"/>
    <x v="0"/>
    <n v="38.64"/>
    <d v="2024-09-18T00:00:00"/>
  </r>
  <r>
    <n v="100035"/>
    <x v="110"/>
    <s v="Carla Mendes"/>
    <s v="BOLETO"/>
    <x v="4"/>
    <x v="2"/>
    <n v="0"/>
    <n v="540"/>
    <s v="Nordeste"/>
    <x v="1"/>
    <n v="658.68"/>
    <d v="2024-09-17T00:00:00"/>
  </r>
  <r>
    <n v="101222"/>
    <x v="254"/>
    <s v="William Santos"/>
    <s v="TED"/>
    <x v="2"/>
    <x v="1"/>
    <s v="Não Informado"/>
    <n v="369"/>
    <s v="Não Informado"/>
    <x v="2"/>
    <n v="76.3"/>
    <d v="2024-09-17T00:00:00"/>
  </r>
  <r>
    <n v="100435"/>
    <x v="242"/>
    <s v="William Santos"/>
    <s v="TED"/>
    <x v="5"/>
    <x v="3"/>
    <n v="96"/>
    <n v="570"/>
    <s v="Norte"/>
    <x v="1"/>
    <n v="383.54"/>
    <d v="2024-09-16T00:00:00"/>
  </r>
  <r>
    <n v="100716"/>
    <x v="9"/>
    <s v="Isabela Nunes"/>
    <s v="TED"/>
    <x v="6"/>
    <x v="1"/>
    <n v="0"/>
    <n v="678"/>
    <s v="Sudeste"/>
    <x v="1"/>
    <n v="379.4"/>
    <d v="2024-09-16T00:00:00"/>
  </r>
  <r>
    <n v="101783"/>
    <x v="29"/>
    <s v="Carla Mendes"/>
    <s v="PIX"/>
    <x v="5"/>
    <x v="1"/>
    <n v="0"/>
    <n v="394"/>
    <s v="Nordeste"/>
    <x v="2"/>
    <n v="222.82"/>
    <d v="2024-09-16T00:00:00"/>
  </r>
  <r>
    <n v="101254"/>
    <x v="145"/>
    <s v="Ana Souza"/>
    <s v="PIX"/>
    <x v="2"/>
    <x v="1"/>
    <n v="0"/>
    <n v="784"/>
    <s v="Norte"/>
    <x v="1"/>
    <n v="159.88999999999999"/>
    <d v="2024-09-15T00:00:00"/>
  </r>
  <r>
    <n v="102048"/>
    <x v="85"/>
    <s v="Ana Souza"/>
    <s v="BOLETO"/>
    <x v="4"/>
    <x v="0"/>
    <n v="12"/>
    <n v="465"/>
    <s v="Sul"/>
    <x v="1"/>
    <n v="668.89"/>
    <d v="2024-09-14T00:00:00"/>
  </r>
  <r>
    <n v="101371"/>
    <x v="148"/>
    <s v="Gabriela Rocha"/>
    <s v="TED"/>
    <x v="3"/>
    <x v="1"/>
    <n v="0"/>
    <n v="720"/>
    <s v="Sul"/>
    <x v="1"/>
    <n v="474.48"/>
    <d v="2024-09-14T00:00:00"/>
  </r>
  <r>
    <n v="102066"/>
    <x v="66"/>
    <s v="Mariana Cardoso"/>
    <s v="PIX"/>
    <x v="7"/>
    <x v="1"/>
    <n v="0"/>
    <n v="351"/>
    <s v="Norte"/>
    <x v="1"/>
    <n v="170.71"/>
    <d v="2024-09-14T00:00:00"/>
  </r>
  <r>
    <n v="100236"/>
    <x v="9"/>
    <s v="Isabela Nunes"/>
    <s v="BOLETO"/>
    <x v="7"/>
    <x v="0"/>
    <n v="7"/>
    <n v="678"/>
    <s v="Norte"/>
    <x v="2"/>
    <n v="741.6"/>
    <d v="2024-09-13T00:00:00"/>
  </r>
  <r>
    <n v="101676"/>
    <x v="34"/>
    <s v="Debora Pinto"/>
    <s v="TED"/>
    <x v="5"/>
    <x v="0"/>
    <n v="27"/>
    <n v="585"/>
    <s v="Sudeste"/>
    <x v="1"/>
    <n v="661.52"/>
    <d v="2024-09-13T00:00:00"/>
  </r>
  <r>
    <n v="102067"/>
    <x v="0"/>
    <s v="Heitor Barbosa"/>
    <s v="PIX"/>
    <x v="0"/>
    <x v="1"/>
    <n v="0"/>
    <n v="826"/>
    <s v="Norte"/>
    <x v="1"/>
    <n v="571.25"/>
    <d v="2024-09-13T00:00:00"/>
  </r>
  <r>
    <n v="100829"/>
    <x v="46"/>
    <s v="Rafael Pereira"/>
    <s v="TED"/>
    <x v="0"/>
    <x v="2"/>
    <n v="0"/>
    <n v="399"/>
    <s v="Nordeste"/>
    <x v="2"/>
    <n v="287.17"/>
    <d v="2024-09-13T00:00:00"/>
  </r>
  <r>
    <n v="101311"/>
    <x v="0"/>
    <s v="Heitor Barbosa"/>
    <s v="PIX"/>
    <x v="7"/>
    <x v="0"/>
    <n v="19"/>
    <n v="826"/>
    <s v="Nordeste"/>
    <x v="2"/>
    <n v="231.46"/>
    <d v="2024-09-13T00:00:00"/>
  </r>
  <r>
    <n v="101897"/>
    <x v="188"/>
    <s v="Fabio Costa"/>
    <s v="CARTÃO DE DÉBITO"/>
    <x v="1"/>
    <x v="2"/>
    <n v="0"/>
    <n v="383"/>
    <s v="Sul"/>
    <x v="2"/>
    <n v="451.98"/>
    <d v="2024-09-12T00:00:00"/>
  </r>
  <r>
    <n v="101930"/>
    <x v="90"/>
    <s v="Elaine Ferreira"/>
    <s v="BOLETO"/>
    <x v="6"/>
    <x v="2"/>
    <n v="0"/>
    <n v="659"/>
    <s v="Sudeste"/>
    <x v="1"/>
    <n v="320.45999999999998"/>
    <d v="2024-09-12T00:00:00"/>
  </r>
  <r>
    <n v="101792"/>
    <x v="69"/>
    <s v="Ana Souza"/>
    <s v="BOLETO"/>
    <x v="2"/>
    <x v="1"/>
    <n v="0"/>
    <n v="741"/>
    <s v="Norte"/>
    <x v="1"/>
    <n v="135.46"/>
    <d v="2024-09-12T00:00:00"/>
  </r>
  <r>
    <n v="100287"/>
    <x v="82"/>
    <s v="Vanessa Duarte"/>
    <s v="PIX"/>
    <x v="5"/>
    <x v="1"/>
    <n v="0"/>
    <n v="352"/>
    <s v="Norte"/>
    <x v="2"/>
    <n v="945.13"/>
    <d v="2024-09-11T00:00:00"/>
  </r>
  <r>
    <n v="100514"/>
    <x v="175"/>
    <s v="Debora Pinto"/>
    <s v="PIX"/>
    <x v="0"/>
    <x v="1"/>
    <n v="0"/>
    <n v="588"/>
    <s v="Norte"/>
    <x v="2"/>
    <n v="522.12"/>
    <d v="2024-09-11T00:00:00"/>
  </r>
  <r>
    <n v="101059"/>
    <x v="97"/>
    <s v="Sandra Vieira"/>
    <s v="TED"/>
    <x v="3"/>
    <x v="2"/>
    <n v="0"/>
    <n v="688"/>
    <s v="Norte"/>
    <x v="1"/>
    <n v="489.05"/>
    <d v="2024-09-11T00:00:00"/>
  </r>
  <r>
    <n v="101084"/>
    <x v="206"/>
    <s v="Carla Mendes"/>
    <s v="CARTÃO DE CRÉDITO"/>
    <x v="0"/>
    <x v="1"/>
    <n v="0"/>
    <n v="468"/>
    <s v="Centro-Oeste"/>
    <x v="0"/>
    <n v="464.64"/>
    <d v="2024-09-11T00:00:00"/>
  </r>
  <r>
    <n v="100549"/>
    <x v="84"/>
    <s v="Mariana Cardoso"/>
    <s v="PIX"/>
    <x v="3"/>
    <x v="1"/>
    <n v="0"/>
    <n v="437"/>
    <s v="Sudeste"/>
    <x v="0"/>
    <n v="461.31"/>
    <d v="2024-09-11T00:00:00"/>
  </r>
  <r>
    <n v="100528"/>
    <x v="25"/>
    <s v="Sandra Vieira"/>
    <s v="PIX"/>
    <x v="3"/>
    <x v="1"/>
    <n v="0"/>
    <n v="309"/>
    <s v="Centro-Oeste"/>
    <x v="2"/>
    <n v="386.03"/>
    <d v="2024-09-11T00:00:00"/>
  </r>
  <r>
    <n v="100221"/>
    <x v="176"/>
    <s v="Lucas Martins"/>
    <s v="PIX"/>
    <x v="2"/>
    <x v="2"/>
    <n v="0"/>
    <n v="765"/>
    <s v="Centro-Oeste"/>
    <x v="0"/>
    <n v="180.41"/>
    <d v="2024-09-11T00:00:00"/>
  </r>
  <r>
    <n v="100649"/>
    <x v="137"/>
    <s v="Caio Monteiro"/>
    <s v="CARTÃO DE DÉBITO"/>
    <x v="2"/>
    <x v="1"/>
    <n v="0"/>
    <n v="332"/>
    <s v="Não Informado"/>
    <x v="2"/>
    <n v="909.6"/>
    <d v="2024-09-10T00:00:00"/>
  </r>
  <r>
    <n v="100251"/>
    <x v="202"/>
    <s v="Rafael Pereira"/>
    <s v="CARTÃO DE DÉBITO"/>
    <x v="4"/>
    <x v="1"/>
    <n v="0"/>
    <n v="641"/>
    <s v="Sul"/>
    <x v="2"/>
    <n v="669.3"/>
    <d v="2024-09-10T00:00:00"/>
  </r>
  <r>
    <n v="101162"/>
    <x v="220"/>
    <s v="Vanessa Duarte"/>
    <s v="TED"/>
    <x v="0"/>
    <x v="2"/>
    <n v="0"/>
    <n v="542"/>
    <s v="Não Informado"/>
    <x v="2"/>
    <n v="506.6"/>
    <d v="2024-09-10T00:00:00"/>
  </r>
  <r>
    <n v="100144"/>
    <x v="125"/>
    <s v="Thiago Correia"/>
    <s v="TED"/>
    <x v="5"/>
    <x v="0"/>
    <n v="28"/>
    <n v="867"/>
    <s v="Sudeste"/>
    <x v="2"/>
    <n v="176.35"/>
    <d v="2024-09-10T00:00:00"/>
  </r>
  <r>
    <n v="101243"/>
    <x v="95"/>
    <s v="Joao Pedro Dias"/>
    <s v="TED"/>
    <x v="3"/>
    <x v="1"/>
    <n v="0"/>
    <n v="823"/>
    <s v="Nordeste"/>
    <x v="2"/>
    <n v="776.95"/>
    <d v="2024-09-09T00:00:00"/>
  </r>
  <r>
    <n v="100130"/>
    <x v="69"/>
    <s v="Ana Souza"/>
    <s v="BOLETO"/>
    <x v="7"/>
    <x v="1"/>
    <n v="0"/>
    <n v="741"/>
    <s v="Norte"/>
    <x v="1"/>
    <n v="629.46"/>
    <d v="2024-09-09T00:00:00"/>
  </r>
  <r>
    <n v="101259"/>
    <x v="191"/>
    <s v="Diego Alves"/>
    <s v="PIX"/>
    <x v="7"/>
    <x v="2"/>
    <n v="0"/>
    <n v="863"/>
    <s v="Norte"/>
    <x v="0"/>
    <n v="333.04"/>
    <d v="2024-09-09T00:00:00"/>
  </r>
  <r>
    <n v="101067"/>
    <x v="48"/>
    <s v="Mariana Cardoso"/>
    <s v="TED"/>
    <x v="1"/>
    <x v="2"/>
    <n v="0"/>
    <n v="733"/>
    <s v="Centro-Oeste"/>
    <x v="1"/>
    <n v="310.3"/>
    <d v="2024-09-09T00:00:00"/>
  </r>
  <r>
    <n v="101769"/>
    <x v="5"/>
    <s v="Bruno Lima"/>
    <s v="CARTÃO DE CRÉDITO"/>
    <x v="4"/>
    <x v="2"/>
    <n v="0"/>
    <n v="434"/>
    <s v="Sudeste"/>
    <x v="0"/>
    <n v="1016.69"/>
    <d v="2024-09-07T00:00:00"/>
  </r>
  <r>
    <n v="102122"/>
    <x v="159"/>
    <s v="Bianca Freitas"/>
    <s v="BOLETO"/>
    <x v="0"/>
    <x v="1"/>
    <n v="0"/>
    <n v="375"/>
    <s v="Centro-Oeste"/>
    <x v="2"/>
    <n v="714.38"/>
    <d v="2024-09-07T00:00:00"/>
  </r>
  <r>
    <n v="101187"/>
    <x v="247"/>
    <s v="Debora Pinto"/>
    <s v="BOLETO"/>
    <x v="2"/>
    <x v="3"/>
    <n v="60"/>
    <n v="452"/>
    <s v="Norte"/>
    <x v="1"/>
    <n v="530.13"/>
    <d v="2024-09-07T00:00:00"/>
  </r>
  <r>
    <n v="101701"/>
    <x v="27"/>
    <s v="William Santos"/>
    <s v="PIX"/>
    <x v="1"/>
    <x v="1"/>
    <n v="0"/>
    <n v="716"/>
    <s v="Centro-Oeste"/>
    <x v="0"/>
    <n v="110.955"/>
    <d v="2024-09-07T00:00:00"/>
  </r>
  <r>
    <n v="100911"/>
    <x v="226"/>
    <s v="Diego Alves"/>
    <s v="CARTÃO DE CRÉDITO"/>
    <x v="2"/>
    <x v="0"/>
    <n v="15"/>
    <n v="781"/>
    <s v="Sudeste"/>
    <x v="2"/>
    <n v="603.33000000000004"/>
    <d v="2024-09-06T00:00:00"/>
  </r>
  <r>
    <n v="100698"/>
    <x v="18"/>
    <s v="Gabriela Rocha"/>
    <s v="PIX"/>
    <x v="1"/>
    <x v="1"/>
    <n v="0"/>
    <n v="466"/>
    <s v="Sul"/>
    <x v="0"/>
    <n v="216.7"/>
    <d v="2024-09-06T00:00:00"/>
  </r>
  <r>
    <n v="101117"/>
    <x v="240"/>
    <s v="Sandra Vieira"/>
    <s v="CARTÃO DE CRÉDITO"/>
    <x v="0"/>
    <x v="1"/>
    <n v="0"/>
    <n v="552"/>
    <s v="Norte"/>
    <x v="1"/>
    <n v="184.08"/>
    <d v="2024-09-06T00:00:00"/>
  </r>
  <r>
    <n v="101511"/>
    <x v="66"/>
    <s v="Mariana Cardoso"/>
    <s v="TED"/>
    <x v="4"/>
    <x v="1"/>
    <n v="0"/>
    <n v="351"/>
    <s v="Nordeste"/>
    <x v="1"/>
    <n v="95.99"/>
    <d v="2024-09-06T00:00:00"/>
  </r>
  <r>
    <n v="100129"/>
    <x v="250"/>
    <s v="Caio Monteiro"/>
    <s v="CARTÃO DE DÉBITO"/>
    <x v="1"/>
    <x v="1"/>
    <n v="0"/>
    <n v="864"/>
    <s v="Centro-Oeste"/>
    <x v="1"/>
    <n v="479.25"/>
    <d v="2024-09-05T00:00:00"/>
  </r>
  <r>
    <n v="101899"/>
    <x v="102"/>
    <s v="Ana Souza"/>
    <s v="BOLETO"/>
    <x v="4"/>
    <x v="1"/>
    <n v="0"/>
    <n v="430"/>
    <s v="Sul"/>
    <x v="0"/>
    <n v="402.02"/>
    <d v="2024-09-05T00:00:00"/>
  </r>
  <r>
    <n v="101668"/>
    <x v="231"/>
    <s v="Lucas Martins"/>
    <s v="BOLETO"/>
    <x v="0"/>
    <x v="1"/>
    <n v="0"/>
    <n v="315"/>
    <s v="Centro-Oeste"/>
    <x v="2"/>
    <n v="165.72"/>
    <d v="2024-09-05T00:00:00"/>
  </r>
  <r>
    <n v="100646"/>
    <x v="32"/>
    <s v="Carla Mendes"/>
    <s v="CARTÃO DE CRÉDITO"/>
    <x v="4"/>
    <x v="3"/>
    <n v="63"/>
    <n v="324"/>
    <s v="Norte"/>
    <x v="0"/>
    <n v="125.58"/>
    <d v="2024-09-05T00:00:00"/>
  </r>
  <r>
    <n v="101416"/>
    <x v="211"/>
    <s v="Elaine Ferreira"/>
    <s v="TED"/>
    <x v="4"/>
    <x v="1"/>
    <n v="0"/>
    <n v="550"/>
    <s v="Sudeste"/>
    <x v="1"/>
    <n v="111.8"/>
    <d v="2024-09-05T00:00:00"/>
  </r>
  <r>
    <n v="100392"/>
    <x v="160"/>
    <s v="Otavio Ramos"/>
    <s v="PIX"/>
    <x v="6"/>
    <x v="3"/>
    <n v="56"/>
    <n v="740"/>
    <s v="Não Informado"/>
    <x v="1"/>
    <n v="546.55999999999995"/>
    <d v="2024-09-04T00:00:00"/>
  </r>
  <r>
    <n v="100072"/>
    <x v="198"/>
    <s v="Gabriela Rocha"/>
    <s v="CARTÃO DE DÉBITO"/>
    <x v="3"/>
    <x v="1"/>
    <n v="0"/>
    <n v="518"/>
    <s v="Não Informado"/>
    <x v="2"/>
    <n v="415.75"/>
    <d v="2024-09-04T00:00:00"/>
  </r>
  <r>
    <n v="100356"/>
    <x v="153"/>
    <s v="Diego Alves"/>
    <s v="CARTÃO DE DÉBITO"/>
    <x v="4"/>
    <x v="2"/>
    <n v="0"/>
    <n v="797"/>
    <s v="Não Informado"/>
    <x v="1"/>
    <n v="363.63"/>
    <d v="2024-09-04T00:00:00"/>
  </r>
  <r>
    <n v="101954"/>
    <x v="235"/>
    <s v="Sandra Vieira"/>
    <s v="CARTÃO DE DÉBITO"/>
    <x v="4"/>
    <x v="1"/>
    <n v="0"/>
    <n v="609"/>
    <s v="Sudeste"/>
    <x v="1"/>
    <n v="122.1"/>
    <d v="2024-09-04T00:00:00"/>
  </r>
  <r>
    <n v="100969"/>
    <x v="97"/>
    <s v="Sandra Vieira"/>
    <s v="CARTÃO DE CRÉDITO"/>
    <x v="3"/>
    <x v="1"/>
    <n v="0"/>
    <n v="688"/>
    <s v="Centro-Oeste"/>
    <x v="0"/>
    <n v="511.19"/>
    <d v="2024-09-03T00:00:00"/>
  </r>
  <r>
    <n v="102142"/>
    <x v="77"/>
    <s v="Carla Mendes"/>
    <s v="TED"/>
    <x v="3"/>
    <x v="2"/>
    <n v="0"/>
    <n v="884"/>
    <s v="Sudeste"/>
    <x v="1"/>
    <n v="285.72000000000003"/>
    <d v="2024-09-03T00:00:00"/>
  </r>
  <r>
    <n v="100691"/>
    <x v="55"/>
    <s v="Carla Mendes"/>
    <s v="CARTÃO DE CRÉDITO"/>
    <x v="3"/>
    <x v="2"/>
    <n v="0"/>
    <n v="616"/>
    <s v="Sudeste"/>
    <x v="0"/>
    <n v="745.74"/>
    <d v="2024-09-02T00:00:00"/>
  </r>
  <r>
    <n v="101723"/>
    <x v="48"/>
    <s v="Mariana Cardoso"/>
    <s v="PIX"/>
    <x v="1"/>
    <x v="0"/>
    <n v="29"/>
    <n v="733"/>
    <s v="Sudeste"/>
    <x v="2"/>
    <n v="674.05"/>
    <d v="2024-09-02T00:00:00"/>
  </r>
  <r>
    <n v="100527"/>
    <x v="113"/>
    <s v="Caio Monteiro"/>
    <s v="CARTÃO DE CRÉDITO"/>
    <x v="0"/>
    <x v="2"/>
    <n v="0"/>
    <n v="308"/>
    <s v="Centro-Oeste"/>
    <x v="2"/>
    <n v="237.73"/>
    <d v="2024-09-02T00:00:00"/>
  </r>
  <r>
    <n v="101603"/>
    <x v="241"/>
    <s v="Ana Souza"/>
    <s v="CARTÃO DE DÉBITO"/>
    <x v="4"/>
    <x v="1"/>
    <n v="0"/>
    <n v="339"/>
    <s v="Não Informado"/>
    <x v="1"/>
    <n v="222.49"/>
    <d v="2024-09-02T00:00:00"/>
  </r>
  <r>
    <n v="100099"/>
    <x v="227"/>
    <s v="Heitor Barbosa"/>
    <s v="CARTÃO DE DÉBITO"/>
    <x v="7"/>
    <x v="3"/>
    <n v="43"/>
    <n v="461"/>
    <s v="Norte"/>
    <x v="1"/>
    <n v="148.78"/>
    <d v="2024-09-02T00:00:00"/>
  </r>
  <r>
    <n v="100334"/>
    <x v="80"/>
    <s v="Isabela Nunes"/>
    <s v="CARTÃO DE CRÉDITO"/>
    <x v="6"/>
    <x v="1"/>
    <n v="0"/>
    <n v="433"/>
    <s v="Sul"/>
    <x v="0"/>
    <n v="584.03"/>
    <d v="2024-09-01T00:00:00"/>
  </r>
  <r>
    <n v="100561"/>
    <x v="245"/>
    <s v="Vanessa Duarte"/>
    <s v="BOLETO"/>
    <x v="5"/>
    <x v="0"/>
    <n v="16"/>
    <n v="571"/>
    <s v="Nordeste"/>
    <x v="0"/>
    <n v="22.93"/>
    <d v="2024-09-01T00:00:00"/>
  </r>
  <r>
    <n v="100158"/>
    <x v="249"/>
    <s v="Isabela Nunes"/>
    <s v="TED"/>
    <x v="3"/>
    <x v="2"/>
    <n v="0"/>
    <n v="358"/>
    <s v="Sul"/>
    <x v="1"/>
    <n v="3.08"/>
    <d v="2024-09-01T00:00:00"/>
  </r>
  <r>
    <n v="100313"/>
    <x v="181"/>
    <s v="Diego Alves"/>
    <s v="TED"/>
    <x v="4"/>
    <x v="1"/>
    <n v="0"/>
    <n v="534"/>
    <s v="Norte"/>
    <x v="2"/>
    <n v="173.89500000000001"/>
    <d v="2024-08-31T00:00:00"/>
  </r>
  <r>
    <n v="100846"/>
    <x v="94"/>
    <s v="Gabriela Rocha"/>
    <s v="CARTÃO DE CRÉDITO"/>
    <x v="4"/>
    <x v="0"/>
    <n v="28"/>
    <n v="555"/>
    <s v="Sudeste"/>
    <x v="1"/>
    <n v="1439.48"/>
    <d v="2024-08-30T00:00:00"/>
  </r>
  <r>
    <n v="101439"/>
    <x v="225"/>
    <s v="Isabela Nunes"/>
    <s v="TED"/>
    <x v="4"/>
    <x v="2"/>
    <n v="0"/>
    <n v="638"/>
    <s v="Sul"/>
    <x v="0"/>
    <n v="735.67"/>
    <d v="2024-08-30T00:00:00"/>
  </r>
  <r>
    <n v="101898"/>
    <x v="143"/>
    <s v="Não Informado"/>
    <s v="CARTÃO DE DÉBITO"/>
    <x v="4"/>
    <x v="2"/>
    <n v="0"/>
    <n v="543"/>
    <s v="Nordeste"/>
    <x v="2"/>
    <n v="449.7"/>
    <d v="2024-08-30T00:00:00"/>
  </r>
  <r>
    <n v="100465"/>
    <x v="124"/>
    <s v="Sandra Vieira"/>
    <s v="BOLETO"/>
    <x v="1"/>
    <x v="1"/>
    <n v="0"/>
    <n v="568"/>
    <s v="Norte"/>
    <x v="2"/>
    <n v="386.69"/>
    <d v="2024-08-30T00:00:00"/>
  </r>
  <r>
    <n v="101049"/>
    <x v="171"/>
    <s v="Debora Pinto"/>
    <s v="CARTÃO DE DÉBITO"/>
    <x v="4"/>
    <x v="0"/>
    <n v="11"/>
    <n v="571"/>
    <s v="Nordeste"/>
    <x v="1"/>
    <n v="244.76"/>
    <d v="2024-08-30T00:00:00"/>
  </r>
  <r>
    <n v="100409"/>
    <x v="13"/>
    <s v="Yasmin Araujo"/>
    <s v="CARTÃO DE CRÉDITO"/>
    <x v="1"/>
    <x v="2"/>
    <s v="Não Informado"/>
    <n v="800"/>
    <s v="Sul"/>
    <x v="1"/>
    <n v="949.71"/>
    <d v="2024-08-29T00:00:00"/>
  </r>
  <r>
    <n v="102170"/>
    <x v="207"/>
    <s v="Heitor Barbosa"/>
    <s v="TED"/>
    <x v="7"/>
    <x v="1"/>
    <n v="0"/>
    <n v="647"/>
    <s v="Sul"/>
    <x v="0"/>
    <n v="489.69"/>
    <d v="2024-08-29T00:00:00"/>
  </r>
  <r>
    <n v="100412"/>
    <x v="211"/>
    <s v="Não Informado"/>
    <s v="CARTÃO DE DÉBITO"/>
    <x v="7"/>
    <x v="0"/>
    <n v="7"/>
    <n v="550"/>
    <s v="Sul"/>
    <x v="1"/>
    <n v="364.88"/>
    <d v="2024-08-29T00:00:00"/>
  </r>
  <r>
    <n v="101220"/>
    <x v="64"/>
    <s v="Nelson Teixeira"/>
    <s v="BOLETO"/>
    <x v="7"/>
    <x v="1"/>
    <n v="0"/>
    <n v="732"/>
    <s v="Norte"/>
    <x v="2"/>
    <n v="241.11"/>
    <d v="2024-08-29T00:00:00"/>
  </r>
  <r>
    <n v="101168"/>
    <x v="198"/>
    <s v="Gabriela Rocha"/>
    <s v="BOLETO"/>
    <x v="1"/>
    <x v="3"/>
    <n v="93"/>
    <n v="518"/>
    <s v="Nordeste"/>
    <x v="1"/>
    <m/>
    <d v="2024-08-29T00:00:00"/>
  </r>
  <r>
    <n v="101399"/>
    <x v="137"/>
    <s v="Caio Monteiro"/>
    <s v="TED"/>
    <x v="0"/>
    <x v="2"/>
    <n v="0"/>
    <n v="332"/>
    <s v="Sul"/>
    <x v="0"/>
    <n v="468.98"/>
    <d v="2024-08-28T00:00:00"/>
  </r>
  <r>
    <n v="101665"/>
    <x v="242"/>
    <s v="William Santos"/>
    <s v="CARTÃO DE CRÉDITO"/>
    <x v="0"/>
    <x v="1"/>
    <n v="0"/>
    <n v="570"/>
    <s v="Sul"/>
    <x v="2"/>
    <n v="425.07"/>
    <d v="2024-08-28T00:00:00"/>
  </r>
  <r>
    <n v="101647"/>
    <x v="52"/>
    <s v="Otavio Ramos"/>
    <s v="PIX"/>
    <x v="7"/>
    <x v="1"/>
    <n v="0"/>
    <n v="303"/>
    <s v="Nordeste"/>
    <x v="1"/>
    <n v="221.98"/>
    <d v="2024-08-28T00:00:00"/>
  </r>
  <r>
    <n v="100808"/>
    <x v="60"/>
    <s v="Karina Silva"/>
    <s v="TED"/>
    <x v="2"/>
    <x v="2"/>
    <n v="0"/>
    <n v="410"/>
    <s v="Norte"/>
    <x v="0"/>
    <n v="47.31"/>
    <d v="2024-08-28T00:00:00"/>
  </r>
  <r>
    <n v="101138"/>
    <x v="250"/>
    <s v="Caio Monteiro"/>
    <s v="PIX"/>
    <x v="3"/>
    <x v="2"/>
    <n v="0"/>
    <n v="864"/>
    <s v="Sudeste"/>
    <x v="3"/>
    <n v="225.73"/>
    <d v="2024-08-27T00:00:00"/>
  </r>
  <r>
    <n v="100296"/>
    <x v="164"/>
    <s v="Sandra Vieira"/>
    <s v="CARTÃO DE CRÉDITO"/>
    <x v="1"/>
    <x v="0"/>
    <n v="22"/>
    <n v="435"/>
    <s v="Nordeste"/>
    <x v="1"/>
    <n v="200.05"/>
    <d v="2024-08-27T00:00:00"/>
  </r>
  <r>
    <n v="100454"/>
    <x v="96"/>
    <s v="Rafael Pereira"/>
    <s v="CARTÃO DE CRÉDITO"/>
    <x v="2"/>
    <x v="1"/>
    <n v="0"/>
    <n v="567"/>
    <s v="Nordeste"/>
    <x v="0"/>
    <n v="134.1"/>
    <d v="2024-08-27T00:00:00"/>
  </r>
  <r>
    <n v="100704"/>
    <x v="66"/>
    <s v="Mariana Cardoso"/>
    <s v="TED"/>
    <x v="7"/>
    <x v="2"/>
    <n v="0"/>
    <n v="351"/>
    <s v="Centro-Oeste"/>
    <x v="0"/>
    <n v="212.29"/>
    <d v="2024-08-26T00:00:00"/>
  </r>
  <r>
    <n v="101196"/>
    <x v="243"/>
    <s v="Elaine Ferreira"/>
    <s v="CARTÃO DE CRÉDITO"/>
    <x v="7"/>
    <x v="3"/>
    <n v="68"/>
    <n v="481"/>
    <s v="Sudeste"/>
    <x v="1"/>
    <n v="170.66"/>
    <d v="2024-08-26T00:00:00"/>
  </r>
  <r>
    <n v="101353"/>
    <x v="230"/>
    <s v="Bruno Lima"/>
    <s v="CARTÃO DE DÉBITO"/>
    <x v="4"/>
    <x v="1"/>
    <n v="0"/>
    <n v="716"/>
    <s v="Nordeste"/>
    <x v="1"/>
    <n v="82.6"/>
    <d v="2024-08-26T00:00:00"/>
  </r>
  <r>
    <n v="102018"/>
    <x v="198"/>
    <s v="Gabriela Rocha"/>
    <s v="PIX"/>
    <x v="1"/>
    <x v="0"/>
    <n v="9"/>
    <n v="518"/>
    <s v="Norte"/>
    <x v="2"/>
    <n v="435.47"/>
    <d v="2024-08-25T00:00:00"/>
  </r>
  <r>
    <n v="101494"/>
    <x v="100"/>
    <s v="Nelson Teixeira"/>
    <s v="CARTÃO DE CRÉDITO"/>
    <x v="3"/>
    <x v="1"/>
    <n v="0"/>
    <n v="557"/>
    <s v="Centro-Oeste"/>
    <x v="0"/>
    <n v="425.32"/>
    <d v="2024-08-25T00:00:00"/>
  </r>
  <r>
    <n v="101771"/>
    <x v="72"/>
    <s v="Nelson Teixeira"/>
    <s v="PIX"/>
    <x v="4"/>
    <x v="1"/>
    <n v="0"/>
    <n v="894"/>
    <s v="Sul"/>
    <x v="1"/>
    <n v="205.84"/>
    <d v="2024-08-25T00:00:00"/>
  </r>
  <r>
    <n v="101014"/>
    <x v="62"/>
    <s v="Lucas Martins"/>
    <s v="TED"/>
    <x v="0"/>
    <x v="1"/>
    <n v="0"/>
    <n v="788"/>
    <s v="Sul"/>
    <x v="0"/>
    <n v="190.16"/>
    <d v="2024-08-25T00:00:00"/>
  </r>
  <r>
    <n v="101419"/>
    <x v="75"/>
    <s v="Carla Mendes"/>
    <s v="CARTÃO DE CRÉDITO"/>
    <x v="1"/>
    <x v="3"/>
    <n v="176"/>
    <n v="798"/>
    <s v="Centro-Oeste"/>
    <x v="2"/>
    <n v="98.32"/>
    <d v="2024-08-25T00:00:00"/>
  </r>
  <r>
    <n v="100305"/>
    <x v="84"/>
    <s v="Mariana Cardoso"/>
    <s v="BOLETO"/>
    <x v="4"/>
    <x v="1"/>
    <n v="0"/>
    <n v="437"/>
    <s v="Não Informado"/>
    <x v="1"/>
    <n v="556.73"/>
    <d v="2024-08-24T00:00:00"/>
  </r>
  <r>
    <n v="102177"/>
    <x v="140"/>
    <s v="Yasmin Araujo"/>
    <s v="CARTÃO DE DÉBITO"/>
    <x v="1"/>
    <x v="2"/>
    <n v="0"/>
    <n v="519"/>
    <s v="Norte"/>
    <x v="0"/>
    <n v="529.67999999999995"/>
    <d v="2024-08-24T00:00:00"/>
  </r>
  <r>
    <n v="101656"/>
    <x v="220"/>
    <s v="Vanessa Duarte"/>
    <s v="TED"/>
    <x v="5"/>
    <x v="3"/>
    <n v="38"/>
    <n v="542"/>
    <s v="Nordeste"/>
    <x v="1"/>
    <n v="387.57"/>
    <d v="2024-08-24T00:00:00"/>
  </r>
  <r>
    <n v="102008"/>
    <x v="251"/>
    <s v="Fabio Costa"/>
    <s v="TED"/>
    <x v="7"/>
    <x v="2"/>
    <n v="0"/>
    <n v="817"/>
    <s v="Sul"/>
    <x v="0"/>
    <n v="270.85000000000002"/>
    <d v="2024-08-24T00:00:00"/>
  </r>
  <r>
    <n v="101215"/>
    <x v="133"/>
    <s v="Nelson Teixeira"/>
    <s v="CARTÃO DE CRÉDITO"/>
    <x v="2"/>
    <x v="1"/>
    <n v="0"/>
    <n v="865"/>
    <s v="Centro-Oeste"/>
    <x v="1"/>
    <n v="255.54"/>
    <d v="2024-08-24T00:00:00"/>
  </r>
  <r>
    <n v="101562"/>
    <x v="142"/>
    <s v="Yasmin Araujo"/>
    <s v="CARTÃO DE DÉBITO"/>
    <x v="3"/>
    <x v="3"/>
    <n v="159"/>
    <n v="621"/>
    <s v="Sudeste"/>
    <x v="0"/>
    <n v="144.62"/>
    <d v="2024-08-24T00:00:00"/>
  </r>
  <r>
    <n v="100680"/>
    <x v="80"/>
    <s v="Isabela Nunes"/>
    <s v="CARTÃO DE CRÉDITO"/>
    <x v="0"/>
    <x v="1"/>
    <n v="0"/>
    <n v="433"/>
    <s v="Nordeste"/>
    <x v="1"/>
    <n v="103.12"/>
    <d v="2024-08-24T00:00:00"/>
  </r>
  <r>
    <n v="100120"/>
    <x v="117"/>
    <s v="Nelson Teixeira"/>
    <s v="TED"/>
    <x v="0"/>
    <x v="3"/>
    <n v="69"/>
    <n v="712"/>
    <s v="Sudeste"/>
    <x v="1"/>
    <n v="56.66"/>
    <d v="2024-08-24T00:00:00"/>
  </r>
  <r>
    <n v="101344"/>
    <x v="4"/>
    <s v="Bianca Freitas"/>
    <s v="PIX"/>
    <x v="4"/>
    <x v="1"/>
    <n v="0"/>
    <n v="623"/>
    <s v="Sudeste"/>
    <x v="1"/>
    <n v="584.15"/>
    <d v="2024-08-23T00:00:00"/>
  </r>
  <r>
    <n v="101109"/>
    <x v="163"/>
    <s v="Bruno Lima"/>
    <s v="CARTÃO DE DÉBITO"/>
    <x v="0"/>
    <x v="1"/>
    <n v="0"/>
    <n v="548"/>
    <s v="Sudeste"/>
    <x v="1"/>
    <n v="478.64"/>
    <d v="2024-08-23T00:00:00"/>
  </r>
  <r>
    <n v="102076"/>
    <x v="77"/>
    <s v="Carla Mendes"/>
    <s v="BOLETO"/>
    <x v="0"/>
    <x v="1"/>
    <n v="0"/>
    <n v="884"/>
    <s v="Sul"/>
    <x v="0"/>
    <n v="381.83"/>
    <d v="2024-08-23T00:00:00"/>
  </r>
  <r>
    <n v="100363"/>
    <x v="162"/>
    <s v="Mariana Cardoso"/>
    <s v="PIX"/>
    <x v="2"/>
    <x v="2"/>
    <n v="0"/>
    <n v="360"/>
    <s v="Nordeste"/>
    <x v="1"/>
    <n v="306.01"/>
    <d v="2024-08-23T00:00:00"/>
  </r>
  <r>
    <n v="102184"/>
    <x v="86"/>
    <s v="Isabela Nunes"/>
    <s v="BOLETO"/>
    <x v="0"/>
    <x v="1"/>
    <n v="0"/>
    <n v="382"/>
    <s v="Nordeste"/>
    <x v="2"/>
    <m/>
    <d v="2024-08-23T00:00:00"/>
  </r>
  <r>
    <n v="100973"/>
    <x v="27"/>
    <s v="Não Informado"/>
    <s v="PIX"/>
    <x v="2"/>
    <x v="1"/>
    <n v="0"/>
    <n v="716"/>
    <s v="Nordeste"/>
    <x v="0"/>
    <n v="1021.1"/>
    <d v="2024-08-22T00:00:00"/>
  </r>
  <r>
    <n v="101070"/>
    <x v="252"/>
    <s v="Diego Alves"/>
    <s v="PIX"/>
    <x v="4"/>
    <x v="1"/>
    <n v="0"/>
    <n v="678"/>
    <s v="Sudeste"/>
    <x v="1"/>
    <n v="372.39"/>
    <d v="2024-08-22T00:00:00"/>
  </r>
  <r>
    <n v="101508"/>
    <x v="63"/>
    <s v="Heitor Barbosa"/>
    <s v="CARTÃO DE CRÉDITO"/>
    <x v="2"/>
    <x v="0"/>
    <n v="10"/>
    <n v="509"/>
    <s v="Centro-Oeste"/>
    <x v="1"/>
    <n v="256.77999999999997"/>
    <d v="2024-08-22T00:00:00"/>
  </r>
  <r>
    <n v="100809"/>
    <x v="85"/>
    <s v="Ana Souza"/>
    <s v="BOLETO"/>
    <x v="5"/>
    <x v="1"/>
    <n v="0"/>
    <n v="465"/>
    <s v="Norte"/>
    <x v="1"/>
    <n v="284.47000000000003"/>
    <d v="2024-08-21T00:00:00"/>
  </r>
  <r>
    <n v="100755"/>
    <x v="29"/>
    <s v="Carla Mendes"/>
    <s v="CARTÃO DE CRÉDITO"/>
    <x v="2"/>
    <x v="1"/>
    <s v="Não Informado"/>
    <n v="394"/>
    <s v="Sul"/>
    <x v="0"/>
    <n v="259.73"/>
    <d v="2024-08-21T00:00:00"/>
  </r>
  <r>
    <n v="101940"/>
    <x v="187"/>
    <s v="Diego Alves"/>
    <s v="CARTÃO DE DÉBITO"/>
    <x v="7"/>
    <x v="1"/>
    <n v="0"/>
    <n v="301"/>
    <s v="Nordeste"/>
    <x v="0"/>
    <n v="174.375"/>
    <d v="2024-08-21T00:00:00"/>
  </r>
  <r>
    <n v="101417"/>
    <x v="251"/>
    <s v="Fabio Costa"/>
    <s v="PIX"/>
    <x v="3"/>
    <x v="0"/>
    <n v="28"/>
    <n v="817"/>
    <s v="Nordeste"/>
    <x v="1"/>
    <n v="1355.86"/>
    <d v="2024-08-20T00:00:00"/>
  </r>
  <r>
    <n v="100186"/>
    <x v="235"/>
    <s v="Sandra Vieira"/>
    <s v="BOLETO"/>
    <x v="5"/>
    <x v="1"/>
    <n v="0"/>
    <n v="609"/>
    <s v="Centro-Oeste"/>
    <x v="2"/>
    <n v="770.17"/>
    <d v="2024-08-20T00:00:00"/>
  </r>
  <r>
    <n v="101794"/>
    <x v="138"/>
    <s v="Thiago Correia"/>
    <s v="CARTÃO DE CRÉDITO"/>
    <x v="5"/>
    <x v="1"/>
    <n v="0"/>
    <n v="592"/>
    <s v="Norte"/>
    <x v="2"/>
    <n v="649.64"/>
    <d v="2024-08-20T00:00:00"/>
  </r>
  <r>
    <n v="102132"/>
    <x v="121"/>
    <s v="Isabela Nunes"/>
    <s v="CARTÃO DE DÉBITO"/>
    <x v="3"/>
    <x v="0"/>
    <n v="5"/>
    <n v="585"/>
    <s v="Nordeste"/>
    <x v="1"/>
    <n v="583.61"/>
    <d v="2024-08-20T00:00:00"/>
  </r>
  <r>
    <n v="101492"/>
    <x v="161"/>
    <s v="Isabela Nunes"/>
    <s v="PIX"/>
    <x v="4"/>
    <x v="0"/>
    <n v="28"/>
    <n v="470"/>
    <s v="Sudeste"/>
    <x v="1"/>
    <n v="532.22"/>
    <d v="2024-08-20T00:00:00"/>
  </r>
  <r>
    <n v="101332"/>
    <x v="2"/>
    <s v="Lucas Martins"/>
    <s v="TED"/>
    <x v="5"/>
    <x v="1"/>
    <s v="Não Informado"/>
    <n v="461"/>
    <s v="Sudeste"/>
    <x v="2"/>
    <n v="324.18"/>
    <d v="2024-08-20T00:00:00"/>
  </r>
  <r>
    <n v="100302"/>
    <x v="119"/>
    <s v="Mariana Cardoso"/>
    <s v="BOLETO"/>
    <x v="3"/>
    <x v="1"/>
    <n v="0"/>
    <n v="374"/>
    <s v="Sul"/>
    <x v="1"/>
    <n v="213.18"/>
    <d v="2024-08-20T00:00:00"/>
  </r>
  <r>
    <n v="100834"/>
    <x v="166"/>
    <s v="Bianca Freitas"/>
    <s v="CARTÃO DE DÉBITO"/>
    <x v="7"/>
    <x v="2"/>
    <n v="0"/>
    <n v="490"/>
    <s v="Não Informado"/>
    <x v="0"/>
    <n v="207.24"/>
    <d v="2024-08-20T00:00:00"/>
  </r>
  <r>
    <n v="100033"/>
    <x v="18"/>
    <s v="Gabriela Rocha"/>
    <s v="CARTÃO DE CRÉDITO"/>
    <x v="0"/>
    <x v="1"/>
    <n v="0"/>
    <n v="466"/>
    <s v="Centro-Oeste"/>
    <x v="1"/>
    <n v="195.51"/>
    <d v="2024-08-20T00:00:00"/>
  </r>
  <r>
    <n v="101799"/>
    <x v="226"/>
    <s v="Diego Alves"/>
    <s v="CARTÃO DE CRÉDITO"/>
    <x v="5"/>
    <x v="2"/>
    <n v="0"/>
    <n v="781"/>
    <s v="Norte"/>
    <x v="1"/>
    <n v="669.41"/>
    <d v="2024-08-19T00:00:00"/>
  </r>
  <r>
    <n v="101996"/>
    <x v="194"/>
    <s v="Heitor Barbosa"/>
    <s v="BOLETO"/>
    <x v="1"/>
    <x v="0"/>
    <n v="7"/>
    <n v="396"/>
    <s v="Sul"/>
    <x v="2"/>
    <n v="649.52"/>
    <d v="2024-08-19T00:00:00"/>
  </r>
  <r>
    <n v="101828"/>
    <x v="92"/>
    <s v="Rafael Pereira"/>
    <s v="BOLETO"/>
    <x v="7"/>
    <x v="1"/>
    <n v="0"/>
    <n v="866"/>
    <s v="Centro-Oeste"/>
    <x v="0"/>
    <n v="426.17"/>
    <d v="2024-08-19T00:00:00"/>
  </r>
  <r>
    <n v="101363"/>
    <x v="152"/>
    <s v="Isabela Nunes"/>
    <s v="PIX"/>
    <x v="7"/>
    <x v="3"/>
    <n v="103"/>
    <n v="673"/>
    <s v="Nordeste"/>
    <x v="1"/>
    <n v="226.86"/>
    <d v="2024-08-19T00:00:00"/>
  </r>
  <r>
    <n v="100051"/>
    <x v="58"/>
    <s v="Karina Silva"/>
    <s v="BOLETO"/>
    <x v="3"/>
    <x v="0"/>
    <n v="28"/>
    <n v="544"/>
    <s v="Norte"/>
    <x v="1"/>
    <n v="173.81"/>
    <d v="2024-08-19T00:00:00"/>
  </r>
  <r>
    <n v="100020"/>
    <x v="139"/>
    <s v="Diego Alves"/>
    <s v="BOLETO"/>
    <x v="1"/>
    <x v="3"/>
    <n v="146"/>
    <n v="362"/>
    <s v="Centro-Oeste"/>
    <x v="0"/>
    <n v="137.22999999999999"/>
    <d v="2024-08-19T00:00:00"/>
  </r>
  <r>
    <n v="100114"/>
    <x v="243"/>
    <s v="Elaine Ferreira"/>
    <s v="TED"/>
    <x v="2"/>
    <x v="1"/>
    <n v="0"/>
    <n v="481"/>
    <s v="Sul"/>
    <x v="2"/>
    <n v="543.96"/>
    <d v="2024-08-18T00:00:00"/>
  </r>
  <r>
    <n v="101221"/>
    <x v="148"/>
    <s v="Gabriela Rocha"/>
    <s v="PIX"/>
    <x v="0"/>
    <x v="0"/>
    <n v="12"/>
    <n v="720"/>
    <s v="Sudeste"/>
    <x v="0"/>
    <n v="502.52"/>
    <d v="2024-08-18T00:00:00"/>
  </r>
  <r>
    <n v="100181"/>
    <x v="81"/>
    <s v="Bruno Lima"/>
    <s v="CARTÃO DE CRÉDITO"/>
    <x v="1"/>
    <x v="1"/>
    <s v="Não Informado"/>
    <n v="658"/>
    <s v="Centro-Oeste"/>
    <x v="1"/>
    <n v="365.69"/>
    <d v="2024-08-18T00:00:00"/>
  </r>
  <r>
    <n v="100028"/>
    <x v="129"/>
    <s v="Heitor Barbosa"/>
    <s v="PIX"/>
    <x v="2"/>
    <x v="0"/>
    <n v="15"/>
    <n v="832"/>
    <s v="Sudeste"/>
    <x v="1"/>
    <n v="267.26"/>
    <d v="2024-08-18T00:00:00"/>
  </r>
  <r>
    <n v="102134"/>
    <x v="103"/>
    <s v="Ana Souza"/>
    <s v="PIX"/>
    <x v="4"/>
    <x v="2"/>
    <n v="0"/>
    <n v="819"/>
    <s v="Sul"/>
    <x v="1"/>
    <n v="92.42"/>
    <d v="2024-08-17T00:00:00"/>
  </r>
  <r>
    <n v="101331"/>
    <x v="215"/>
    <s v="Patricia Gomes"/>
    <s v="CARTÃO DE DÉBITO"/>
    <x v="1"/>
    <x v="3"/>
    <n v="166"/>
    <n v="459"/>
    <s v="Sul"/>
    <x v="1"/>
    <n v="427.84"/>
    <d v="2024-08-16T00:00:00"/>
  </r>
  <r>
    <n v="101803"/>
    <x v="212"/>
    <s v="Yasmin Araujo"/>
    <s v="CARTÃO DE DÉBITO"/>
    <x v="0"/>
    <x v="0"/>
    <n v="11"/>
    <n v="874"/>
    <s v="Norte"/>
    <x v="0"/>
    <n v="414.79"/>
    <d v="2024-08-16T00:00:00"/>
  </r>
  <r>
    <n v="100217"/>
    <x v="33"/>
    <s v="William Santos"/>
    <s v="PIX"/>
    <x v="5"/>
    <x v="1"/>
    <n v="0"/>
    <n v="360"/>
    <s v="Nordeste"/>
    <x v="2"/>
    <n v="339.11"/>
    <d v="2024-08-16T00:00:00"/>
  </r>
  <r>
    <n v="101004"/>
    <x v="120"/>
    <s v="Vanessa Duarte"/>
    <s v="CARTÃO DE CRÉDITO"/>
    <x v="0"/>
    <x v="0"/>
    <n v="25"/>
    <n v="542"/>
    <s v="Sul"/>
    <x v="2"/>
    <n v="315.97000000000003"/>
    <d v="2024-08-16T00:00:00"/>
  </r>
  <r>
    <n v="101472"/>
    <x v="125"/>
    <s v="Thiago Correia"/>
    <s v="BOLETO"/>
    <x v="5"/>
    <x v="1"/>
    <n v="0"/>
    <n v="867"/>
    <s v="Norte"/>
    <x v="0"/>
    <n v="167.68"/>
    <d v="2024-08-16T00:00:00"/>
  </r>
  <r>
    <n v="100990"/>
    <x v="4"/>
    <s v="Bianca Freitas"/>
    <s v="BOLETO"/>
    <x v="0"/>
    <x v="1"/>
    <n v="0"/>
    <n v="623"/>
    <s v="Sudeste"/>
    <x v="1"/>
    <n v="478.05"/>
    <d v="2024-08-15T00:00:00"/>
  </r>
  <r>
    <n v="100472"/>
    <x v="114"/>
    <s v="Heitor Barbosa"/>
    <s v="CARTÃO DE DÉBITO"/>
    <x v="7"/>
    <x v="0"/>
    <n v="16"/>
    <n v="340"/>
    <s v="Nordeste"/>
    <x v="1"/>
    <n v="237.92"/>
    <d v="2024-08-14T00:00:00"/>
  </r>
  <r>
    <n v="102030"/>
    <x v="177"/>
    <s v="Otavio Ramos"/>
    <s v="TED"/>
    <x v="4"/>
    <x v="0"/>
    <n v="2"/>
    <n v="411"/>
    <s v="Sul"/>
    <x v="0"/>
    <n v="186.87"/>
    <d v="2024-08-14T00:00:00"/>
  </r>
  <r>
    <n v="101801"/>
    <x v="2"/>
    <s v="Lucas Martins"/>
    <s v="CARTÃO DE CRÉDITO"/>
    <x v="2"/>
    <x v="0"/>
    <n v="26"/>
    <n v="461"/>
    <s v="Norte"/>
    <x v="1"/>
    <n v="186.03"/>
    <d v="2024-08-14T00:00:00"/>
  </r>
  <r>
    <n v="101688"/>
    <x v="175"/>
    <s v="Debora Pinto"/>
    <s v="TED"/>
    <x v="0"/>
    <x v="1"/>
    <n v="0"/>
    <n v="588"/>
    <s v="Sudeste"/>
    <x v="1"/>
    <n v="150.5"/>
    <d v="2024-08-14T00:00:00"/>
  </r>
  <r>
    <n v="100908"/>
    <x v="39"/>
    <s v="Nelson Teixeira"/>
    <s v="CARTÃO DE DÉBITO"/>
    <x v="6"/>
    <x v="0"/>
    <n v="4"/>
    <n v="606"/>
    <s v="Sudeste"/>
    <x v="1"/>
    <n v="914.85"/>
    <d v="2024-08-13T00:00:00"/>
  </r>
  <r>
    <n v="101881"/>
    <x v="55"/>
    <s v="Carla Mendes"/>
    <s v="PIX"/>
    <x v="4"/>
    <x v="1"/>
    <n v="0"/>
    <n v="616"/>
    <s v="Nordeste"/>
    <x v="0"/>
    <n v="318.13"/>
    <d v="2024-08-13T00:00:00"/>
  </r>
  <r>
    <n v="101886"/>
    <x v="126"/>
    <s v="Rafael Pereira"/>
    <s v="TED"/>
    <x v="3"/>
    <x v="2"/>
    <n v="0"/>
    <n v="345"/>
    <s v="Norte"/>
    <x v="2"/>
    <n v="246.04"/>
    <d v="2024-08-13T00:00:00"/>
  </r>
  <r>
    <n v="101608"/>
    <x v="147"/>
    <s v="Thiago Correia"/>
    <s v="CARTÃO DE CRÉDITO"/>
    <x v="5"/>
    <x v="2"/>
    <n v="0"/>
    <n v="554"/>
    <s v="Centro-Oeste"/>
    <x v="2"/>
    <n v="39.9"/>
    <d v="2024-08-13T00:00:00"/>
  </r>
  <r>
    <n v="100694"/>
    <x v="13"/>
    <s v="Yasmin Araujo"/>
    <s v="BOLETO"/>
    <x v="2"/>
    <x v="1"/>
    <n v="0"/>
    <n v="800"/>
    <s v="Nordeste"/>
    <x v="2"/>
    <n v="517.21"/>
    <d v="2024-08-12T00:00:00"/>
  </r>
  <r>
    <n v="102055"/>
    <x v="241"/>
    <s v="Ana Souza"/>
    <s v="PIX"/>
    <x v="4"/>
    <x v="2"/>
    <s v="Não Informado"/>
    <n v="339"/>
    <s v="Centro-Oeste"/>
    <x v="0"/>
    <n v="451.45"/>
    <d v="2024-08-12T00:00:00"/>
  </r>
  <r>
    <n v="100583"/>
    <x v="69"/>
    <s v="Ana Souza"/>
    <s v="TED"/>
    <x v="3"/>
    <x v="2"/>
    <n v="0"/>
    <n v="741"/>
    <s v="Sul"/>
    <x v="0"/>
    <n v="386.98"/>
    <d v="2024-08-12T00:00:00"/>
  </r>
  <r>
    <n v="100108"/>
    <x v="205"/>
    <s v="Heitor Barbosa"/>
    <s v="CARTÃO DE DÉBITO"/>
    <x v="6"/>
    <x v="2"/>
    <n v="0"/>
    <n v="612"/>
    <s v="Sudeste"/>
    <x v="2"/>
    <n v="835.21"/>
    <d v="2024-08-11T00:00:00"/>
  </r>
  <r>
    <n v="100388"/>
    <x v="144"/>
    <s v="Debora Pinto"/>
    <s v="PIX"/>
    <x v="5"/>
    <x v="1"/>
    <n v="0"/>
    <n v="522"/>
    <s v="Norte"/>
    <x v="1"/>
    <n v="95.11"/>
    <d v="2024-08-11T00:00:00"/>
  </r>
  <r>
    <n v="100222"/>
    <x v="192"/>
    <s v="Bianca Freitas"/>
    <s v="BOLETO"/>
    <x v="5"/>
    <x v="0"/>
    <n v="7"/>
    <n v="869"/>
    <s v="Norte"/>
    <x v="0"/>
    <n v="1213.48"/>
    <d v="2024-08-10T00:00:00"/>
  </r>
  <r>
    <n v="102046"/>
    <x v="196"/>
    <s v="Lucas Martins"/>
    <s v="BOLETO"/>
    <x v="7"/>
    <x v="1"/>
    <n v="0"/>
    <n v="722"/>
    <s v="Nordeste"/>
    <x v="3"/>
    <n v="587.62"/>
    <d v="2024-08-10T00:00:00"/>
  </r>
  <r>
    <n v="100261"/>
    <x v="69"/>
    <s v="Ana Souza"/>
    <s v="TED"/>
    <x v="0"/>
    <x v="3"/>
    <n v="77"/>
    <n v="741"/>
    <s v="Norte"/>
    <x v="0"/>
    <n v="434.46"/>
    <d v="2024-08-10T00:00:00"/>
  </r>
  <r>
    <n v="101774"/>
    <x v="33"/>
    <s v="William Santos"/>
    <s v="CARTÃO DE CRÉDITO"/>
    <x v="1"/>
    <x v="0"/>
    <n v="18"/>
    <n v="360"/>
    <s v="Sudeste"/>
    <x v="0"/>
    <n v="383.63"/>
    <d v="2024-08-10T00:00:00"/>
  </r>
  <r>
    <n v="101737"/>
    <x v="112"/>
    <s v="Sandra Vieira"/>
    <s v="CARTÃO DE DÉBITO"/>
    <x v="0"/>
    <x v="1"/>
    <n v="0"/>
    <n v="638"/>
    <s v="Centro-Oeste"/>
    <x v="2"/>
    <n v="326.83999999999997"/>
    <d v="2024-08-10T00:00:00"/>
  </r>
  <r>
    <n v="101355"/>
    <x v="64"/>
    <s v="Nelson Teixeira"/>
    <s v="PIX"/>
    <x v="5"/>
    <x v="0"/>
    <n v="13"/>
    <n v="732"/>
    <s v="Sul"/>
    <x v="2"/>
    <n v="695.29"/>
    <d v="2024-08-09T00:00:00"/>
  </r>
  <r>
    <n v="100506"/>
    <x v="150"/>
    <s v="William Santos"/>
    <s v="TED"/>
    <x v="7"/>
    <x v="2"/>
    <s v="Não Informado"/>
    <n v="699"/>
    <s v="Norte"/>
    <x v="1"/>
    <n v="221.62"/>
    <d v="2024-08-09T00:00:00"/>
  </r>
  <r>
    <n v="101707"/>
    <x v="24"/>
    <s v="Rafael Pereira"/>
    <s v="CARTÃO DE CRÉDITO"/>
    <x v="0"/>
    <x v="0"/>
    <n v="28"/>
    <n v="458"/>
    <s v="Sudeste"/>
    <x v="1"/>
    <n v="918.3"/>
    <d v="2024-08-08T00:00:00"/>
  </r>
  <r>
    <n v="102089"/>
    <x v="136"/>
    <s v="Heitor Barbosa"/>
    <s v="CARTÃO DE CRÉDITO"/>
    <x v="1"/>
    <x v="2"/>
    <s v="Não Informado"/>
    <n v="607"/>
    <s v="Sul"/>
    <x v="1"/>
    <n v="527.41"/>
    <d v="2024-08-08T00:00:00"/>
  </r>
  <r>
    <n v="101292"/>
    <x v="115"/>
    <s v="Não Informado"/>
    <s v="CARTÃO DE DÉBITO"/>
    <x v="0"/>
    <x v="1"/>
    <n v="0"/>
    <n v="487"/>
    <s v="Centro-Oeste"/>
    <x v="1"/>
    <n v="999.09"/>
    <d v="2024-08-07T00:00:00"/>
  </r>
  <r>
    <n v="102105"/>
    <x v="102"/>
    <s v="Ana Souza"/>
    <s v="CARTÃO DE CRÉDITO"/>
    <x v="1"/>
    <x v="3"/>
    <n v="126"/>
    <n v="430"/>
    <s v="Centro-Oeste"/>
    <x v="2"/>
    <n v="337.94"/>
    <d v="2024-08-07T00:00:00"/>
  </r>
  <r>
    <n v="101518"/>
    <x v="105"/>
    <s v="Karina Silva"/>
    <s v="TED"/>
    <x v="7"/>
    <x v="2"/>
    <n v="0"/>
    <n v="623"/>
    <s v="Sul"/>
    <x v="0"/>
    <n v="336.91"/>
    <d v="2024-08-07T00:00:00"/>
  </r>
  <r>
    <n v="100542"/>
    <x v="110"/>
    <s v="Carla Mendes"/>
    <s v="CARTÃO DE CRÉDITO"/>
    <x v="2"/>
    <x v="1"/>
    <n v="0"/>
    <n v="540"/>
    <s v="Sudeste"/>
    <x v="2"/>
    <n v="312.2"/>
    <d v="2024-08-07T00:00:00"/>
  </r>
  <r>
    <n v="102017"/>
    <x v="136"/>
    <s v="Heitor Barbosa"/>
    <s v="BOLETO"/>
    <x v="1"/>
    <x v="0"/>
    <n v="13"/>
    <n v="607"/>
    <s v="Sul"/>
    <x v="0"/>
    <n v="259.31"/>
    <d v="2024-08-07T00:00:00"/>
  </r>
  <r>
    <n v="101062"/>
    <x v="188"/>
    <s v="Fabio Costa"/>
    <s v="CARTÃO DE CRÉDITO"/>
    <x v="2"/>
    <x v="0"/>
    <n v="5"/>
    <n v="383"/>
    <s v="Norte"/>
    <x v="2"/>
    <n v="252.97"/>
    <d v="2024-08-07T00:00:00"/>
  </r>
  <r>
    <n v="102157"/>
    <x v="33"/>
    <s v="William Santos"/>
    <s v="PIX"/>
    <x v="5"/>
    <x v="0"/>
    <n v="25"/>
    <n v="360"/>
    <s v="Norte"/>
    <x v="1"/>
    <n v="248.31"/>
    <d v="2024-08-07T00:00:00"/>
  </r>
  <r>
    <n v="102052"/>
    <x v="208"/>
    <s v="Heitor Barbosa"/>
    <s v="CARTÃO DE CRÉDITO"/>
    <x v="7"/>
    <x v="3"/>
    <n v="153"/>
    <n v="418"/>
    <s v="Sudeste"/>
    <x v="1"/>
    <n v="834.8"/>
    <d v="2024-08-06T00:00:00"/>
  </r>
  <r>
    <n v="100153"/>
    <x v="118"/>
    <s v="Bruno Lima"/>
    <s v="CARTÃO DE DÉBITO"/>
    <x v="2"/>
    <x v="1"/>
    <n v="0"/>
    <n v="458"/>
    <s v="Centro-Oeste"/>
    <x v="2"/>
    <n v="659.24"/>
    <d v="2024-08-06T00:00:00"/>
  </r>
  <r>
    <n v="101403"/>
    <x v="14"/>
    <s v="Heitor Barbosa"/>
    <s v="TED"/>
    <x v="1"/>
    <x v="1"/>
    <s v="Não Informado"/>
    <n v="603"/>
    <s v="Nordeste"/>
    <x v="1"/>
    <n v="282.60000000000002"/>
    <d v="2024-08-06T00:00:00"/>
  </r>
  <r>
    <n v="102189"/>
    <x v="127"/>
    <s v="Otavio Ramos"/>
    <s v="PIX"/>
    <x v="2"/>
    <x v="3"/>
    <n v="109"/>
    <n v="560"/>
    <s v="Nordeste"/>
    <x v="1"/>
    <n v="212.48"/>
    <d v="2024-08-06T00:00:00"/>
  </r>
  <r>
    <n v="101480"/>
    <x v="141"/>
    <s v="Otavio Ramos"/>
    <s v="CARTÃO DE CRÉDITO"/>
    <x v="7"/>
    <x v="0"/>
    <n v="12"/>
    <n v="746"/>
    <s v="Sudeste"/>
    <x v="1"/>
    <n v="190.03"/>
    <d v="2024-08-06T00:00:00"/>
  </r>
  <r>
    <n v="102012"/>
    <x v="37"/>
    <s v="Bianca Freitas"/>
    <s v="BOLETO"/>
    <x v="2"/>
    <x v="1"/>
    <n v="0"/>
    <n v="653"/>
    <s v="Centro-Oeste"/>
    <x v="2"/>
    <n v="152.63999999999999"/>
    <d v="2024-08-06T00:00:00"/>
  </r>
  <r>
    <n v="100949"/>
    <x v="188"/>
    <s v="Fabio Costa"/>
    <s v="CARTÃO DE DÉBITO"/>
    <x v="4"/>
    <x v="0"/>
    <n v="7"/>
    <n v="383"/>
    <s v="Não Informado"/>
    <x v="2"/>
    <n v="720.89"/>
    <d v="2024-08-05T00:00:00"/>
  </r>
  <r>
    <n v="101557"/>
    <x v="54"/>
    <s v="Heitor Barbosa"/>
    <s v="BOLETO"/>
    <x v="0"/>
    <x v="1"/>
    <n v="0"/>
    <n v="621"/>
    <s v="Norte"/>
    <x v="3"/>
    <n v="328.33"/>
    <d v="2024-08-05T00:00:00"/>
  </r>
  <r>
    <n v="100664"/>
    <x v="222"/>
    <s v="Otavio Ramos"/>
    <s v="TED"/>
    <x v="2"/>
    <x v="2"/>
    <n v="0"/>
    <n v="729"/>
    <s v="Centro-Oeste"/>
    <x v="1"/>
    <n v="262.27999999999997"/>
    <d v="2024-08-05T00:00:00"/>
  </r>
  <r>
    <n v="101681"/>
    <x v="216"/>
    <s v="William Santos"/>
    <s v="PIX"/>
    <x v="0"/>
    <x v="0"/>
    <n v="10"/>
    <n v="835"/>
    <s v="Norte"/>
    <x v="2"/>
    <n v="249.22"/>
    <d v="2024-08-05T00:00:00"/>
  </r>
  <r>
    <n v="100732"/>
    <x v="203"/>
    <s v="Karina Silva"/>
    <s v="TED"/>
    <x v="5"/>
    <x v="0"/>
    <n v="14"/>
    <n v="336"/>
    <s v="Sudeste"/>
    <x v="0"/>
    <n v="1397.6"/>
    <d v="2024-08-04T00:00:00"/>
  </r>
  <r>
    <n v="101191"/>
    <x v="252"/>
    <s v="Diego Alves"/>
    <s v="CARTÃO DE CRÉDITO"/>
    <x v="1"/>
    <x v="2"/>
    <n v="0"/>
    <n v="678"/>
    <s v="Centro-Oeste"/>
    <x v="2"/>
    <n v="378.17"/>
    <d v="2024-08-04T00:00:00"/>
  </r>
  <r>
    <n v="100668"/>
    <x v="158"/>
    <s v="Heitor Barbosa"/>
    <s v="TED"/>
    <x v="1"/>
    <x v="1"/>
    <n v="0"/>
    <n v="771"/>
    <s v="Nordeste"/>
    <x v="1"/>
    <n v="494.63"/>
    <d v="2024-08-03T00:00:00"/>
  </r>
  <r>
    <n v="100536"/>
    <x v="127"/>
    <s v="Otavio Ramos"/>
    <s v="BOLETO"/>
    <x v="1"/>
    <x v="3"/>
    <n v="44"/>
    <n v="560"/>
    <s v="Sul"/>
    <x v="2"/>
    <n v="33.47"/>
    <d v="2024-08-03T00:00:00"/>
  </r>
  <r>
    <n v="100325"/>
    <x v="165"/>
    <s v="Debora Pinto"/>
    <s v="CARTÃO DE CRÉDITO"/>
    <x v="4"/>
    <x v="1"/>
    <n v="0"/>
    <n v="377"/>
    <s v="Sul"/>
    <x v="1"/>
    <n v="244.55"/>
    <d v="2024-08-02T00:00:00"/>
  </r>
  <r>
    <n v="100781"/>
    <x v="229"/>
    <s v="Ana Souza"/>
    <s v="BOLETO"/>
    <x v="7"/>
    <x v="1"/>
    <n v="0"/>
    <n v="662"/>
    <s v="Nordeste"/>
    <x v="2"/>
    <n v="229.73"/>
    <d v="2024-08-02T00:00:00"/>
  </r>
  <r>
    <n v="101924"/>
    <x v="85"/>
    <s v="Ana Souza"/>
    <s v="TED"/>
    <x v="0"/>
    <x v="1"/>
    <n v="0"/>
    <n v="465"/>
    <s v="Centro-Oeste"/>
    <x v="1"/>
    <n v="136.84"/>
    <d v="2024-08-02T00:00:00"/>
  </r>
  <r>
    <n v="101457"/>
    <x v="220"/>
    <s v="Vanessa Duarte"/>
    <s v="PIX"/>
    <x v="5"/>
    <x v="1"/>
    <n v="0"/>
    <n v="542"/>
    <s v="Nordeste"/>
    <x v="1"/>
    <n v="126.69"/>
    <d v="2024-08-02T00:00:00"/>
  </r>
  <r>
    <n v="100431"/>
    <x v="111"/>
    <s v="Debora Pinto"/>
    <s v="TED"/>
    <x v="4"/>
    <x v="1"/>
    <n v="0"/>
    <n v="849"/>
    <s v="Centro-Oeste"/>
    <x v="2"/>
    <n v="95.2"/>
    <d v="2024-08-01T00:00:00"/>
  </r>
  <r>
    <n v="102175"/>
    <x v="40"/>
    <s v="Lucas Martins"/>
    <s v="BOLETO"/>
    <x v="1"/>
    <x v="0"/>
    <n v="16"/>
    <n v="570"/>
    <s v="Centro-Oeste"/>
    <x v="1"/>
    <n v="631.82000000000005"/>
    <d v="2024-07-31T00:00:00"/>
  </r>
  <r>
    <n v="100318"/>
    <x v="69"/>
    <s v="Ana Souza"/>
    <s v="BOLETO"/>
    <x v="7"/>
    <x v="3"/>
    <n v="136"/>
    <n v="741"/>
    <s v="Sudeste"/>
    <x v="0"/>
    <n v="498.84"/>
    <d v="2024-07-31T00:00:00"/>
  </r>
  <r>
    <n v="102013"/>
    <x v="150"/>
    <s v="William Santos"/>
    <s v="PIX"/>
    <x v="1"/>
    <x v="1"/>
    <n v="0"/>
    <n v="699"/>
    <s v="Centro-Oeste"/>
    <x v="0"/>
    <n v="81.48"/>
    <d v="2024-07-31T00:00:00"/>
  </r>
  <r>
    <n v="100867"/>
    <x v="49"/>
    <s v="Patricia Gomes"/>
    <s v="TED"/>
    <x v="5"/>
    <x v="2"/>
    <n v="0"/>
    <n v="691"/>
    <s v="Sul"/>
    <x v="1"/>
    <n v="76.62"/>
    <d v="2024-07-31T00:00:00"/>
  </r>
  <r>
    <n v="100499"/>
    <x v="158"/>
    <s v="Heitor Barbosa"/>
    <s v="CARTÃO DE DÉBITO"/>
    <x v="4"/>
    <x v="1"/>
    <n v="0"/>
    <n v="771"/>
    <s v="Sul"/>
    <x v="0"/>
    <n v="294.33999999999997"/>
    <d v="2024-07-30T00:00:00"/>
  </r>
  <r>
    <n v="101602"/>
    <x v="63"/>
    <s v="Heitor Barbosa"/>
    <s v="CARTÃO DE CRÉDITO"/>
    <x v="1"/>
    <x v="1"/>
    <n v="0"/>
    <n v="509"/>
    <s v="Centro-Oeste"/>
    <x v="1"/>
    <n v="227.48"/>
    <d v="2024-07-30T00:00:00"/>
  </r>
  <r>
    <n v="102153"/>
    <x v="187"/>
    <s v="Diego Alves"/>
    <s v="TED"/>
    <x v="3"/>
    <x v="1"/>
    <n v="0"/>
    <n v="301"/>
    <s v="Sul"/>
    <x v="1"/>
    <n v="161.16"/>
    <d v="2024-07-30T00:00:00"/>
  </r>
  <r>
    <n v="100451"/>
    <x v="82"/>
    <s v="Vanessa Duarte"/>
    <s v="CARTÃO DE CRÉDITO"/>
    <x v="4"/>
    <x v="3"/>
    <n v="119"/>
    <n v="352"/>
    <s v="Centro-Oeste"/>
    <x v="1"/>
    <n v="462.05"/>
    <d v="2024-07-29T00:00:00"/>
  </r>
  <r>
    <n v="101137"/>
    <x v="57"/>
    <s v="Fabio Costa"/>
    <s v="CARTÃO DE CRÉDITO"/>
    <x v="3"/>
    <x v="1"/>
    <n v="0"/>
    <n v="328"/>
    <s v="Sudeste"/>
    <x v="1"/>
    <n v="442.04"/>
    <d v="2024-07-29T00:00:00"/>
  </r>
  <r>
    <n v="101200"/>
    <x v="41"/>
    <s v="Fabio Costa"/>
    <s v="CARTÃO DE CRÉDITO"/>
    <x v="4"/>
    <x v="0"/>
    <n v="23"/>
    <n v="883"/>
    <s v="Nordeste"/>
    <x v="2"/>
    <n v="395.99"/>
    <d v="2024-07-29T00:00:00"/>
  </r>
  <r>
    <n v="100628"/>
    <x v="187"/>
    <s v="Diego Alves"/>
    <s v="BOLETO"/>
    <x v="1"/>
    <x v="2"/>
    <s v="Não Informado"/>
    <n v="301"/>
    <s v="Não Informado"/>
    <x v="2"/>
    <n v="326.93"/>
    <d v="2024-07-29T00:00:00"/>
  </r>
  <r>
    <n v="100835"/>
    <x v="101"/>
    <s v="Thiago Correia"/>
    <s v="CARTÃO DE CRÉDITO"/>
    <x v="3"/>
    <x v="1"/>
    <n v="0"/>
    <n v="533"/>
    <s v="Sul"/>
    <x v="1"/>
    <n v="177.58"/>
    <d v="2024-07-29T00:00:00"/>
  </r>
  <r>
    <n v="100515"/>
    <x v="137"/>
    <s v="Caio Monteiro"/>
    <s v="PIX"/>
    <x v="4"/>
    <x v="1"/>
    <n v="0"/>
    <n v="332"/>
    <s v="Norte"/>
    <x v="1"/>
    <n v="296.55"/>
    <d v="2024-07-28T00:00:00"/>
  </r>
  <r>
    <n v="101474"/>
    <x v="125"/>
    <s v="Thiago Correia"/>
    <s v="PIX"/>
    <x v="1"/>
    <x v="2"/>
    <n v="0"/>
    <n v="867"/>
    <s v="Centro-Oeste"/>
    <x v="2"/>
    <n v="252.87"/>
    <d v="2024-07-28T00:00:00"/>
  </r>
  <r>
    <n v="101582"/>
    <x v="139"/>
    <s v="Diego Alves"/>
    <s v="PIX"/>
    <x v="2"/>
    <x v="1"/>
    <n v="0"/>
    <n v="362"/>
    <s v="Sul"/>
    <x v="2"/>
    <n v="392.18"/>
    <d v="2024-07-27T00:00:00"/>
  </r>
  <r>
    <n v="102144"/>
    <x v="138"/>
    <s v="Thiago Correia"/>
    <s v="PIX"/>
    <x v="5"/>
    <x v="1"/>
    <n v="0"/>
    <n v="592"/>
    <s v="Norte"/>
    <x v="0"/>
    <n v="928.8"/>
    <d v="2024-07-26T00:00:00"/>
  </r>
  <r>
    <n v="101869"/>
    <x v="7"/>
    <s v="Yasmin Araujo"/>
    <s v="TED"/>
    <x v="7"/>
    <x v="0"/>
    <n v="6"/>
    <n v="494"/>
    <s v="Centro-Oeste"/>
    <x v="1"/>
    <n v="444.43"/>
    <d v="2024-07-26T00:00:00"/>
  </r>
  <r>
    <n v="100405"/>
    <x v="106"/>
    <s v="Carla Mendes"/>
    <s v="PIX"/>
    <x v="1"/>
    <x v="1"/>
    <s v="Não Informado"/>
    <n v="501"/>
    <s v="Sudeste"/>
    <x v="1"/>
    <n v="665.64"/>
    <d v="2024-07-25T00:00:00"/>
  </r>
  <r>
    <n v="100482"/>
    <x v="252"/>
    <s v="Diego Alves"/>
    <s v="CARTÃO DE CRÉDITO"/>
    <x v="4"/>
    <x v="1"/>
    <n v="0"/>
    <n v="678"/>
    <s v="Nordeste"/>
    <x v="1"/>
    <n v="439.09"/>
    <d v="2024-07-25T00:00:00"/>
  </r>
  <r>
    <n v="100827"/>
    <x v="36"/>
    <s v="Vanessa Duarte"/>
    <s v="CARTÃO DE CRÉDITO"/>
    <x v="1"/>
    <x v="0"/>
    <n v="18"/>
    <n v="463"/>
    <s v="Centro-Oeste"/>
    <x v="1"/>
    <n v="303.08999999999997"/>
    <d v="2024-07-25T00:00:00"/>
  </r>
  <r>
    <n v="101606"/>
    <x v="216"/>
    <s v="William Santos"/>
    <s v="PIX"/>
    <x v="7"/>
    <x v="0"/>
    <n v="3"/>
    <n v="835"/>
    <s v="Sudeste"/>
    <x v="1"/>
    <n v="477.14"/>
    <d v="2024-07-24T00:00:00"/>
  </r>
  <r>
    <n v="100408"/>
    <x v="95"/>
    <s v="Joao Pedro Dias"/>
    <s v="CARTÃO DE CRÉDITO"/>
    <x v="0"/>
    <x v="0"/>
    <n v="15"/>
    <n v="823"/>
    <s v="Sul"/>
    <x v="1"/>
    <n v="40.03"/>
    <d v="2024-07-24T00:00:00"/>
  </r>
  <r>
    <n v="101661"/>
    <x v="120"/>
    <s v="Não Informado"/>
    <s v="PIX"/>
    <x v="4"/>
    <x v="1"/>
    <n v="0"/>
    <n v="542"/>
    <s v="Sul"/>
    <x v="2"/>
    <n v="863.9"/>
    <d v="2024-07-23T00:00:00"/>
  </r>
  <r>
    <n v="100966"/>
    <x v="33"/>
    <s v="William Santos"/>
    <s v="CARTÃO DE DÉBITO"/>
    <x v="7"/>
    <x v="2"/>
    <n v="0"/>
    <n v="360"/>
    <s v="Norte"/>
    <x v="0"/>
    <n v="542.41"/>
    <d v="2024-07-23T00:00:00"/>
  </r>
  <r>
    <n v="100203"/>
    <x v="116"/>
    <s v="William Santos"/>
    <s v="CARTÃO DE DÉBITO"/>
    <x v="7"/>
    <x v="2"/>
    <n v="0"/>
    <n v="898"/>
    <s v="Não Informado"/>
    <x v="0"/>
    <n v="396.36"/>
    <d v="2024-07-23T00:00:00"/>
  </r>
  <r>
    <n v="101998"/>
    <x v="252"/>
    <s v="Diego Alves"/>
    <s v="BOLETO"/>
    <x v="7"/>
    <x v="1"/>
    <n v="0"/>
    <n v="678"/>
    <s v="Norte"/>
    <x v="1"/>
    <n v="283.10000000000002"/>
    <d v="2024-07-23T00:00:00"/>
  </r>
  <r>
    <n v="101199"/>
    <x v="133"/>
    <s v="Nelson Teixeira"/>
    <s v="CARTÃO DE DÉBITO"/>
    <x v="1"/>
    <x v="1"/>
    <n v="0"/>
    <n v="865"/>
    <s v="Norte"/>
    <x v="2"/>
    <n v="341.16"/>
    <d v="2024-07-22T00:00:00"/>
  </r>
  <r>
    <n v="100418"/>
    <x v="124"/>
    <s v="Sandra Vieira"/>
    <s v="CARTÃO DE CRÉDITO"/>
    <x v="0"/>
    <x v="1"/>
    <n v="0"/>
    <n v="568"/>
    <s v="Centro-Oeste"/>
    <x v="0"/>
    <n v="219.97"/>
    <d v="2024-07-22T00:00:00"/>
  </r>
  <r>
    <n v="101118"/>
    <x v="118"/>
    <s v="Bruno Lima"/>
    <s v="BOLETO"/>
    <x v="1"/>
    <x v="0"/>
    <n v="15"/>
    <n v="458"/>
    <s v="Centro-Oeste"/>
    <x v="1"/>
    <n v="176.37"/>
    <d v="2024-07-22T00:00:00"/>
  </r>
  <r>
    <n v="100848"/>
    <x v="181"/>
    <s v="Diego Alves"/>
    <s v="CARTÃO DE DÉBITO"/>
    <x v="7"/>
    <x v="2"/>
    <n v="0"/>
    <n v="534"/>
    <s v="Norte"/>
    <x v="1"/>
    <n v="1110.21"/>
    <d v="2024-07-21T00:00:00"/>
  </r>
  <r>
    <n v="101509"/>
    <x v="147"/>
    <s v="Thiago Correia"/>
    <s v="CARTÃO DE CRÉDITO"/>
    <x v="1"/>
    <x v="2"/>
    <n v="0"/>
    <n v="554"/>
    <s v="Nordeste"/>
    <x v="1"/>
    <n v="885.79"/>
    <d v="2024-07-21T00:00:00"/>
  </r>
  <r>
    <n v="101366"/>
    <x v="17"/>
    <s v="Rafael Pereira"/>
    <s v="CARTÃO DE CRÉDITO"/>
    <x v="5"/>
    <x v="1"/>
    <n v="0"/>
    <n v="554"/>
    <s v="Centro-Oeste"/>
    <x v="2"/>
    <n v="193.18"/>
    <d v="2024-07-21T00:00:00"/>
  </r>
  <r>
    <n v="100557"/>
    <x v="155"/>
    <s v="Caio Monteiro"/>
    <s v="CARTÃO DE CRÉDITO"/>
    <x v="1"/>
    <x v="1"/>
    <n v="0"/>
    <n v="744"/>
    <s v="Norte"/>
    <x v="1"/>
    <n v="97.4"/>
    <d v="2024-07-21T00:00:00"/>
  </r>
  <r>
    <n v="101526"/>
    <x v="64"/>
    <s v="Nelson Teixeira"/>
    <s v="CARTÃO DE DÉBITO"/>
    <x v="1"/>
    <x v="2"/>
    <n v="0"/>
    <n v="732"/>
    <s v="Sudeste"/>
    <x v="1"/>
    <n v="592.80999999999995"/>
    <d v="2024-07-20T00:00:00"/>
  </r>
  <r>
    <n v="102044"/>
    <x v="98"/>
    <s v="Bianca Freitas"/>
    <s v="CARTÃO DE CRÉDITO"/>
    <x v="0"/>
    <x v="3"/>
    <n v="154"/>
    <n v="443"/>
    <s v="Norte"/>
    <x v="1"/>
    <n v="405.41"/>
    <d v="2024-07-20T00:00:00"/>
  </r>
  <r>
    <n v="102108"/>
    <x v="55"/>
    <s v="Carla Mendes"/>
    <s v="TED"/>
    <x v="2"/>
    <x v="1"/>
    <n v="0"/>
    <n v="616"/>
    <s v="Sudeste"/>
    <x v="1"/>
    <n v="390.91"/>
    <d v="2024-07-20T00:00:00"/>
  </r>
  <r>
    <n v="100842"/>
    <x v="232"/>
    <s v="Joao Pedro Dias"/>
    <s v="CARTÃO DE CRÉDITO"/>
    <x v="1"/>
    <x v="1"/>
    <n v="0"/>
    <n v="896"/>
    <s v="Nordeste"/>
    <x v="1"/>
    <n v="62.36"/>
    <d v="2024-07-20T00:00:00"/>
  </r>
  <r>
    <n v="101627"/>
    <x v="125"/>
    <s v="Thiago Correia"/>
    <s v="CARTÃO DE CRÉDITO"/>
    <x v="7"/>
    <x v="1"/>
    <n v="0"/>
    <n v="867"/>
    <s v="Centro-Oeste"/>
    <x v="2"/>
    <n v="235.96"/>
    <d v="2024-07-19T00:00:00"/>
  </r>
  <r>
    <n v="100164"/>
    <x v="178"/>
    <s v="Isabela Nunes"/>
    <s v="CARTÃO DE CRÉDITO"/>
    <x v="0"/>
    <x v="2"/>
    <s v="Não Informado"/>
    <n v="878"/>
    <s v="Sul"/>
    <x v="1"/>
    <n v="147.81"/>
    <d v="2024-07-19T00:00:00"/>
  </r>
  <r>
    <n v="101263"/>
    <x v="155"/>
    <s v="Caio Monteiro"/>
    <s v="BOLETO"/>
    <x v="1"/>
    <x v="1"/>
    <n v="0"/>
    <n v="744"/>
    <s v="Norte"/>
    <x v="1"/>
    <n v="740.75"/>
    <d v="2024-07-18T00:00:00"/>
  </r>
  <r>
    <n v="101877"/>
    <x v="206"/>
    <s v="Carla Mendes"/>
    <s v="CARTÃO DE CRÉDITO"/>
    <x v="1"/>
    <x v="2"/>
    <n v="0"/>
    <n v="468"/>
    <s v="Nordeste"/>
    <x v="1"/>
    <n v="687.95"/>
    <d v="2024-07-18T00:00:00"/>
  </r>
  <r>
    <n v="101031"/>
    <x v="253"/>
    <s v="William Santos"/>
    <s v="BOLETO"/>
    <x v="5"/>
    <x v="2"/>
    <n v="0"/>
    <n v="657"/>
    <s v="Nordeste"/>
    <x v="2"/>
    <n v="411.67"/>
    <d v="2024-07-18T00:00:00"/>
  </r>
  <r>
    <n v="100346"/>
    <x v="6"/>
    <s v="Thiago Correia"/>
    <s v="CARTÃO DE CRÉDITO"/>
    <x v="1"/>
    <x v="1"/>
    <n v="0"/>
    <n v="406"/>
    <s v="Sul"/>
    <x v="0"/>
    <n v="273.89999999999998"/>
    <d v="2024-07-18T00:00:00"/>
  </r>
  <r>
    <n v="100589"/>
    <x v="64"/>
    <s v="Nelson Teixeira"/>
    <s v="CARTÃO DE CRÉDITO"/>
    <x v="1"/>
    <x v="2"/>
    <n v="0"/>
    <n v="732"/>
    <s v="Sudeste"/>
    <x v="1"/>
    <n v="213.74"/>
    <d v="2024-07-18T00:00:00"/>
  </r>
  <r>
    <n v="100480"/>
    <x v="128"/>
    <s v="Lucas Martins"/>
    <s v="CARTÃO DE CRÉDITO"/>
    <x v="3"/>
    <x v="1"/>
    <n v="0"/>
    <n v="395"/>
    <s v="Norte"/>
    <x v="0"/>
    <n v="640.86"/>
    <d v="2024-07-17T00:00:00"/>
  </r>
  <r>
    <n v="101247"/>
    <x v="112"/>
    <s v="Sandra Vieira"/>
    <s v="CARTÃO DE CRÉDITO"/>
    <x v="1"/>
    <x v="2"/>
    <n v="0"/>
    <n v="638"/>
    <s v="Sudeste"/>
    <x v="2"/>
    <n v="606.79"/>
    <d v="2024-07-17T00:00:00"/>
  </r>
  <r>
    <n v="100632"/>
    <x v="76"/>
    <s v="Sandra Vieira"/>
    <s v="TED"/>
    <x v="4"/>
    <x v="1"/>
    <n v="0"/>
    <n v="371"/>
    <s v="Sul"/>
    <x v="2"/>
    <n v="428.62"/>
    <d v="2024-07-17T00:00:00"/>
  </r>
  <r>
    <n v="100361"/>
    <x v="66"/>
    <s v="Mariana Cardoso"/>
    <s v="TED"/>
    <x v="0"/>
    <x v="1"/>
    <n v="0"/>
    <n v="351"/>
    <s v="Sul"/>
    <x v="2"/>
    <n v="225.31"/>
    <d v="2024-07-17T00:00:00"/>
  </r>
  <r>
    <n v="101362"/>
    <x v="13"/>
    <s v="Yasmin Araujo"/>
    <s v="BOLETO"/>
    <x v="4"/>
    <x v="1"/>
    <n v="0"/>
    <n v="800"/>
    <s v="Sul"/>
    <x v="1"/>
    <n v="803.11"/>
    <d v="2024-07-16T00:00:00"/>
  </r>
  <r>
    <n v="100103"/>
    <x v="25"/>
    <s v="Sandra Vieira"/>
    <s v="BOLETO"/>
    <x v="3"/>
    <x v="1"/>
    <n v="0"/>
    <n v="309"/>
    <s v="Norte"/>
    <x v="2"/>
    <n v="279.19"/>
    <d v="2024-07-16T00:00:00"/>
  </r>
  <r>
    <n v="100657"/>
    <x v="178"/>
    <s v="Isabela Nunes"/>
    <s v="BOLETO"/>
    <x v="3"/>
    <x v="2"/>
    <n v="0"/>
    <n v="878"/>
    <s v="Norte"/>
    <x v="1"/>
    <n v="900.46"/>
    <d v="2024-07-15T00:00:00"/>
  </r>
  <r>
    <n v="101960"/>
    <x v="204"/>
    <s v="Rafael Pereira"/>
    <s v="BOLETO"/>
    <x v="4"/>
    <x v="2"/>
    <n v="0"/>
    <n v="340"/>
    <s v="Centro-Oeste"/>
    <x v="1"/>
    <n v="173.19"/>
    <d v="2024-07-15T00:00:00"/>
  </r>
  <r>
    <n v="100438"/>
    <x v="209"/>
    <s v="Heitor Barbosa"/>
    <s v="CARTÃO DE CRÉDITO"/>
    <x v="0"/>
    <x v="1"/>
    <n v="0"/>
    <n v="851"/>
    <s v="Sudeste"/>
    <x v="1"/>
    <n v="705.29"/>
    <d v="2024-07-14T00:00:00"/>
  </r>
  <r>
    <n v="100773"/>
    <x v="68"/>
    <s v="Carla Mendes"/>
    <s v="TED"/>
    <x v="5"/>
    <x v="0"/>
    <n v="25"/>
    <n v="400"/>
    <s v="Centro-Oeste"/>
    <x v="0"/>
    <n v="298.5"/>
    <d v="2024-07-14T00:00:00"/>
  </r>
  <r>
    <n v="102001"/>
    <x v="131"/>
    <s v="William Santos"/>
    <s v="PIX"/>
    <x v="7"/>
    <x v="1"/>
    <n v="0"/>
    <n v="355"/>
    <s v="Sul"/>
    <x v="1"/>
    <n v="178.39"/>
    <d v="2024-07-14T00:00:00"/>
  </r>
  <r>
    <n v="101489"/>
    <x v="202"/>
    <s v="Rafael Pereira"/>
    <s v="PIX"/>
    <x v="3"/>
    <x v="1"/>
    <n v="0"/>
    <n v="641"/>
    <s v="Nordeste"/>
    <x v="2"/>
    <n v="47.56"/>
    <d v="2024-07-14T00:00:00"/>
  </r>
  <r>
    <n v="101016"/>
    <x v="31"/>
    <s v="Caio Monteiro"/>
    <s v="BOLETO"/>
    <x v="6"/>
    <x v="1"/>
    <n v="0"/>
    <n v="497"/>
    <s v="Centro-Oeste"/>
    <x v="1"/>
    <n v="406.07"/>
    <d v="2024-07-13T00:00:00"/>
  </r>
  <r>
    <n v="100569"/>
    <x v="35"/>
    <s v="Caio Monteiro"/>
    <s v="BOLETO"/>
    <x v="1"/>
    <x v="3"/>
    <n v="157"/>
    <n v="852"/>
    <s v="Norte"/>
    <x v="1"/>
    <n v="342.66"/>
    <d v="2024-07-13T00:00:00"/>
  </r>
  <r>
    <n v="101752"/>
    <x v="171"/>
    <s v="Debora Pinto"/>
    <s v="CARTÃO DE CRÉDITO"/>
    <x v="7"/>
    <x v="0"/>
    <n v="20"/>
    <n v="571"/>
    <s v="Centro-Oeste"/>
    <x v="0"/>
    <n v="207.83"/>
    <d v="2024-07-13T00:00:00"/>
  </r>
  <r>
    <n v="101250"/>
    <x v="254"/>
    <s v="William Santos"/>
    <s v="CARTÃO DE CRÉDITO"/>
    <x v="0"/>
    <x v="1"/>
    <n v="0"/>
    <n v="369"/>
    <s v="Nordeste"/>
    <x v="2"/>
    <n v="122.755"/>
    <d v="2024-07-13T00:00:00"/>
  </r>
  <r>
    <n v="100849"/>
    <x v="207"/>
    <s v="Heitor Barbosa"/>
    <s v="CARTÃO DE DÉBITO"/>
    <x v="5"/>
    <x v="1"/>
    <n v="0"/>
    <n v="647"/>
    <s v="Sudeste"/>
    <x v="1"/>
    <n v="656.01"/>
    <d v="2024-07-12T00:00:00"/>
  </r>
  <r>
    <n v="102158"/>
    <x v="85"/>
    <s v="Ana Souza"/>
    <s v="BOLETO"/>
    <x v="1"/>
    <x v="0"/>
    <n v="15"/>
    <n v="465"/>
    <s v="Nordeste"/>
    <x v="2"/>
    <n v="647.42999999999995"/>
    <d v="2024-07-12T00:00:00"/>
  </r>
  <r>
    <n v="101385"/>
    <x v="234"/>
    <s v="Ana Souza"/>
    <s v="CARTÃO DE DÉBITO"/>
    <x v="0"/>
    <x v="1"/>
    <n v="0"/>
    <n v="494"/>
    <s v="Nordeste"/>
    <x v="1"/>
    <m/>
    <d v="2024-07-12T00:00:00"/>
  </r>
  <r>
    <n v="100590"/>
    <x v="193"/>
    <s v="Isabela Nunes"/>
    <s v="PIX"/>
    <x v="6"/>
    <x v="1"/>
    <n v="0"/>
    <n v="377"/>
    <s v="Sudeste"/>
    <x v="1"/>
    <n v="965.07"/>
    <d v="2024-07-11T00:00:00"/>
  </r>
  <r>
    <n v="101919"/>
    <x v="154"/>
    <s v="Fabio Costa"/>
    <s v="BOLETO"/>
    <x v="1"/>
    <x v="3"/>
    <n v="148"/>
    <n v="451"/>
    <s v="Norte"/>
    <x v="1"/>
    <n v="380.98"/>
    <d v="2024-07-11T00:00:00"/>
  </r>
  <r>
    <n v="100722"/>
    <x v="172"/>
    <s v="Caio Monteiro"/>
    <s v="BOLETO"/>
    <x v="4"/>
    <x v="2"/>
    <n v="0"/>
    <n v="892"/>
    <s v="Sul"/>
    <x v="1"/>
    <n v="372.07"/>
    <d v="2024-07-11T00:00:00"/>
  </r>
  <r>
    <n v="101584"/>
    <x v="90"/>
    <s v="Elaine Ferreira"/>
    <s v="TED"/>
    <x v="4"/>
    <x v="3"/>
    <n v="97"/>
    <n v="659"/>
    <s v="Norte"/>
    <x v="0"/>
    <n v="207.58"/>
    <d v="2024-07-11T00:00:00"/>
  </r>
  <r>
    <n v="102095"/>
    <x v="186"/>
    <s v="Diego Alves"/>
    <s v="BOLETO"/>
    <x v="0"/>
    <x v="1"/>
    <n v="0"/>
    <n v="737"/>
    <s v="Centro-Oeste"/>
    <x v="0"/>
    <n v="40.409999999999997"/>
    <d v="2024-07-11T00:00:00"/>
  </r>
  <r>
    <n v="101780"/>
    <x v="57"/>
    <s v="Fabio Costa"/>
    <s v="PIX"/>
    <x v="4"/>
    <x v="0"/>
    <n v="14"/>
    <n v="328"/>
    <s v="Norte"/>
    <x v="1"/>
    <n v="935.41"/>
    <d v="2024-07-10T00:00:00"/>
  </r>
  <r>
    <n v="101097"/>
    <x v="100"/>
    <s v="Nelson Teixeira"/>
    <s v="BOLETO"/>
    <x v="5"/>
    <x v="1"/>
    <n v="0"/>
    <n v="557"/>
    <s v="Centro-Oeste"/>
    <x v="2"/>
    <n v="481.14"/>
    <d v="2024-07-10T00:00:00"/>
  </r>
  <r>
    <n v="101527"/>
    <x v="63"/>
    <s v="Heitor Barbosa"/>
    <s v="CARTÃO DE DÉBITO"/>
    <x v="3"/>
    <x v="1"/>
    <n v="0"/>
    <n v="509"/>
    <s v="Centro-Oeste"/>
    <x v="1"/>
    <n v="346.82"/>
    <d v="2024-07-10T00:00:00"/>
  </r>
  <r>
    <n v="101100"/>
    <x v="36"/>
    <s v="Vanessa Duarte"/>
    <s v="CARTÃO DE CRÉDITO"/>
    <x v="5"/>
    <x v="1"/>
    <n v="0"/>
    <n v="463"/>
    <s v="Sul"/>
    <x v="1"/>
    <n v="300.14999999999998"/>
    <d v="2024-07-10T00:00:00"/>
  </r>
  <r>
    <n v="100612"/>
    <x v="173"/>
    <s v="Mariana Cardoso"/>
    <s v="PIX"/>
    <x v="5"/>
    <x v="1"/>
    <n v="0"/>
    <n v="621"/>
    <s v="Sul"/>
    <x v="0"/>
    <n v="129.01"/>
    <d v="2024-07-10T00:00:00"/>
  </r>
  <r>
    <n v="101692"/>
    <x v="74"/>
    <s v="Isabela Nunes"/>
    <s v="CARTÃO DE CRÉDITO"/>
    <x v="0"/>
    <x v="1"/>
    <n v="0"/>
    <n v="418"/>
    <s v="Centro-Oeste"/>
    <x v="0"/>
    <n v="709.25"/>
    <d v="2024-07-09T00:00:00"/>
  </r>
  <r>
    <n v="100726"/>
    <x v="32"/>
    <s v="Carla Mendes"/>
    <s v="CARTÃO DE DÉBITO"/>
    <x v="1"/>
    <x v="3"/>
    <n v="143"/>
    <n v="324"/>
    <s v="Norte"/>
    <x v="2"/>
    <n v="630.47"/>
    <d v="2024-07-09T00:00:00"/>
  </r>
  <r>
    <n v="100885"/>
    <x v="226"/>
    <s v="Diego Alves"/>
    <s v="CARTÃO DE CRÉDITO"/>
    <x v="5"/>
    <x v="1"/>
    <n v="0"/>
    <n v="781"/>
    <s v="Sudeste"/>
    <x v="0"/>
    <n v="479.53"/>
    <d v="2024-07-09T00:00:00"/>
  </r>
  <r>
    <n v="102116"/>
    <x v="217"/>
    <s v="Joao Pedro Dias"/>
    <s v="BOLETO"/>
    <x v="0"/>
    <x v="2"/>
    <n v="0"/>
    <n v="359"/>
    <s v="Sul"/>
    <x v="2"/>
    <n v="360.6"/>
    <d v="2024-07-09T00:00:00"/>
  </r>
  <r>
    <n v="100740"/>
    <x v="82"/>
    <s v="Vanessa Duarte"/>
    <s v="TED"/>
    <x v="2"/>
    <x v="1"/>
    <n v="0"/>
    <n v="352"/>
    <s v="Norte"/>
    <x v="1"/>
    <n v="333.76"/>
    <d v="2024-07-09T00:00:00"/>
  </r>
  <r>
    <n v="101048"/>
    <x v="56"/>
    <s v="Mariana Cardoso"/>
    <s v="BOLETO"/>
    <x v="3"/>
    <x v="1"/>
    <n v="0"/>
    <n v="418"/>
    <s v="Não Informado"/>
    <x v="1"/>
    <n v="132.78"/>
    <d v="2024-07-09T00:00:00"/>
  </r>
  <r>
    <n v="101296"/>
    <x v="4"/>
    <s v="Bianca Freitas"/>
    <s v="TED"/>
    <x v="5"/>
    <x v="2"/>
    <n v="0"/>
    <n v="623"/>
    <s v="Sudeste"/>
    <x v="0"/>
    <n v="131.57"/>
    <d v="2024-07-09T00:00:00"/>
  </r>
  <r>
    <n v="101629"/>
    <x v="160"/>
    <s v="Otavio Ramos"/>
    <s v="PIX"/>
    <x v="4"/>
    <x v="2"/>
    <n v="0"/>
    <n v="740"/>
    <s v="Não Informado"/>
    <x v="1"/>
    <n v="629.94000000000005"/>
    <d v="2024-07-08T00:00:00"/>
  </r>
  <r>
    <n v="101125"/>
    <x v="206"/>
    <s v="Carla Mendes"/>
    <s v="CARTÃO DE CRÉDITO"/>
    <x v="3"/>
    <x v="2"/>
    <n v="0"/>
    <n v="468"/>
    <s v="Sudeste"/>
    <x v="1"/>
    <n v="181.17"/>
    <d v="2024-07-08T00:00:00"/>
  </r>
  <r>
    <n v="100953"/>
    <x v="158"/>
    <s v="Heitor Barbosa"/>
    <s v="PIX"/>
    <x v="4"/>
    <x v="1"/>
    <n v="0"/>
    <n v="771"/>
    <s v="Sul"/>
    <x v="1"/>
    <n v="101.79"/>
    <d v="2024-07-08T00:00:00"/>
  </r>
  <r>
    <n v="100369"/>
    <x v="62"/>
    <s v="Lucas Martins"/>
    <s v="CARTÃO DE DÉBITO"/>
    <x v="2"/>
    <x v="1"/>
    <n v="0"/>
    <n v="788"/>
    <s v="Centro-Oeste"/>
    <x v="1"/>
    <n v="71.23"/>
    <d v="2024-07-08T00:00:00"/>
  </r>
  <r>
    <n v="100729"/>
    <x v="14"/>
    <s v="Heitor Barbosa"/>
    <s v="CARTÃO DE CRÉDITO"/>
    <x v="3"/>
    <x v="1"/>
    <n v="0"/>
    <n v="603"/>
    <s v="Sul"/>
    <x v="2"/>
    <n v="56.52"/>
    <d v="2024-07-08T00:00:00"/>
  </r>
  <r>
    <n v="101186"/>
    <x v="15"/>
    <s v="Caio Monteiro"/>
    <s v="PIX"/>
    <x v="1"/>
    <x v="1"/>
    <n v="0"/>
    <n v="585"/>
    <s v="Nordeste"/>
    <x v="2"/>
    <n v="545.38"/>
    <d v="2024-07-07T00:00:00"/>
  </r>
  <r>
    <n v="101802"/>
    <x v="94"/>
    <s v="Gabriela Rocha"/>
    <s v="CARTÃO DE CRÉDITO"/>
    <x v="4"/>
    <x v="1"/>
    <n v="0"/>
    <n v="555"/>
    <s v="Não Informado"/>
    <x v="0"/>
    <n v="507.26"/>
    <d v="2024-07-07T00:00:00"/>
  </r>
  <r>
    <n v="101407"/>
    <x v="166"/>
    <s v="Bianca Freitas"/>
    <s v="CARTÃO DE DÉBITO"/>
    <x v="2"/>
    <x v="1"/>
    <n v="0"/>
    <n v="490"/>
    <s v="Nordeste"/>
    <x v="2"/>
    <n v="450.26"/>
    <d v="2024-07-07T00:00:00"/>
  </r>
  <r>
    <n v="101666"/>
    <x v="5"/>
    <s v="Bruno Lima"/>
    <s v="TED"/>
    <x v="7"/>
    <x v="0"/>
    <n v="18"/>
    <n v="434"/>
    <s v="Sudeste"/>
    <x v="0"/>
    <n v="299.25"/>
    <d v="2024-07-07T00:00:00"/>
  </r>
  <r>
    <n v="100138"/>
    <x v="28"/>
    <s v="Lucas Martins"/>
    <s v="BOLETO"/>
    <x v="7"/>
    <x v="1"/>
    <n v="0"/>
    <n v="843"/>
    <s v="Centro-Oeste"/>
    <x v="2"/>
    <n v="189"/>
    <d v="2024-07-07T00:00:00"/>
  </r>
  <r>
    <n v="100228"/>
    <x v="173"/>
    <s v="Mariana Cardoso"/>
    <s v="CARTÃO DE CRÉDITO"/>
    <x v="4"/>
    <x v="1"/>
    <n v="0"/>
    <n v="621"/>
    <s v="Norte"/>
    <x v="1"/>
    <n v="159.94999999999999"/>
    <d v="2024-07-07T00:00:00"/>
  </r>
  <r>
    <n v="100826"/>
    <x v="167"/>
    <s v="Ana Souza"/>
    <s v="PIX"/>
    <x v="7"/>
    <x v="1"/>
    <n v="0"/>
    <n v="573"/>
    <s v="Sul"/>
    <x v="0"/>
    <n v="438.72"/>
    <d v="2024-07-06T00:00:00"/>
  </r>
  <r>
    <n v="100814"/>
    <x v="66"/>
    <s v="Mariana Cardoso"/>
    <s v="CARTÃO DE DÉBITO"/>
    <x v="2"/>
    <x v="1"/>
    <n v="0"/>
    <n v="351"/>
    <s v="Nordeste"/>
    <x v="0"/>
    <n v="410.4"/>
    <d v="2024-07-06T00:00:00"/>
  </r>
  <r>
    <n v="100605"/>
    <x v="237"/>
    <s v="Debora Pinto"/>
    <s v="CARTÃO DE CRÉDITO"/>
    <x v="7"/>
    <x v="1"/>
    <n v="0"/>
    <n v="705"/>
    <s v="Centro-Oeste"/>
    <x v="2"/>
    <n v="802.51"/>
    <d v="2024-07-05T00:00:00"/>
  </r>
  <r>
    <n v="101298"/>
    <x v="217"/>
    <s v="Não Informado"/>
    <s v="BOLETO"/>
    <x v="1"/>
    <x v="1"/>
    <n v="0"/>
    <n v="359"/>
    <s v="Norte"/>
    <x v="0"/>
    <n v="566.27"/>
    <d v="2024-07-04T00:00:00"/>
  </r>
  <r>
    <n v="101785"/>
    <x v="91"/>
    <s v="Nelson Teixeira"/>
    <s v="CARTÃO DE DÉBITO"/>
    <x v="0"/>
    <x v="2"/>
    <n v="0"/>
    <n v="784"/>
    <s v="Sul"/>
    <x v="1"/>
    <n v="558.84"/>
    <d v="2024-07-03T00:00:00"/>
  </r>
  <r>
    <n v="100407"/>
    <x v="100"/>
    <s v="Nelson Teixeira"/>
    <s v="TED"/>
    <x v="3"/>
    <x v="1"/>
    <n v="0"/>
    <n v="557"/>
    <s v="Norte"/>
    <x v="1"/>
    <n v="508.15"/>
    <d v="2024-07-03T00:00:00"/>
  </r>
  <r>
    <n v="100019"/>
    <x v="215"/>
    <s v="Patricia Gomes"/>
    <s v="CARTÃO DE CRÉDITO"/>
    <x v="3"/>
    <x v="1"/>
    <n v="0"/>
    <n v="459"/>
    <s v="Centro-Oeste"/>
    <x v="1"/>
    <n v="332.69"/>
    <d v="2024-07-03T00:00:00"/>
  </r>
  <r>
    <n v="102100"/>
    <x v="192"/>
    <s v="Bianca Freitas"/>
    <s v="BOLETO"/>
    <x v="3"/>
    <x v="1"/>
    <n v="0"/>
    <n v="869"/>
    <s v="Nordeste"/>
    <x v="1"/>
    <n v="217.98"/>
    <d v="2024-07-03T00:00:00"/>
  </r>
  <r>
    <n v="100077"/>
    <x v="30"/>
    <s v="Debora Pinto"/>
    <s v="CARTÃO DE CRÉDITO"/>
    <x v="3"/>
    <x v="1"/>
    <n v="0"/>
    <n v="325"/>
    <s v="Nordeste"/>
    <x v="1"/>
    <n v="146.53"/>
    <d v="2024-07-03T00:00:00"/>
  </r>
  <r>
    <n v="101193"/>
    <x v="216"/>
    <s v="William Santos"/>
    <s v="TED"/>
    <x v="0"/>
    <x v="1"/>
    <n v="0"/>
    <n v="835"/>
    <s v="Sul"/>
    <x v="1"/>
    <n v="380.46"/>
    <d v="2024-07-02T00:00:00"/>
  </r>
  <r>
    <n v="102068"/>
    <x v="244"/>
    <s v="Karina Silva"/>
    <s v="CARTÃO DE CRÉDITO"/>
    <x v="7"/>
    <x v="1"/>
    <n v="0"/>
    <n v="753"/>
    <s v="Sudeste"/>
    <x v="1"/>
    <n v="306.87"/>
    <d v="2024-07-02T00:00:00"/>
  </r>
  <r>
    <n v="100813"/>
    <x v="111"/>
    <s v="Debora Pinto"/>
    <s v="TED"/>
    <x v="5"/>
    <x v="2"/>
    <n v="0"/>
    <n v="849"/>
    <s v="Sudeste"/>
    <x v="2"/>
    <n v="296.55"/>
    <d v="2024-07-02T00:00:00"/>
  </r>
  <r>
    <n v="101164"/>
    <x v="173"/>
    <s v="Mariana Cardoso"/>
    <s v="PIX"/>
    <x v="1"/>
    <x v="1"/>
    <n v="0"/>
    <n v="621"/>
    <s v="Centro-Oeste"/>
    <x v="2"/>
    <n v="116.33"/>
    <d v="2024-07-02T00:00:00"/>
  </r>
  <r>
    <n v="101179"/>
    <x v="177"/>
    <s v="Otavio Ramos"/>
    <s v="PIX"/>
    <x v="1"/>
    <x v="1"/>
    <n v="0"/>
    <n v="411"/>
    <s v="Sudeste"/>
    <x v="0"/>
    <n v="282.86"/>
    <d v="2024-07-01T00:00:00"/>
  </r>
  <r>
    <n v="102130"/>
    <x v="170"/>
    <s v="Elaine Ferreira"/>
    <s v="TED"/>
    <x v="4"/>
    <x v="2"/>
    <n v="0"/>
    <n v="821"/>
    <s v="Norte"/>
    <x v="1"/>
    <n v="189.93"/>
    <d v="2024-07-01T00:00:00"/>
  </r>
  <r>
    <n v="100817"/>
    <x v="5"/>
    <s v="Bruno Lima"/>
    <s v="CARTÃO DE CRÉDITO"/>
    <x v="0"/>
    <x v="3"/>
    <n v="144"/>
    <n v="434"/>
    <s v="Sudeste"/>
    <x v="1"/>
    <n v="382.51"/>
    <d v="2024-06-30T00:00:00"/>
  </r>
  <r>
    <n v="100984"/>
    <x v="169"/>
    <s v="Joao Pedro Dias"/>
    <s v="CARTÃO DE DÉBITO"/>
    <x v="0"/>
    <x v="1"/>
    <n v="0"/>
    <n v="302"/>
    <s v="Centro-Oeste"/>
    <x v="1"/>
    <n v="155.65"/>
    <d v="2024-06-30T00:00:00"/>
  </r>
  <r>
    <n v="100101"/>
    <x v="190"/>
    <s v="Carla Mendes"/>
    <s v="PIX"/>
    <x v="6"/>
    <x v="1"/>
    <n v="0"/>
    <n v="578"/>
    <s v="Centro-Oeste"/>
    <x v="2"/>
    <n v="632.97"/>
    <d v="2024-06-29T00:00:00"/>
  </r>
  <r>
    <n v="101669"/>
    <x v="229"/>
    <s v="Ana Souza"/>
    <s v="TED"/>
    <x v="2"/>
    <x v="1"/>
    <n v="0"/>
    <n v="662"/>
    <s v="Centro-Oeste"/>
    <x v="2"/>
    <n v="244.2"/>
    <d v="2024-06-29T00:00:00"/>
  </r>
  <r>
    <n v="100473"/>
    <x v="142"/>
    <s v="Yasmin Araujo"/>
    <s v="PIX"/>
    <x v="0"/>
    <x v="1"/>
    <n v="0"/>
    <n v="621"/>
    <s v="Norte"/>
    <x v="1"/>
    <n v="835.15"/>
    <d v="2024-06-28T00:00:00"/>
  </r>
  <r>
    <n v="100113"/>
    <x v="85"/>
    <s v="Ana Souza"/>
    <s v="BOLETO"/>
    <x v="7"/>
    <x v="1"/>
    <n v="0"/>
    <n v="465"/>
    <s v="Norte"/>
    <x v="2"/>
    <n v="283.99"/>
    <d v="2024-06-28T00:00:00"/>
  </r>
  <r>
    <n v="101675"/>
    <x v="254"/>
    <s v="William Santos"/>
    <s v="CARTÃO DE DÉBITO"/>
    <x v="2"/>
    <x v="1"/>
    <n v="0"/>
    <n v="369"/>
    <s v="Sul"/>
    <x v="1"/>
    <n v="211.94"/>
    <d v="2024-06-28T00:00:00"/>
  </r>
  <r>
    <n v="101264"/>
    <x v="234"/>
    <s v="Ana Souza"/>
    <s v="BOLETO"/>
    <x v="0"/>
    <x v="1"/>
    <n v="0"/>
    <n v="494"/>
    <s v="Nordeste"/>
    <x v="1"/>
    <n v="135.43"/>
    <d v="2024-06-28T00:00:00"/>
  </r>
  <r>
    <n v="101077"/>
    <x v="231"/>
    <s v="Lucas Martins"/>
    <s v="BOLETO"/>
    <x v="3"/>
    <x v="3"/>
    <n v="142"/>
    <n v="315"/>
    <s v="Sul"/>
    <x v="1"/>
    <n v="1147.72"/>
    <d v="2024-06-27T00:00:00"/>
  </r>
  <r>
    <n v="100082"/>
    <x v="165"/>
    <s v="Debora Pinto"/>
    <s v="CARTÃO DE CRÉDITO"/>
    <x v="2"/>
    <x v="1"/>
    <n v="0"/>
    <n v="377"/>
    <s v="Norte"/>
    <x v="1"/>
    <n v="879.48"/>
    <d v="2024-06-27T00:00:00"/>
  </r>
  <r>
    <n v="101182"/>
    <x v="102"/>
    <s v="Ana Souza"/>
    <s v="BOLETO"/>
    <x v="7"/>
    <x v="1"/>
    <n v="0"/>
    <n v="430"/>
    <s v="Nordeste"/>
    <x v="0"/>
    <n v="568.25"/>
    <d v="2024-06-27T00:00:00"/>
  </r>
  <r>
    <n v="100001"/>
    <x v="219"/>
    <s v="Joao Pedro Dias"/>
    <s v="CARTÃO DE CRÉDITO"/>
    <x v="2"/>
    <x v="2"/>
    <n v="0"/>
    <n v="504"/>
    <s v="Centro-Oeste"/>
    <x v="1"/>
    <n v="473.56"/>
    <d v="2024-06-27T00:00:00"/>
  </r>
  <r>
    <n v="101144"/>
    <x v="55"/>
    <s v="Carla Mendes"/>
    <s v="TED"/>
    <x v="4"/>
    <x v="1"/>
    <n v="0"/>
    <n v="616"/>
    <s v="Nordeste"/>
    <x v="1"/>
    <n v="375.63"/>
    <d v="2024-06-27T00:00:00"/>
  </r>
  <r>
    <n v="100443"/>
    <x v="101"/>
    <s v="Thiago Correia"/>
    <s v="CARTÃO DE CRÉDITO"/>
    <x v="0"/>
    <x v="2"/>
    <n v="0"/>
    <n v="533"/>
    <s v="Sul"/>
    <x v="2"/>
    <n v="215.79"/>
    <d v="2024-06-26T00:00:00"/>
  </r>
  <r>
    <n v="101110"/>
    <x v="161"/>
    <s v="Isabela Nunes"/>
    <s v="TED"/>
    <x v="2"/>
    <x v="1"/>
    <n v="0"/>
    <n v="470"/>
    <s v="Nordeste"/>
    <x v="0"/>
    <n v="547.73"/>
    <d v="2024-06-25T00:00:00"/>
  </r>
  <r>
    <n v="100747"/>
    <x v="190"/>
    <s v="Carla Mendes"/>
    <s v="CARTÃO DE DÉBITO"/>
    <x v="0"/>
    <x v="1"/>
    <n v="0"/>
    <n v="578"/>
    <s v="Centro-Oeste"/>
    <x v="3"/>
    <n v="350.13"/>
    <d v="2024-06-25T00:00:00"/>
  </r>
  <r>
    <n v="101238"/>
    <x v="122"/>
    <s v="Mariana Cardoso"/>
    <s v="TED"/>
    <x v="5"/>
    <x v="1"/>
    <n v="0"/>
    <n v="435"/>
    <s v="Sudeste"/>
    <x v="2"/>
    <n v="1162.08"/>
    <d v="2024-06-24T00:00:00"/>
  </r>
  <r>
    <n v="101359"/>
    <x v="109"/>
    <s v="Sandra Vieira"/>
    <s v="CARTÃO DE CRÉDITO"/>
    <x v="0"/>
    <x v="1"/>
    <n v="0"/>
    <n v="733"/>
    <s v="Sul"/>
    <x v="0"/>
    <n v="304.69"/>
    <d v="2024-06-24T00:00:00"/>
  </r>
  <r>
    <n v="101032"/>
    <x v="186"/>
    <s v="Diego Alves"/>
    <s v="BOLETO"/>
    <x v="0"/>
    <x v="2"/>
    <n v="0"/>
    <n v="737"/>
    <s v="Norte"/>
    <x v="1"/>
    <n v="125.91"/>
    <d v="2024-06-24T00:00:00"/>
  </r>
  <r>
    <n v="101374"/>
    <x v="34"/>
    <s v="Debora Pinto"/>
    <s v="CARTÃO DE CRÉDITO"/>
    <x v="5"/>
    <x v="2"/>
    <n v="0"/>
    <n v="585"/>
    <s v="Centro-Oeste"/>
    <x v="2"/>
    <n v="114.28"/>
    <d v="2024-06-24T00:00:00"/>
  </r>
  <r>
    <n v="101226"/>
    <x v="142"/>
    <s v="Yasmin Araujo"/>
    <s v="BOLETO"/>
    <x v="2"/>
    <x v="1"/>
    <n v="0"/>
    <n v="621"/>
    <s v="Não Informado"/>
    <x v="1"/>
    <n v="452"/>
    <d v="2024-06-23T00:00:00"/>
  </r>
  <r>
    <n v="100985"/>
    <x v="240"/>
    <s v="Sandra Vieira"/>
    <s v="TED"/>
    <x v="6"/>
    <x v="1"/>
    <n v="0"/>
    <n v="552"/>
    <s v="Centro-Oeste"/>
    <x v="0"/>
    <n v="398.1"/>
    <d v="2024-06-23T00:00:00"/>
  </r>
  <r>
    <n v="100723"/>
    <x v="157"/>
    <s v="Não Informado"/>
    <s v="CARTÃO DE CRÉDITO"/>
    <x v="3"/>
    <x v="2"/>
    <n v="0"/>
    <n v="849"/>
    <s v="Norte"/>
    <x v="2"/>
    <n v="385.48"/>
    <d v="2024-06-23T00:00:00"/>
  </r>
  <r>
    <n v="100982"/>
    <x v="169"/>
    <s v="Joao Pedro Dias"/>
    <s v="BOLETO"/>
    <x v="7"/>
    <x v="1"/>
    <n v="0"/>
    <n v="302"/>
    <s v="Sudeste"/>
    <x v="1"/>
    <n v="353.52"/>
    <d v="2024-06-23T00:00:00"/>
  </r>
  <r>
    <n v="100199"/>
    <x v="172"/>
    <s v="Caio Monteiro"/>
    <s v="CARTÃO DE CRÉDITO"/>
    <x v="2"/>
    <x v="2"/>
    <n v="0"/>
    <n v="892"/>
    <s v="Nordeste"/>
    <x v="1"/>
    <n v="215.56"/>
    <d v="2024-06-23T00:00:00"/>
  </r>
  <r>
    <n v="100831"/>
    <x v="62"/>
    <s v="Lucas Martins"/>
    <s v="BOLETO"/>
    <x v="1"/>
    <x v="1"/>
    <n v="0"/>
    <n v="788"/>
    <s v="Nordeste"/>
    <x v="1"/>
    <n v="936.71"/>
    <d v="2024-06-22T00:00:00"/>
  </r>
  <r>
    <n v="100783"/>
    <x v="146"/>
    <s v="Thiago Correia"/>
    <s v="CARTÃO DE DÉBITO"/>
    <x v="2"/>
    <x v="3"/>
    <n v="56"/>
    <n v="890"/>
    <s v="Sudeste"/>
    <x v="0"/>
    <n v="207.97"/>
    <d v="2024-06-22T00:00:00"/>
  </r>
  <r>
    <n v="102136"/>
    <x v="107"/>
    <s v="Carla Mendes"/>
    <s v="PIX"/>
    <x v="4"/>
    <x v="1"/>
    <n v="0"/>
    <n v="893"/>
    <s v="Sul"/>
    <x v="2"/>
    <n v="130.65"/>
    <d v="2024-06-22T00:00:00"/>
  </r>
  <r>
    <n v="100804"/>
    <x v="243"/>
    <s v="Elaine Ferreira"/>
    <s v="BOLETO"/>
    <x v="0"/>
    <x v="1"/>
    <n v="0"/>
    <n v="481"/>
    <s v="Sudeste"/>
    <x v="1"/>
    <n v="477"/>
    <d v="2024-06-21T00:00:00"/>
  </r>
  <r>
    <n v="101305"/>
    <x v="246"/>
    <s v="Otavio Ramos"/>
    <s v="PIX"/>
    <x v="5"/>
    <x v="1"/>
    <n v="0"/>
    <n v="351"/>
    <s v="Sul"/>
    <x v="1"/>
    <n v="474.78"/>
    <d v="2024-06-21T00:00:00"/>
  </r>
  <r>
    <n v="100523"/>
    <x v="244"/>
    <s v="Karina Silva"/>
    <s v="PIX"/>
    <x v="0"/>
    <x v="1"/>
    <n v="0"/>
    <n v="753"/>
    <s v="Sudeste"/>
    <x v="1"/>
    <n v="401.14"/>
    <d v="2024-06-21T00:00:00"/>
  </r>
  <r>
    <n v="100119"/>
    <x v="122"/>
    <s v="Mariana Cardoso"/>
    <s v="CARTÃO DE DÉBITO"/>
    <x v="2"/>
    <x v="1"/>
    <n v="0"/>
    <n v="435"/>
    <s v="Sul"/>
    <x v="1"/>
    <n v="391.45"/>
    <d v="2024-06-21T00:00:00"/>
  </r>
  <r>
    <n v="100143"/>
    <x v="106"/>
    <s v="Carla Mendes"/>
    <s v="BOLETO"/>
    <x v="5"/>
    <x v="0"/>
    <n v="19"/>
    <n v="501"/>
    <s v="Não Informado"/>
    <x v="1"/>
    <n v="383.97"/>
    <d v="2024-06-21T00:00:00"/>
  </r>
  <r>
    <n v="101376"/>
    <x v="43"/>
    <s v="Vanessa Duarte"/>
    <s v="CARTÃO DE CRÉDITO"/>
    <x v="0"/>
    <x v="1"/>
    <n v="0"/>
    <n v="713"/>
    <s v="Centro-Oeste"/>
    <x v="1"/>
    <n v="345.42"/>
    <d v="2024-06-21T00:00:00"/>
  </r>
  <r>
    <n v="101139"/>
    <x v="224"/>
    <s v="Fabio Costa"/>
    <s v="PIX"/>
    <x v="7"/>
    <x v="0"/>
    <n v="13"/>
    <n v="483"/>
    <s v="Norte"/>
    <x v="0"/>
    <n v="192.47"/>
    <d v="2024-06-21T00:00:00"/>
  </r>
  <r>
    <n v="100419"/>
    <x v="105"/>
    <s v="Karina Silva"/>
    <s v="PIX"/>
    <x v="5"/>
    <x v="2"/>
    <n v="0"/>
    <n v="623"/>
    <s v="Centro-Oeste"/>
    <x v="2"/>
    <n v="178.64"/>
    <d v="2024-06-21T00:00:00"/>
  </r>
  <r>
    <n v="100508"/>
    <x v="143"/>
    <s v="Elaine Ferreira"/>
    <s v="CARTÃO DE CRÉDITO"/>
    <x v="2"/>
    <x v="1"/>
    <n v="0"/>
    <n v="543"/>
    <s v="Centro-Oeste"/>
    <x v="1"/>
    <n v="1025.51"/>
    <d v="2024-06-20T00:00:00"/>
  </r>
  <r>
    <n v="101175"/>
    <x v="199"/>
    <s v="Debora Pinto"/>
    <s v="BOLETO"/>
    <x v="2"/>
    <x v="1"/>
    <n v="0"/>
    <n v="411"/>
    <s v="Não Informado"/>
    <x v="1"/>
    <n v="261.49"/>
    <d v="2024-06-20T00:00:00"/>
  </r>
  <r>
    <n v="100916"/>
    <x v="225"/>
    <s v="Isabela Nunes"/>
    <s v="CARTÃO DE CRÉDITO"/>
    <x v="0"/>
    <x v="1"/>
    <n v="0"/>
    <n v="638"/>
    <s v="Centro-Oeste"/>
    <x v="1"/>
    <n v="91.89"/>
    <d v="2024-06-20T00:00:00"/>
  </r>
  <r>
    <n v="100619"/>
    <x v="6"/>
    <s v="Thiago Correia"/>
    <s v="CARTÃO DE CRÉDITO"/>
    <x v="4"/>
    <x v="1"/>
    <n v="0"/>
    <n v="406"/>
    <s v="Norte"/>
    <x v="0"/>
    <n v="80.17"/>
    <d v="2024-06-20T00:00:00"/>
  </r>
  <r>
    <n v="101604"/>
    <x v="210"/>
    <s v="Thiago Correia"/>
    <s v="BOLETO"/>
    <x v="6"/>
    <x v="1"/>
    <n v="0"/>
    <n v="371"/>
    <s v="Sul"/>
    <x v="0"/>
    <n v="806.14"/>
    <d v="2024-06-19T00:00:00"/>
  </r>
  <r>
    <n v="101107"/>
    <x v="94"/>
    <s v="Não Informado"/>
    <s v="CARTÃO DE CRÉDITO"/>
    <x v="0"/>
    <x v="0"/>
    <n v="6"/>
    <n v="555"/>
    <s v="Sudeste"/>
    <x v="1"/>
    <n v="595.84"/>
    <d v="2024-06-19T00:00:00"/>
  </r>
  <r>
    <n v="101273"/>
    <x v="87"/>
    <s v="Karina Silva"/>
    <s v="TED"/>
    <x v="1"/>
    <x v="2"/>
    <n v="0"/>
    <n v="672"/>
    <s v="Centro-Oeste"/>
    <x v="2"/>
    <n v="532.29999999999995"/>
    <d v="2024-06-19T00:00:00"/>
  </r>
  <r>
    <n v="100748"/>
    <x v="146"/>
    <s v="Não Informado"/>
    <s v="TED"/>
    <x v="7"/>
    <x v="2"/>
    <n v="0"/>
    <n v="890"/>
    <s v="Sudeste"/>
    <x v="0"/>
    <n v="483.83"/>
    <d v="2024-06-19T00:00:00"/>
  </r>
  <r>
    <n v="102112"/>
    <x v="141"/>
    <s v="Otavio Ramos"/>
    <s v="CARTÃO DE CRÉDITO"/>
    <x v="2"/>
    <x v="1"/>
    <n v="0"/>
    <n v="746"/>
    <s v="Norte"/>
    <x v="2"/>
    <n v="478.8"/>
    <d v="2024-06-19T00:00:00"/>
  </r>
  <r>
    <n v="101949"/>
    <x v="5"/>
    <s v="Bruno Lima"/>
    <s v="BOLETO"/>
    <x v="1"/>
    <x v="1"/>
    <n v="0"/>
    <n v="434"/>
    <s v="Sudeste"/>
    <x v="0"/>
    <n v="475.42"/>
    <d v="2024-06-18T00:00:00"/>
  </r>
  <r>
    <n v="100066"/>
    <x v="242"/>
    <s v="William Santos"/>
    <s v="PIX"/>
    <x v="2"/>
    <x v="0"/>
    <n v="2"/>
    <n v="570"/>
    <s v="Centro-Oeste"/>
    <x v="0"/>
    <n v="318.02"/>
    <d v="2024-06-18T00:00:00"/>
  </r>
  <r>
    <n v="101990"/>
    <x v="66"/>
    <s v="Mariana Cardoso"/>
    <s v="BOLETO"/>
    <x v="0"/>
    <x v="2"/>
    <n v="0"/>
    <n v="351"/>
    <s v="Centro-Oeste"/>
    <x v="1"/>
    <n v="247.67"/>
    <d v="2024-06-18T00:00:00"/>
  </r>
  <r>
    <n v="101002"/>
    <x v="147"/>
    <s v="Thiago Correia"/>
    <s v="CARTÃO DE CRÉDITO"/>
    <x v="5"/>
    <x v="3"/>
    <n v="177"/>
    <n v="554"/>
    <s v="Norte"/>
    <x v="2"/>
    <n v="192.86"/>
    <d v="2024-06-18T00:00:00"/>
  </r>
  <r>
    <n v="100618"/>
    <x v="211"/>
    <s v="Elaine Ferreira"/>
    <s v="BOLETO"/>
    <x v="2"/>
    <x v="1"/>
    <n v="0"/>
    <n v="550"/>
    <s v="Centro-Oeste"/>
    <x v="2"/>
    <n v="108.94"/>
    <d v="2024-06-18T00:00:00"/>
  </r>
  <r>
    <n v="102151"/>
    <x v="246"/>
    <s v="Otavio Ramos"/>
    <s v="CARTÃO DE DÉBITO"/>
    <x v="6"/>
    <x v="2"/>
    <n v="0"/>
    <n v="351"/>
    <s v="Sul"/>
    <x v="1"/>
    <m/>
    <d v="2024-06-18T00:00:00"/>
  </r>
  <r>
    <n v="100978"/>
    <x v="247"/>
    <s v="Debora Pinto"/>
    <s v="PIX"/>
    <x v="0"/>
    <x v="0"/>
    <n v="3"/>
    <n v="452"/>
    <s v="Sul"/>
    <x v="2"/>
    <n v="628.08000000000004"/>
    <d v="2024-06-17T00:00:00"/>
  </r>
  <r>
    <n v="101725"/>
    <x v="151"/>
    <s v="Heitor Barbosa"/>
    <s v="TED"/>
    <x v="1"/>
    <x v="3"/>
    <n v="59"/>
    <n v="855"/>
    <s v="Norte"/>
    <x v="1"/>
    <n v="497.34"/>
    <d v="2024-06-17T00:00:00"/>
  </r>
  <r>
    <n v="102199"/>
    <x v="258"/>
    <s v="Carla Mendes"/>
    <s v="CARTÃO DE DÉBITO"/>
    <x v="2"/>
    <x v="2"/>
    <n v="0"/>
    <n v="716"/>
    <s v="Sudeste"/>
    <x v="1"/>
    <n v="428.93"/>
    <d v="2024-06-17T00:00:00"/>
  </r>
  <r>
    <n v="100630"/>
    <x v="138"/>
    <s v="Thiago Correia"/>
    <s v="BOLETO"/>
    <x v="3"/>
    <x v="0"/>
    <n v="28"/>
    <n v="592"/>
    <s v="Norte"/>
    <x v="1"/>
    <n v="316.54000000000002"/>
    <d v="2024-06-17T00:00:00"/>
  </r>
  <r>
    <n v="100881"/>
    <x v="34"/>
    <s v="Debora Pinto"/>
    <s v="PIX"/>
    <x v="7"/>
    <x v="3"/>
    <n v="118"/>
    <n v="585"/>
    <s v="Norte"/>
    <x v="1"/>
    <n v="273.64"/>
    <d v="2024-06-17T00:00:00"/>
  </r>
  <r>
    <n v="100358"/>
    <x v="171"/>
    <s v="Debora Pinto"/>
    <s v="PIX"/>
    <x v="1"/>
    <x v="1"/>
    <n v="0"/>
    <n v="571"/>
    <s v="Sul"/>
    <x v="1"/>
    <n v="176.68"/>
    <d v="2024-06-17T00:00:00"/>
  </r>
  <r>
    <n v="101015"/>
    <x v="216"/>
    <s v="William Santos"/>
    <s v="CARTÃO DE CRÉDITO"/>
    <x v="4"/>
    <x v="1"/>
    <n v="0"/>
    <n v="835"/>
    <s v="Sudeste"/>
    <x v="1"/>
    <n v="84.29"/>
    <d v="2024-06-17T00:00:00"/>
  </r>
  <r>
    <n v="100538"/>
    <x v="239"/>
    <s v="Diego Alves"/>
    <s v="BOLETO"/>
    <x v="0"/>
    <x v="0"/>
    <n v="15"/>
    <n v="853"/>
    <s v="Centro-Oeste"/>
    <x v="0"/>
    <n v="542.04"/>
    <d v="2024-06-16T00:00:00"/>
  </r>
  <r>
    <n v="100733"/>
    <x v="110"/>
    <s v="Carla Mendes"/>
    <s v="CARTÃO DE DÉBITO"/>
    <x v="1"/>
    <x v="1"/>
    <n v="0"/>
    <n v="540"/>
    <s v="Norte"/>
    <x v="1"/>
    <n v="356.53"/>
    <d v="2024-06-16T00:00:00"/>
  </r>
  <r>
    <n v="100776"/>
    <x v="194"/>
    <s v="Heitor Barbosa"/>
    <s v="BOLETO"/>
    <x v="1"/>
    <x v="1"/>
    <n v="0"/>
    <n v="396"/>
    <s v="Nordeste"/>
    <x v="1"/>
    <n v="98.94"/>
    <d v="2024-06-16T00:00:00"/>
  </r>
  <r>
    <n v="100641"/>
    <x v="133"/>
    <s v="Nelson Teixeira"/>
    <s v="CARTÃO DE CRÉDITO"/>
    <x v="4"/>
    <x v="3"/>
    <n v="155"/>
    <n v="865"/>
    <s v="Nordeste"/>
    <x v="1"/>
    <n v="1341.39"/>
    <d v="2024-06-15T00:00:00"/>
  </r>
  <r>
    <n v="100935"/>
    <x v="37"/>
    <s v="Bianca Freitas"/>
    <s v="TED"/>
    <x v="7"/>
    <x v="1"/>
    <n v="0"/>
    <n v="653"/>
    <s v="Centro-Oeste"/>
    <x v="0"/>
    <n v="775.36"/>
    <d v="2024-06-15T00:00:00"/>
  </r>
  <r>
    <n v="100778"/>
    <x v="168"/>
    <s v="Sandra Vieira"/>
    <s v="CARTÃO DE DÉBITO"/>
    <x v="0"/>
    <x v="1"/>
    <n v="0"/>
    <n v="567"/>
    <s v="Sudeste"/>
    <x v="2"/>
    <n v="196.86"/>
    <d v="2024-06-15T00:00:00"/>
  </r>
  <r>
    <n v="101055"/>
    <x v="159"/>
    <s v="Bianca Freitas"/>
    <s v="CARTÃO DE DÉBITO"/>
    <x v="0"/>
    <x v="0"/>
    <n v="28"/>
    <n v="375"/>
    <s v="Norte"/>
    <x v="1"/>
    <n v="174.23"/>
    <d v="2024-06-15T00:00:00"/>
  </r>
  <r>
    <n v="101641"/>
    <x v="26"/>
    <s v="Diego Alves"/>
    <s v="CARTÃO DE DÉBITO"/>
    <x v="7"/>
    <x v="3"/>
    <n v="140"/>
    <n v="710"/>
    <s v="Sul"/>
    <x v="1"/>
    <n v="728.41"/>
    <d v="2024-06-14T00:00:00"/>
  </r>
  <r>
    <n v="100521"/>
    <x v="257"/>
    <s v="Debora Pinto"/>
    <s v="PIX"/>
    <x v="1"/>
    <x v="1"/>
    <n v="0"/>
    <n v="666"/>
    <s v="Sudeste"/>
    <x v="1"/>
    <n v="521.04999999999995"/>
    <d v="2024-06-14T00:00:00"/>
  </r>
  <r>
    <n v="101763"/>
    <x v="167"/>
    <s v="Ana Souza"/>
    <s v="TED"/>
    <x v="2"/>
    <x v="1"/>
    <n v="0"/>
    <n v="573"/>
    <s v="Nordeste"/>
    <x v="0"/>
    <n v="479.43"/>
    <d v="2024-06-14T00:00:00"/>
  </r>
  <r>
    <n v="101613"/>
    <x v="237"/>
    <s v="Debora Pinto"/>
    <s v="CARTÃO DE DÉBITO"/>
    <x v="3"/>
    <x v="1"/>
    <n v="0"/>
    <n v="705"/>
    <s v="Centro-Oeste"/>
    <x v="1"/>
    <n v="423.72"/>
    <d v="2024-06-14T00:00:00"/>
  </r>
  <r>
    <n v="100787"/>
    <x v="145"/>
    <s v="Ana Souza"/>
    <s v="CARTÃO DE DÉBITO"/>
    <x v="0"/>
    <x v="3"/>
    <n v="113"/>
    <n v="784"/>
    <s v="Sudeste"/>
    <x v="2"/>
    <n v="195.37"/>
    <d v="2024-06-14T00:00:00"/>
  </r>
  <r>
    <n v="100376"/>
    <x v="185"/>
    <s v="Sandra Vieira"/>
    <s v="BOLETO"/>
    <x v="1"/>
    <x v="0"/>
    <n v="6"/>
    <n v="856"/>
    <s v="Sul"/>
    <x v="1"/>
    <n v="696.18"/>
    <d v="2024-06-13T00:00:00"/>
  </r>
  <r>
    <n v="100602"/>
    <x v="131"/>
    <s v="William Santos"/>
    <s v="PIX"/>
    <x v="1"/>
    <x v="1"/>
    <n v="0"/>
    <n v="355"/>
    <s v="Nordeste"/>
    <x v="2"/>
    <n v="523.30999999999995"/>
    <d v="2024-06-13T00:00:00"/>
  </r>
  <r>
    <n v="101825"/>
    <x v="141"/>
    <s v="Otavio Ramos"/>
    <s v="BOLETO"/>
    <x v="2"/>
    <x v="1"/>
    <n v="0"/>
    <n v="746"/>
    <s v="Não Informado"/>
    <x v="0"/>
    <n v="270.02"/>
    <d v="2024-06-13T00:00:00"/>
  </r>
  <r>
    <n v="100635"/>
    <x v="136"/>
    <s v="Heitor Barbosa"/>
    <s v="TED"/>
    <x v="2"/>
    <x v="0"/>
    <n v="5"/>
    <n v="607"/>
    <s v="Sudeste"/>
    <x v="2"/>
    <n v="688.86"/>
    <d v="2024-06-12T00:00:00"/>
  </r>
  <r>
    <n v="100030"/>
    <x v="55"/>
    <s v="Carla Mendes"/>
    <s v="CARTÃO DE CRÉDITO"/>
    <x v="1"/>
    <x v="1"/>
    <n v="0"/>
    <n v="616"/>
    <s v="Não Informado"/>
    <x v="0"/>
    <n v="668.79"/>
    <d v="2024-06-12T00:00:00"/>
  </r>
  <r>
    <n v="100212"/>
    <x v="8"/>
    <s v="Sandra Vieira"/>
    <s v="CARTÃO DE CRÉDITO"/>
    <x v="2"/>
    <x v="0"/>
    <n v="14"/>
    <n v="339"/>
    <s v="Norte"/>
    <x v="2"/>
    <n v="421.78"/>
    <d v="2024-06-12T00:00:00"/>
  </r>
  <r>
    <n v="100174"/>
    <x v="124"/>
    <s v="Sandra Vieira"/>
    <s v="TED"/>
    <x v="4"/>
    <x v="1"/>
    <n v="0"/>
    <n v="568"/>
    <s v="Sul"/>
    <x v="1"/>
    <n v="210.9"/>
    <d v="2024-06-12T00:00:00"/>
  </r>
  <r>
    <n v="100611"/>
    <x v="116"/>
    <s v="William Santos"/>
    <s v="CARTÃO DE DÉBITO"/>
    <x v="4"/>
    <x v="1"/>
    <n v="0"/>
    <n v="898"/>
    <s v="Sul"/>
    <x v="1"/>
    <n v="254.52"/>
    <d v="2024-06-11T00:00:00"/>
  </r>
  <r>
    <n v="102171"/>
    <x v="245"/>
    <s v="Vanessa Duarte"/>
    <s v="BOLETO"/>
    <x v="2"/>
    <x v="1"/>
    <n v="0"/>
    <n v="571"/>
    <s v="Sul"/>
    <x v="0"/>
    <n v="1030.06"/>
    <d v="2024-06-10T00:00:00"/>
  </r>
  <r>
    <n v="100502"/>
    <x v="34"/>
    <s v="Debora Pinto"/>
    <s v="CARTÃO DE CRÉDITO"/>
    <x v="2"/>
    <x v="2"/>
    <n v="0"/>
    <n v="585"/>
    <s v="Norte"/>
    <x v="0"/>
    <n v="998.76"/>
    <d v="2024-06-10T00:00:00"/>
  </r>
  <r>
    <n v="101209"/>
    <x v="94"/>
    <s v="Gabriela Rocha"/>
    <s v="PIX"/>
    <x v="5"/>
    <x v="1"/>
    <n v="0"/>
    <n v="555"/>
    <s v="Sudeste"/>
    <x v="1"/>
    <n v="642"/>
    <d v="2024-06-10T00:00:00"/>
  </r>
  <r>
    <n v="101227"/>
    <x v="60"/>
    <s v="Karina Silva"/>
    <s v="CARTÃO DE CRÉDITO"/>
    <x v="6"/>
    <x v="0"/>
    <n v="19"/>
    <n v="410"/>
    <s v="Nordeste"/>
    <x v="1"/>
    <n v="340.73"/>
    <d v="2024-06-10T00:00:00"/>
  </r>
  <r>
    <n v="100491"/>
    <x v="46"/>
    <s v="Rafael Pereira"/>
    <s v="CARTÃO DE DÉBITO"/>
    <x v="5"/>
    <x v="1"/>
    <n v="0"/>
    <n v="399"/>
    <s v="Sudeste"/>
    <x v="1"/>
    <n v="217.67"/>
    <d v="2024-06-10T00:00:00"/>
  </r>
  <r>
    <n v="100660"/>
    <x v="25"/>
    <s v="Sandra Vieira"/>
    <s v="PIX"/>
    <x v="0"/>
    <x v="3"/>
    <n v="50"/>
    <n v="309"/>
    <s v="Norte"/>
    <x v="1"/>
    <n v="104.35"/>
    <d v="2024-06-10T00:00:00"/>
  </r>
  <r>
    <n v="101812"/>
    <x v="113"/>
    <s v="Caio Monteiro"/>
    <s v="PIX"/>
    <x v="7"/>
    <x v="0"/>
    <n v="27"/>
    <n v="308"/>
    <s v="Nordeste"/>
    <x v="1"/>
    <n v="396.19"/>
    <d v="2024-06-09T00:00:00"/>
  </r>
  <r>
    <n v="101147"/>
    <x v="175"/>
    <s v="Debora Pinto"/>
    <s v="CARTÃO DE CRÉDITO"/>
    <x v="2"/>
    <x v="0"/>
    <n v="11"/>
    <n v="588"/>
    <s v="Sudeste"/>
    <x v="1"/>
    <n v="101.8"/>
    <d v="2024-06-09T00:00:00"/>
  </r>
  <r>
    <n v="101600"/>
    <x v="244"/>
    <s v="Karina Silva"/>
    <s v="TED"/>
    <x v="0"/>
    <x v="1"/>
    <n v="0"/>
    <n v="753"/>
    <s v="Sudeste"/>
    <x v="3"/>
    <n v="31.43"/>
    <d v="2024-06-09T00:00:00"/>
  </r>
  <r>
    <n v="100231"/>
    <x v="85"/>
    <s v="Ana Souza"/>
    <s v="TED"/>
    <x v="4"/>
    <x v="3"/>
    <n v="57"/>
    <n v="465"/>
    <s v="Sul"/>
    <x v="2"/>
    <n v="1017.63"/>
    <d v="2024-06-08T00:00:00"/>
  </r>
  <r>
    <n v="100151"/>
    <x v="28"/>
    <s v="Lucas Martins"/>
    <s v="PIX"/>
    <x v="2"/>
    <x v="2"/>
    <n v="0"/>
    <n v="843"/>
    <s v="Sudeste"/>
    <x v="1"/>
    <n v="616.04999999999995"/>
    <d v="2024-06-08T00:00:00"/>
  </r>
  <r>
    <n v="101408"/>
    <x v="59"/>
    <s v="Heitor Barbosa"/>
    <s v="CARTÃO DE CRÉDITO"/>
    <x v="1"/>
    <x v="2"/>
    <n v="0"/>
    <n v="372"/>
    <s v="Centro-Oeste"/>
    <x v="0"/>
    <n v="508.43"/>
    <d v="2024-06-08T00:00:00"/>
  </r>
  <r>
    <n v="101414"/>
    <x v="42"/>
    <s v="Lucas Martins"/>
    <s v="BOLETO"/>
    <x v="1"/>
    <x v="2"/>
    <n v="0"/>
    <n v="527"/>
    <s v="Sul"/>
    <x v="0"/>
    <n v="616.27"/>
    <d v="2024-06-07T00:00:00"/>
  </r>
  <r>
    <n v="101299"/>
    <x v="15"/>
    <s v="Caio Monteiro"/>
    <s v="TED"/>
    <x v="1"/>
    <x v="0"/>
    <n v="21"/>
    <n v="585"/>
    <s v="Nordeste"/>
    <x v="3"/>
    <n v="334.63"/>
    <d v="2024-06-07T00:00:00"/>
  </r>
  <r>
    <n v="100806"/>
    <x v="30"/>
    <s v="Debora Pinto"/>
    <s v="PIX"/>
    <x v="5"/>
    <x v="3"/>
    <n v="37"/>
    <n v="325"/>
    <s v="Centro-Oeste"/>
    <x v="1"/>
    <n v="168.99"/>
    <d v="2024-06-07T00:00:00"/>
  </r>
  <r>
    <n v="100818"/>
    <x v="97"/>
    <s v="Sandra Vieira"/>
    <s v="CARTÃO DE CRÉDITO"/>
    <x v="4"/>
    <x v="2"/>
    <n v="0"/>
    <n v="688"/>
    <s v="Centro-Oeste"/>
    <x v="2"/>
    <n v="107.34"/>
    <d v="2024-06-07T00:00:00"/>
  </r>
  <r>
    <n v="101228"/>
    <x v="158"/>
    <s v="Heitor Barbosa"/>
    <s v="BOLETO"/>
    <x v="7"/>
    <x v="1"/>
    <n v="0"/>
    <n v="771"/>
    <s v="Sul"/>
    <x v="0"/>
    <n v="1003.74"/>
    <d v="2024-06-06T00:00:00"/>
  </r>
  <r>
    <n v="101963"/>
    <x v="69"/>
    <s v="Ana Souza"/>
    <s v="PIX"/>
    <x v="5"/>
    <x v="0"/>
    <n v="23"/>
    <n v="741"/>
    <s v="Centro-Oeste"/>
    <x v="1"/>
    <n v="800.93"/>
    <d v="2024-06-06T00:00:00"/>
  </r>
  <r>
    <n v="100127"/>
    <x v="18"/>
    <s v="Gabriela Rocha"/>
    <s v="PIX"/>
    <x v="0"/>
    <x v="2"/>
    <s v="Não Informado"/>
    <n v="466"/>
    <s v="Nordeste"/>
    <x v="0"/>
    <n v="479.24"/>
    <d v="2024-06-06T00:00:00"/>
  </r>
  <r>
    <n v="100429"/>
    <x v="212"/>
    <s v="Yasmin Araujo"/>
    <s v="PIX"/>
    <x v="6"/>
    <x v="1"/>
    <n v="0"/>
    <n v="874"/>
    <s v="Sudeste"/>
    <x v="2"/>
    <n v="187.26"/>
    <d v="2024-06-06T00:00:00"/>
  </r>
  <r>
    <n v="100157"/>
    <x v="117"/>
    <s v="Nelson Teixeira"/>
    <s v="CARTÃO DE DÉBITO"/>
    <x v="1"/>
    <x v="2"/>
    <n v="0"/>
    <n v="712"/>
    <s v="Sudeste"/>
    <x v="0"/>
    <n v="564.77"/>
    <d v="2024-06-05T00:00:00"/>
  </r>
  <r>
    <n v="100616"/>
    <x v="259"/>
    <s v="Ana Souza"/>
    <s v="BOLETO"/>
    <x v="2"/>
    <x v="3"/>
    <n v="124"/>
    <n v="369"/>
    <s v="Sudeste"/>
    <x v="1"/>
    <n v="467.5"/>
    <d v="2024-06-05T00:00:00"/>
  </r>
  <r>
    <n v="102037"/>
    <x v="232"/>
    <s v="Joao Pedro Dias"/>
    <s v="BOLETO"/>
    <x v="4"/>
    <x v="3"/>
    <n v="106"/>
    <n v="896"/>
    <s v="Centro-Oeste"/>
    <x v="0"/>
    <n v="320.33999999999997"/>
    <d v="2024-06-05T00:00:00"/>
  </r>
  <r>
    <n v="100775"/>
    <x v="105"/>
    <s v="Karina Silva"/>
    <s v="TED"/>
    <x v="5"/>
    <x v="2"/>
    <n v="0"/>
    <n v="623"/>
    <s v="Sul"/>
    <x v="1"/>
    <n v="162"/>
    <d v="2024-06-05T00:00:00"/>
  </r>
  <r>
    <n v="100717"/>
    <x v="65"/>
    <s v="Gabriela Rocha"/>
    <s v="CARTÃO DE DÉBITO"/>
    <x v="3"/>
    <x v="0"/>
    <n v="28"/>
    <n v="571"/>
    <s v="Sul"/>
    <x v="1"/>
    <n v="94.46"/>
    <d v="2024-06-05T00:00:00"/>
  </r>
  <r>
    <n v="100870"/>
    <x v="87"/>
    <s v="Karina Silva"/>
    <s v="PIX"/>
    <x v="2"/>
    <x v="2"/>
    <n v="0"/>
    <n v="672"/>
    <s v="Norte"/>
    <x v="0"/>
    <n v="329.28"/>
    <d v="2024-06-04T00:00:00"/>
  </r>
  <r>
    <n v="100063"/>
    <x v="92"/>
    <s v="Rafael Pereira"/>
    <s v="CARTÃO DE CRÉDITO"/>
    <x v="0"/>
    <x v="2"/>
    <n v="0"/>
    <n v="866"/>
    <s v="Nordeste"/>
    <x v="0"/>
    <n v="297.88"/>
    <d v="2024-06-04T00:00:00"/>
  </r>
  <r>
    <n v="100275"/>
    <x v="43"/>
    <s v="Vanessa Duarte"/>
    <s v="BOLETO"/>
    <x v="4"/>
    <x v="2"/>
    <n v="0"/>
    <n v="713"/>
    <s v="Norte"/>
    <x v="1"/>
    <n v="221.69"/>
    <d v="2024-06-04T00:00:00"/>
  </r>
  <r>
    <n v="101569"/>
    <x v="127"/>
    <s v="Otavio Ramos"/>
    <s v="TED"/>
    <x v="4"/>
    <x v="2"/>
    <n v="0"/>
    <n v="560"/>
    <s v="Centro-Oeste"/>
    <x v="1"/>
    <n v="442.45"/>
    <d v="2024-06-03T00:00:00"/>
  </r>
  <r>
    <n v="100201"/>
    <x v="111"/>
    <s v="Debora Pinto"/>
    <s v="CARTÃO DE DÉBITO"/>
    <x v="5"/>
    <x v="0"/>
    <n v="7"/>
    <n v="849"/>
    <s v="Nordeste"/>
    <x v="2"/>
    <n v="226.11"/>
    <d v="2024-06-03T00:00:00"/>
  </r>
  <r>
    <n v="100445"/>
    <x v="179"/>
    <s v="Isabela Nunes"/>
    <s v="PIX"/>
    <x v="3"/>
    <x v="3"/>
    <n v="43"/>
    <n v="309"/>
    <s v="Centro-Oeste"/>
    <x v="2"/>
    <n v="78.88"/>
    <d v="2024-06-03T00:00:00"/>
  </r>
  <r>
    <n v="101999"/>
    <x v="142"/>
    <s v="Yasmin Araujo"/>
    <s v="CARTÃO DE CRÉDITO"/>
    <x v="5"/>
    <x v="1"/>
    <n v="0"/>
    <n v="621"/>
    <s v="Centro-Oeste"/>
    <x v="1"/>
    <n v="1134.23"/>
    <d v="2024-06-02T00:00:00"/>
  </r>
  <r>
    <n v="101591"/>
    <x v="63"/>
    <s v="Heitor Barbosa"/>
    <s v="CARTÃO DE CRÉDITO"/>
    <x v="1"/>
    <x v="2"/>
    <n v="0"/>
    <n v="509"/>
    <s v="Sul"/>
    <x v="0"/>
    <n v="469.6"/>
    <d v="2024-06-02T00:00:00"/>
  </r>
  <r>
    <n v="102169"/>
    <x v="120"/>
    <s v="Vanessa Duarte"/>
    <s v="CARTÃO DE DÉBITO"/>
    <x v="1"/>
    <x v="2"/>
    <n v="0"/>
    <n v="542"/>
    <s v="Norte"/>
    <x v="3"/>
    <n v="314.95"/>
    <d v="2024-06-02T00:00:00"/>
  </r>
  <r>
    <n v="100426"/>
    <x v="87"/>
    <s v="Karina Silva"/>
    <s v="BOLETO"/>
    <x v="0"/>
    <x v="2"/>
    <n v="0"/>
    <n v="672"/>
    <s v="Nordeste"/>
    <x v="1"/>
    <n v="56.17"/>
    <d v="2024-06-02T00:00:00"/>
  </r>
  <r>
    <n v="102047"/>
    <x v="133"/>
    <s v="Nelson Teixeira"/>
    <s v="BOLETO"/>
    <x v="7"/>
    <x v="1"/>
    <n v="0"/>
    <n v="865"/>
    <s v="Nordeste"/>
    <x v="0"/>
    <n v="733.45"/>
    <d v="2024-06-01T00:00:00"/>
  </r>
  <r>
    <n v="101833"/>
    <x v="79"/>
    <s v="Yasmin Araujo"/>
    <s v="TED"/>
    <x v="6"/>
    <x v="1"/>
    <n v="0"/>
    <n v="752"/>
    <s v="Norte"/>
    <x v="2"/>
    <n v="685.94"/>
    <d v="2024-06-01T00:00:00"/>
  </r>
  <r>
    <n v="101571"/>
    <x v="114"/>
    <s v="Heitor Barbosa"/>
    <s v="PIX"/>
    <x v="4"/>
    <x v="1"/>
    <n v="0"/>
    <n v="340"/>
    <s v="Sudeste"/>
    <x v="1"/>
    <n v="589.65"/>
    <d v="2024-06-01T00:00:00"/>
  </r>
  <r>
    <n v="101453"/>
    <x v="166"/>
    <s v="Bianca Freitas"/>
    <s v="TED"/>
    <x v="1"/>
    <x v="1"/>
    <n v="0"/>
    <n v="490"/>
    <s v="Centro-Oeste"/>
    <x v="0"/>
    <n v="292.63"/>
    <d v="2024-06-01T00:00:00"/>
  </r>
  <r>
    <n v="101896"/>
    <x v="145"/>
    <s v="Ana Souza"/>
    <s v="TED"/>
    <x v="2"/>
    <x v="1"/>
    <n v="0"/>
    <n v="784"/>
    <s v="Não Informado"/>
    <x v="2"/>
    <n v="221.38"/>
    <d v="2024-06-01T00:00:00"/>
  </r>
  <r>
    <n v="102139"/>
    <x v="227"/>
    <s v="Heitor Barbosa"/>
    <s v="CARTÃO DE CRÉDITO"/>
    <x v="3"/>
    <x v="2"/>
    <n v="0"/>
    <n v="461"/>
    <s v="Norte"/>
    <x v="1"/>
    <n v="187.55"/>
    <d v="2024-06-01T00:00:00"/>
  </r>
  <r>
    <n v="100355"/>
    <x v="134"/>
    <s v="William Santos"/>
    <s v="PIX"/>
    <x v="0"/>
    <x v="1"/>
    <n v="0"/>
    <n v="858"/>
    <s v="Sudeste"/>
    <x v="1"/>
    <n v="128.26"/>
    <d v="2024-06-01T00:00:00"/>
  </r>
  <r>
    <n v="100863"/>
    <x v="251"/>
    <s v="Fabio Costa"/>
    <s v="CARTÃO DE CRÉDITO"/>
    <x v="7"/>
    <x v="1"/>
    <n v="0"/>
    <n v="817"/>
    <s v="Centro-Oeste"/>
    <x v="1"/>
    <n v="1045.23"/>
    <d v="2024-05-31T00:00:00"/>
  </r>
  <r>
    <n v="100682"/>
    <x v="42"/>
    <s v="Lucas Martins"/>
    <s v="TED"/>
    <x v="6"/>
    <x v="0"/>
    <n v="21"/>
    <n v="527"/>
    <s v="Sul"/>
    <x v="1"/>
    <n v="394.13"/>
    <d v="2024-05-31T00:00:00"/>
  </r>
  <r>
    <n v="102040"/>
    <x v="242"/>
    <s v="William Santos"/>
    <s v="PIX"/>
    <x v="4"/>
    <x v="0"/>
    <n v="5"/>
    <n v="570"/>
    <s v="Nordeste"/>
    <x v="1"/>
    <n v="315.83"/>
    <d v="2024-05-31T00:00:00"/>
  </r>
  <r>
    <n v="101904"/>
    <x v="1"/>
    <s v="Karina Silva"/>
    <s v="BOLETO"/>
    <x v="2"/>
    <x v="0"/>
    <n v="1"/>
    <n v="850"/>
    <s v="Nordeste"/>
    <x v="1"/>
    <n v="605.49"/>
    <d v="2024-05-30T00:00:00"/>
  </r>
  <r>
    <n v="101339"/>
    <x v="59"/>
    <s v="Heitor Barbosa"/>
    <s v="CARTÃO DE CRÉDITO"/>
    <x v="2"/>
    <x v="2"/>
    <n v="0"/>
    <n v="372"/>
    <s v="Nordeste"/>
    <x v="1"/>
    <n v="389.59"/>
    <d v="2024-05-30T00:00:00"/>
  </r>
  <r>
    <n v="100187"/>
    <x v="214"/>
    <s v="Lucas Martins"/>
    <s v="TED"/>
    <x v="3"/>
    <x v="1"/>
    <n v="0"/>
    <n v="494"/>
    <s v="Centro-Oeste"/>
    <x v="1"/>
    <n v="341.19"/>
    <d v="2024-05-30T00:00:00"/>
  </r>
  <r>
    <n v="101401"/>
    <x v="93"/>
    <s v="Fabio Costa"/>
    <s v="CARTÃO DE CRÉDITO"/>
    <x v="5"/>
    <x v="2"/>
    <n v="0"/>
    <n v="814"/>
    <s v="Centro-Oeste"/>
    <x v="1"/>
    <n v="306.08"/>
    <d v="2024-05-30T00:00:00"/>
  </r>
  <r>
    <n v="101219"/>
    <x v="194"/>
    <s v="Heitor Barbosa"/>
    <s v="TED"/>
    <x v="6"/>
    <x v="0"/>
    <n v="16"/>
    <n v="396"/>
    <s v="Sul"/>
    <x v="1"/>
    <n v="274.60000000000002"/>
    <d v="2024-05-30T00:00:00"/>
  </r>
  <r>
    <n v="100752"/>
    <x v="36"/>
    <s v="Não Informado"/>
    <s v="PIX"/>
    <x v="3"/>
    <x v="3"/>
    <n v="179"/>
    <n v="463"/>
    <s v="Sudeste"/>
    <x v="1"/>
    <n v="506.19"/>
    <d v="2024-05-29T00:00:00"/>
  </r>
  <r>
    <n v="100563"/>
    <x v="110"/>
    <s v="Carla Mendes"/>
    <s v="BOLETO"/>
    <x v="2"/>
    <x v="1"/>
    <n v="0"/>
    <n v="540"/>
    <s v="Sudeste"/>
    <x v="1"/>
    <n v="451.87"/>
    <d v="2024-05-29T00:00:00"/>
  </r>
  <r>
    <n v="100241"/>
    <x v="198"/>
    <s v="Gabriela Rocha"/>
    <s v="TED"/>
    <x v="0"/>
    <x v="1"/>
    <n v="0"/>
    <n v="518"/>
    <s v="Nordeste"/>
    <x v="1"/>
    <n v="366.46"/>
    <d v="2024-05-29T00:00:00"/>
  </r>
  <r>
    <n v="101543"/>
    <x v="203"/>
    <s v="Karina Silva"/>
    <s v="CARTÃO DE CRÉDITO"/>
    <x v="1"/>
    <x v="3"/>
    <n v="145"/>
    <n v="336"/>
    <s v="Sudeste"/>
    <x v="2"/>
    <n v="287.87"/>
    <d v="2024-05-29T00:00:00"/>
  </r>
  <r>
    <n v="101008"/>
    <x v="220"/>
    <s v="Vanessa Duarte"/>
    <s v="CARTÃO DE CRÉDITO"/>
    <x v="2"/>
    <x v="3"/>
    <n v="166"/>
    <n v="542"/>
    <s v="Nordeste"/>
    <x v="0"/>
    <n v="182.89"/>
    <d v="2024-05-29T00:00:00"/>
  </r>
  <r>
    <n v="101866"/>
    <x v="8"/>
    <s v="Sandra Vieira"/>
    <s v="TED"/>
    <x v="5"/>
    <x v="3"/>
    <n v="146"/>
    <n v="339"/>
    <s v="Nordeste"/>
    <x v="1"/>
    <n v="100.74"/>
    <d v="2024-05-29T00:00:00"/>
  </r>
  <r>
    <n v="101185"/>
    <x v="69"/>
    <s v="Ana Souza"/>
    <s v="CARTÃO DE DÉBITO"/>
    <x v="5"/>
    <x v="0"/>
    <n v="7"/>
    <n v="741"/>
    <s v="Sul"/>
    <x v="1"/>
    <n v="544.41999999999996"/>
    <d v="2024-05-28T00:00:00"/>
  </r>
  <r>
    <n v="101349"/>
    <x v="189"/>
    <s v="Sandra Vieira"/>
    <s v="CARTÃO DE CRÉDITO"/>
    <x v="0"/>
    <x v="1"/>
    <n v="0"/>
    <n v="362"/>
    <s v="Sul"/>
    <x v="2"/>
    <n v="490.69"/>
    <d v="2024-05-28T00:00:00"/>
  </r>
  <r>
    <n v="101638"/>
    <x v="191"/>
    <s v="Diego Alves"/>
    <s v="CARTÃO DE CRÉDITO"/>
    <x v="4"/>
    <x v="1"/>
    <n v="0"/>
    <n v="863"/>
    <s v="Sul"/>
    <x v="1"/>
    <n v="422.16"/>
    <d v="2024-05-28T00:00:00"/>
  </r>
  <r>
    <n v="102114"/>
    <x v="227"/>
    <s v="Não Informado"/>
    <s v="CARTÃO DE DÉBITO"/>
    <x v="7"/>
    <x v="1"/>
    <n v="0"/>
    <n v="461"/>
    <s v="Norte"/>
    <x v="0"/>
    <n v="577.44000000000005"/>
    <d v="2024-05-27T00:00:00"/>
  </r>
  <r>
    <n v="101559"/>
    <x v="220"/>
    <s v="Vanessa Duarte"/>
    <s v="PIX"/>
    <x v="1"/>
    <x v="1"/>
    <n v="0"/>
    <n v="542"/>
    <s v="Norte"/>
    <x v="0"/>
    <n v="255.09"/>
    <d v="2024-05-27T00:00:00"/>
  </r>
  <r>
    <n v="101513"/>
    <x v="124"/>
    <s v="Sandra Vieira"/>
    <s v="CARTÃO DE DÉBITO"/>
    <x v="7"/>
    <x v="0"/>
    <n v="27"/>
    <n v="568"/>
    <s v="Norte"/>
    <x v="1"/>
    <n v="514.5"/>
    <d v="2024-05-26T00:00:00"/>
  </r>
  <r>
    <n v="100500"/>
    <x v="214"/>
    <s v="Lucas Martins"/>
    <s v="BOLETO"/>
    <x v="5"/>
    <x v="2"/>
    <n v="0"/>
    <n v="494"/>
    <s v="Sudeste"/>
    <x v="2"/>
    <n v="175.43"/>
    <d v="2024-05-26T00:00:00"/>
  </r>
  <r>
    <n v="101909"/>
    <x v="181"/>
    <s v="Diego Alves"/>
    <s v="TED"/>
    <x v="3"/>
    <x v="1"/>
    <n v="0"/>
    <n v="534"/>
    <s v="Sul"/>
    <x v="0"/>
    <n v="309.32"/>
    <d v="2024-05-25T00:00:00"/>
  </r>
  <r>
    <n v="101873"/>
    <x v="72"/>
    <s v="Nelson Teixeira"/>
    <s v="BOLETO"/>
    <x v="7"/>
    <x v="1"/>
    <n v="0"/>
    <n v="894"/>
    <s v="Sul"/>
    <x v="2"/>
    <n v="271.77999999999997"/>
    <d v="2024-05-25T00:00:00"/>
  </r>
  <r>
    <n v="100962"/>
    <x v="34"/>
    <s v="Debora Pinto"/>
    <s v="CARTÃO DE DÉBITO"/>
    <x v="4"/>
    <x v="2"/>
    <s v="Não Informado"/>
    <n v="585"/>
    <s v="Nordeste"/>
    <x v="1"/>
    <n v="688.42"/>
    <d v="2024-05-24T00:00:00"/>
  </r>
  <r>
    <n v="102078"/>
    <x v="84"/>
    <s v="Mariana Cardoso"/>
    <s v="PIX"/>
    <x v="4"/>
    <x v="1"/>
    <n v="0"/>
    <n v="437"/>
    <s v="Nordeste"/>
    <x v="1"/>
    <n v="423.61"/>
    <d v="2024-05-24T00:00:00"/>
  </r>
  <r>
    <n v="101121"/>
    <x v="125"/>
    <s v="Thiago Correia"/>
    <s v="TED"/>
    <x v="4"/>
    <x v="1"/>
    <n v="0"/>
    <n v="867"/>
    <s v="Norte"/>
    <x v="2"/>
    <n v="391.23"/>
    <d v="2024-05-24T00:00:00"/>
  </r>
  <r>
    <n v="101132"/>
    <x v="259"/>
    <s v="Ana Souza"/>
    <s v="CARTÃO DE DÉBITO"/>
    <x v="2"/>
    <x v="1"/>
    <n v="0"/>
    <n v="369"/>
    <s v="Centro-Oeste"/>
    <x v="1"/>
    <n v="383.27"/>
    <d v="2024-05-24T00:00:00"/>
  </r>
  <r>
    <n v="101741"/>
    <x v="29"/>
    <s v="Carla Mendes"/>
    <s v="BOLETO"/>
    <x v="5"/>
    <x v="2"/>
    <n v="0"/>
    <n v="394"/>
    <s v="Norte"/>
    <x v="0"/>
    <n v="274.38"/>
    <d v="2024-05-24T00:00:00"/>
  </r>
  <r>
    <n v="101343"/>
    <x v="196"/>
    <s v="Lucas Martins"/>
    <s v="PIX"/>
    <x v="1"/>
    <x v="1"/>
    <s v="Não Informado"/>
    <n v="722"/>
    <s v="Nordeste"/>
    <x v="1"/>
    <n v="107.02"/>
    <d v="2024-05-24T00:00:00"/>
  </r>
  <r>
    <n v="100179"/>
    <x v="174"/>
    <s v="Debora Pinto"/>
    <s v="TED"/>
    <x v="7"/>
    <x v="3"/>
    <n v="50"/>
    <n v="721"/>
    <s v="Sul"/>
    <x v="0"/>
    <m/>
    <d v="2024-05-24T00:00:00"/>
  </r>
  <r>
    <n v="100125"/>
    <x v="36"/>
    <s v="Vanessa Duarte"/>
    <s v="PIX"/>
    <x v="7"/>
    <x v="2"/>
    <n v="0"/>
    <n v="463"/>
    <s v="Norte"/>
    <x v="0"/>
    <n v="678.93"/>
    <d v="2024-05-23T00:00:00"/>
  </r>
  <r>
    <n v="101653"/>
    <x v="195"/>
    <s v="Joao Pedro Dias"/>
    <s v="CARTÃO DE CRÉDITO"/>
    <x v="7"/>
    <x v="1"/>
    <n v="0"/>
    <n v="873"/>
    <s v="Nordeste"/>
    <x v="2"/>
    <n v="613.66"/>
    <d v="2024-05-23T00:00:00"/>
  </r>
  <r>
    <n v="100112"/>
    <x v="74"/>
    <s v="Não Informado"/>
    <s v="TED"/>
    <x v="7"/>
    <x v="1"/>
    <n v="0"/>
    <n v="418"/>
    <s v="Sul"/>
    <x v="0"/>
    <n v="469.17"/>
    <d v="2024-05-23T00:00:00"/>
  </r>
  <r>
    <n v="100770"/>
    <x v="178"/>
    <s v="Isabela Nunes"/>
    <s v="TED"/>
    <x v="3"/>
    <x v="1"/>
    <n v="0"/>
    <n v="878"/>
    <s v="Nordeste"/>
    <x v="0"/>
    <n v="332.25"/>
    <d v="2024-05-23T00:00:00"/>
  </r>
  <r>
    <n v="101476"/>
    <x v="39"/>
    <s v="Nelson Teixeira"/>
    <s v="BOLETO"/>
    <x v="0"/>
    <x v="0"/>
    <n v="17"/>
    <n v="606"/>
    <s v="Nordeste"/>
    <x v="3"/>
    <n v="158.55000000000001"/>
    <d v="2024-05-23T00:00:00"/>
  </r>
  <r>
    <n v="102126"/>
    <x v="187"/>
    <s v="Diego Alves"/>
    <s v="CARTÃO DE DÉBITO"/>
    <x v="4"/>
    <x v="1"/>
    <n v="0"/>
    <n v="301"/>
    <s v="Centro-Oeste"/>
    <x v="2"/>
    <n v="93.48"/>
    <d v="2024-05-23T00:00:00"/>
  </r>
  <r>
    <n v="100584"/>
    <x v="15"/>
    <s v="Caio Monteiro"/>
    <s v="CARTÃO DE CRÉDITO"/>
    <x v="3"/>
    <x v="3"/>
    <n v="148"/>
    <n v="585"/>
    <s v="Sul"/>
    <x v="2"/>
    <n v="969.26"/>
    <d v="2024-05-22T00:00:00"/>
  </r>
  <r>
    <n v="100847"/>
    <x v="203"/>
    <s v="Karina Silva"/>
    <s v="TED"/>
    <x v="7"/>
    <x v="2"/>
    <n v="0"/>
    <n v="336"/>
    <s v="Sudeste"/>
    <x v="1"/>
    <n v="875.83"/>
    <d v="2024-05-22T00:00:00"/>
  </r>
  <r>
    <n v="100644"/>
    <x v="31"/>
    <s v="Caio Monteiro"/>
    <s v="CARTÃO DE DÉBITO"/>
    <x v="1"/>
    <x v="2"/>
    <n v="0"/>
    <n v="497"/>
    <s v="Não Informado"/>
    <x v="1"/>
    <n v="720.63"/>
    <d v="2024-05-22T00:00:00"/>
  </r>
  <r>
    <n v="101370"/>
    <x v="2"/>
    <s v="Lucas Martins"/>
    <s v="PIX"/>
    <x v="1"/>
    <x v="1"/>
    <n v="0"/>
    <n v="461"/>
    <s v="Norte"/>
    <x v="1"/>
    <n v="398.38"/>
    <d v="2024-05-22T00:00:00"/>
  </r>
  <r>
    <n v="100145"/>
    <x v="165"/>
    <s v="Debora Pinto"/>
    <s v="CARTÃO DE DÉBITO"/>
    <x v="0"/>
    <x v="1"/>
    <n v="0"/>
    <n v="377"/>
    <s v="Sul"/>
    <x v="1"/>
    <n v="308.57"/>
    <d v="2024-05-22T00:00:00"/>
  </r>
  <r>
    <n v="100496"/>
    <x v="134"/>
    <s v="William Santos"/>
    <s v="BOLETO"/>
    <x v="3"/>
    <x v="0"/>
    <n v="11"/>
    <n v="858"/>
    <s v="Norte"/>
    <x v="2"/>
    <n v="249.39"/>
    <d v="2024-05-22T00:00:00"/>
  </r>
  <r>
    <n v="100728"/>
    <x v="49"/>
    <s v="Patricia Gomes"/>
    <s v="TED"/>
    <x v="7"/>
    <x v="3"/>
    <n v="116"/>
    <n v="691"/>
    <s v="Sudeste"/>
    <x v="1"/>
    <n v="103.43"/>
    <d v="2024-05-22T00:00:00"/>
  </r>
  <r>
    <n v="101124"/>
    <x v="41"/>
    <s v="Fabio Costa"/>
    <s v="CARTÃO DE DÉBITO"/>
    <x v="1"/>
    <x v="2"/>
    <n v="0"/>
    <n v="883"/>
    <s v="Centro-Oeste"/>
    <x v="0"/>
    <n v="75.44"/>
    <d v="2024-05-22T00:00:00"/>
  </r>
  <r>
    <n v="100645"/>
    <x v="29"/>
    <s v="Carla Mendes"/>
    <s v="PIX"/>
    <x v="5"/>
    <x v="1"/>
    <n v="0"/>
    <n v="394"/>
    <s v="Nordeste"/>
    <x v="0"/>
    <n v="919.06"/>
    <d v="2024-05-21T00:00:00"/>
  </r>
  <r>
    <n v="101156"/>
    <x v="249"/>
    <s v="Isabela Nunes"/>
    <s v="TED"/>
    <x v="7"/>
    <x v="1"/>
    <n v="0"/>
    <n v="358"/>
    <s v="Não Informado"/>
    <x v="1"/>
    <n v="740.9"/>
    <d v="2024-05-21T00:00:00"/>
  </r>
  <r>
    <n v="100252"/>
    <x v="254"/>
    <s v="William Santos"/>
    <s v="CARTÃO DE CRÉDITO"/>
    <x v="5"/>
    <x v="1"/>
    <n v="0"/>
    <n v="369"/>
    <s v="Sul"/>
    <x v="2"/>
    <n v="62.52"/>
    <d v="2024-05-21T00:00:00"/>
  </r>
  <r>
    <n v="100070"/>
    <x v="159"/>
    <s v="Bianca Freitas"/>
    <s v="CARTÃO DE DÉBITO"/>
    <x v="1"/>
    <x v="1"/>
    <n v="0"/>
    <n v="375"/>
    <s v="Nordeste"/>
    <x v="2"/>
    <n v="1378.76"/>
    <d v="2024-05-20T00:00:00"/>
  </r>
  <r>
    <n v="100952"/>
    <x v="163"/>
    <s v="Bruno Lima"/>
    <s v="CARTÃO DE CRÉDITO"/>
    <x v="1"/>
    <x v="0"/>
    <n v="27"/>
    <n v="548"/>
    <s v="Centro-Oeste"/>
    <x v="1"/>
    <n v="599.04999999999995"/>
    <d v="2024-05-20T00:00:00"/>
  </r>
  <r>
    <n v="100383"/>
    <x v="193"/>
    <s v="Isabela Nunes"/>
    <s v="PIX"/>
    <x v="4"/>
    <x v="1"/>
    <n v="0"/>
    <n v="377"/>
    <s v="Sul"/>
    <x v="2"/>
    <n v="219.29"/>
    <d v="2024-05-20T00:00:00"/>
  </r>
  <r>
    <n v="101435"/>
    <x v="208"/>
    <s v="Heitor Barbosa"/>
    <s v="CARTÃO DE CRÉDITO"/>
    <x v="2"/>
    <x v="3"/>
    <n v="51"/>
    <n v="418"/>
    <s v="Centro-Oeste"/>
    <x v="1"/>
    <n v="130.02000000000001"/>
    <d v="2024-05-20T00:00:00"/>
  </r>
  <r>
    <n v="101338"/>
    <x v="218"/>
    <s v="Caio Monteiro"/>
    <s v="BOLETO"/>
    <x v="0"/>
    <x v="2"/>
    <n v="0"/>
    <n v="748"/>
    <s v="Não Informado"/>
    <x v="0"/>
    <n v="90.72"/>
    <d v="2024-05-20T00:00:00"/>
  </r>
  <r>
    <n v="100131"/>
    <x v="137"/>
    <s v="Caio Monteiro"/>
    <s v="CARTÃO DE DÉBITO"/>
    <x v="0"/>
    <x v="1"/>
    <n v="0"/>
    <n v="332"/>
    <s v="Nordeste"/>
    <x v="1"/>
    <n v="523"/>
    <d v="2024-05-19T00:00:00"/>
  </r>
  <r>
    <n v="101929"/>
    <x v="208"/>
    <s v="Heitor Barbosa"/>
    <s v="CARTÃO DE CRÉDITO"/>
    <x v="1"/>
    <x v="0"/>
    <n v="14"/>
    <n v="418"/>
    <s v="Sudeste"/>
    <x v="0"/>
    <n v="127.375"/>
    <d v="2024-05-19T00:00:00"/>
  </r>
  <r>
    <n v="101150"/>
    <x v="81"/>
    <s v="Bruno Lima"/>
    <s v="TED"/>
    <x v="7"/>
    <x v="1"/>
    <n v="0"/>
    <n v="658"/>
    <s v="Não Informado"/>
    <x v="0"/>
    <m/>
    <d v="2024-05-19T00:00:00"/>
  </r>
  <r>
    <n v="101516"/>
    <x v="14"/>
    <s v="Não Informado"/>
    <s v="PIX"/>
    <x v="0"/>
    <x v="1"/>
    <n v="0"/>
    <n v="603"/>
    <s v="Nordeste"/>
    <x v="3"/>
    <n v="226.34"/>
    <d v="2024-05-18T00:00:00"/>
  </r>
  <r>
    <n v="100081"/>
    <x v="206"/>
    <s v="Carla Mendes"/>
    <s v="CARTÃO DE CRÉDITO"/>
    <x v="2"/>
    <x v="1"/>
    <n v="0"/>
    <n v="468"/>
    <s v="Centro-Oeste"/>
    <x v="1"/>
    <n v="156.82"/>
    <d v="2024-05-18T00:00:00"/>
  </r>
  <r>
    <n v="100513"/>
    <x v="24"/>
    <s v="Rafael Pereira"/>
    <s v="BOLETO"/>
    <x v="4"/>
    <x v="3"/>
    <n v="112"/>
    <n v="458"/>
    <s v="Sudeste"/>
    <x v="2"/>
    <n v="803.42"/>
    <d v="2024-05-17T00:00:00"/>
  </r>
  <r>
    <n v="101674"/>
    <x v="215"/>
    <s v="Patricia Gomes"/>
    <s v="PIX"/>
    <x v="3"/>
    <x v="1"/>
    <n v="0"/>
    <n v="459"/>
    <s v="Nordeste"/>
    <x v="1"/>
    <n v="778.88"/>
    <d v="2024-05-17T00:00:00"/>
  </r>
  <r>
    <n v="101925"/>
    <x v="225"/>
    <s v="Isabela Nunes"/>
    <s v="PIX"/>
    <x v="7"/>
    <x v="1"/>
    <n v="0"/>
    <n v="638"/>
    <s v="Nordeste"/>
    <x v="0"/>
    <n v="638.4"/>
    <d v="2024-05-17T00:00:00"/>
  </r>
  <r>
    <n v="101300"/>
    <x v="138"/>
    <s v="Thiago Correia"/>
    <s v="CARTÃO DE CRÉDITO"/>
    <x v="4"/>
    <x v="2"/>
    <n v="0"/>
    <n v="592"/>
    <s v="Nordeste"/>
    <x v="0"/>
    <n v="528.75"/>
    <d v="2024-05-17T00:00:00"/>
  </r>
  <r>
    <n v="102172"/>
    <x v="9"/>
    <s v="Isabela Nunes"/>
    <s v="BOLETO"/>
    <x v="5"/>
    <x v="1"/>
    <n v="0"/>
    <n v="678"/>
    <s v="Norte"/>
    <x v="2"/>
    <n v="394.22"/>
    <d v="2024-05-17T00:00:00"/>
  </r>
  <r>
    <n v="101061"/>
    <x v="35"/>
    <s v="Caio Monteiro"/>
    <s v="TED"/>
    <x v="2"/>
    <x v="1"/>
    <s v="Não Informado"/>
    <n v="852"/>
    <s v="Norte"/>
    <x v="0"/>
    <n v="314.73"/>
    <d v="2024-05-17T00:00:00"/>
  </r>
  <r>
    <n v="102173"/>
    <x v="123"/>
    <s v="Carla Mendes"/>
    <s v="CARTÃO DE CRÉDITO"/>
    <x v="1"/>
    <x v="3"/>
    <n v="41"/>
    <n v="636"/>
    <s v="Centro-Oeste"/>
    <x v="0"/>
    <n v="275.45999999999998"/>
    <d v="2024-05-17T00:00:00"/>
  </r>
  <r>
    <n v="100398"/>
    <x v="226"/>
    <s v="Diego Alves"/>
    <s v="CARTÃO DE DÉBITO"/>
    <x v="1"/>
    <x v="0"/>
    <n v="4"/>
    <n v="781"/>
    <s v="Sudeste"/>
    <x v="1"/>
    <n v="254.82"/>
    <d v="2024-05-17T00:00:00"/>
  </r>
  <r>
    <n v="100490"/>
    <x v="159"/>
    <s v="Bianca Freitas"/>
    <s v="CARTÃO DE DÉBITO"/>
    <x v="1"/>
    <x v="0"/>
    <n v="10"/>
    <n v="375"/>
    <s v="Centro-Oeste"/>
    <x v="0"/>
    <n v="214.28"/>
    <d v="2024-05-17T00:00:00"/>
  </r>
  <r>
    <n v="101044"/>
    <x v="2"/>
    <s v="Lucas Martins"/>
    <s v="CARTÃO DE CRÉDITO"/>
    <x v="7"/>
    <x v="1"/>
    <n v="0"/>
    <n v="461"/>
    <s v="Sudeste"/>
    <x v="1"/>
    <n v="304.04000000000002"/>
    <d v="2024-05-16T00:00:00"/>
  </r>
  <r>
    <n v="101912"/>
    <x v="104"/>
    <s v="Diego Alves"/>
    <s v="PIX"/>
    <x v="3"/>
    <x v="1"/>
    <n v="0"/>
    <n v="405"/>
    <s v="Sul"/>
    <x v="0"/>
    <n v="112.2"/>
    <d v="2024-05-16T00:00:00"/>
  </r>
  <r>
    <n v="101216"/>
    <x v="47"/>
    <s v="Gabriela Rocha"/>
    <s v="PIX"/>
    <x v="5"/>
    <x v="1"/>
    <n v="0"/>
    <n v="733"/>
    <s v="Sudeste"/>
    <x v="0"/>
    <n v="32.78"/>
    <d v="2024-05-15T00:00:00"/>
  </r>
  <r>
    <n v="101786"/>
    <x v="98"/>
    <s v="Bianca Freitas"/>
    <s v="CARTÃO DE DÉBITO"/>
    <x v="4"/>
    <x v="2"/>
    <n v="0"/>
    <n v="443"/>
    <s v="Norte"/>
    <x v="2"/>
    <n v="410.72"/>
    <d v="2024-05-14T00:00:00"/>
  </r>
  <r>
    <n v="101420"/>
    <x v="120"/>
    <s v="Vanessa Duarte"/>
    <s v="TED"/>
    <x v="5"/>
    <x v="1"/>
    <n v="0"/>
    <n v="542"/>
    <s v="Sudeste"/>
    <x v="2"/>
    <n v="215.37"/>
    <d v="2024-05-14T00:00:00"/>
  </r>
  <r>
    <n v="102146"/>
    <x v="71"/>
    <s v="Caio Monteiro"/>
    <s v="PIX"/>
    <x v="3"/>
    <x v="1"/>
    <n v="0"/>
    <n v="615"/>
    <s v="Centro-Oeste"/>
    <x v="2"/>
    <n v="376.31"/>
    <d v="2024-05-13T00:00:00"/>
  </r>
  <r>
    <n v="101099"/>
    <x v="55"/>
    <s v="Carla Mendes"/>
    <s v="TED"/>
    <x v="3"/>
    <x v="1"/>
    <n v="0"/>
    <n v="616"/>
    <s v="Centro-Oeste"/>
    <x v="0"/>
    <n v="289.77"/>
    <d v="2024-05-13T00:00:00"/>
  </r>
  <r>
    <n v="102187"/>
    <x v="153"/>
    <s v="Diego Alves"/>
    <s v="BOLETO"/>
    <x v="3"/>
    <x v="1"/>
    <n v="0"/>
    <n v="797"/>
    <s v="Norte"/>
    <x v="1"/>
    <n v="479.32"/>
    <d v="2024-05-12T00:00:00"/>
  </r>
  <r>
    <n v="100064"/>
    <x v="151"/>
    <s v="Heitor Barbosa"/>
    <s v="CARTÃO DE CRÉDITO"/>
    <x v="5"/>
    <x v="1"/>
    <n v="0"/>
    <n v="855"/>
    <s v="Nordeste"/>
    <x v="2"/>
    <n v="445.48"/>
    <d v="2024-05-12T00:00:00"/>
  </r>
  <r>
    <n v="101686"/>
    <x v="75"/>
    <s v="Carla Mendes"/>
    <s v="CARTÃO DE CRÉDITO"/>
    <x v="0"/>
    <x v="1"/>
    <n v="0"/>
    <n v="798"/>
    <s v="Sudeste"/>
    <x v="0"/>
    <n v="350.72"/>
    <d v="2024-05-12T00:00:00"/>
  </r>
  <r>
    <n v="100238"/>
    <x v="182"/>
    <s v="Gabriela Rocha"/>
    <s v="PIX"/>
    <x v="7"/>
    <x v="2"/>
    <n v="0"/>
    <n v="358"/>
    <s v="Centro-Oeste"/>
    <x v="2"/>
    <n v="347.69"/>
    <d v="2024-05-12T00:00:00"/>
  </r>
  <r>
    <n v="101029"/>
    <x v="41"/>
    <s v="Fabio Costa"/>
    <s v="BOLETO"/>
    <x v="4"/>
    <x v="0"/>
    <n v="19"/>
    <n v="883"/>
    <s v="Sudeste"/>
    <x v="1"/>
    <n v="340.66"/>
    <d v="2024-05-12T00:00:00"/>
  </r>
  <r>
    <n v="101412"/>
    <x v="23"/>
    <s v="Gabriela Rocha"/>
    <s v="CARTÃO DE CRÉDITO"/>
    <x v="0"/>
    <x v="2"/>
    <n v="0"/>
    <n v="494"/>
    <s v="Norte"/>
    <x v="3"/>
    <n v="268.52999999999997"/>
    <d v="2024-05-12T00:00:00"/>
  </r>
  <r>
    <n v="100430"/>
    <x v="65"/>
    <s v="Gabriela Rocha"/>
    <s v="CARTÃO DE CRÉDITO"/>
    <x v="2"/>
    <x v="1"/>
    <n v="0"/>
    <n v="571"/>
    <s v="Sudeste"/>
    <x v="0"/>
    <n v="206.93"/>
    <d v="2024-05-12T00:00:00"/>
  </r>
  <r>
    <n v="100340"/>
    <x v="135"/>
    <s v="Vanessa Duarte"/>
    <s v="TED"/>
    <x v="1"/>
    <x v="0"/>
    <n v="12"/>
    <n v="345"/>
    <s v="Nordeste"/>
    <x v="0"/>
    <m/>
    <d v="2024-05-12T00:00:00"/>
  </r>
  <r>
    <n v="101413"/>
    <x v="166"/>
    <s v="Bianca Freitas"/>
    <s v="BOLETO"/>
    <x v="4"/>
    <x v="1"/>
    <n v="0"/>
    <n v="490"/>
    <s v="Centro-Oeste"/>
    <x v="2"/>
    <n v="637.65"/>
    <d v="2024-05-11T00:00:00"/>
  </r>
  <r>
    <n v="101703"/>
    <x v="10"/>
    <s v="Patricia Gomes"/>
    <s v="BOLETO"/>
    <x v="5"/>
    <x v="1"/>
    <n v="0"/>
    <n v="571"/>
    <s v="Sul"/>
    <x v="0"/>
    <n v="421.46"/>
    <d v="2024-05-11T00:00:00"/>
  </r>
  <r>
    <n v="101658"/>
    <x v="105"/>
    <s v="Karina Silva"/>
    <s v="CARTÃO DE CRÉDITO"/>
    <x v="4"/>
    <x v="1"/>
    <n v="0"/>
    <n v="623"/>
    <s v="Nordeste"/>
    <x v="2"/>
    <n v="412.12"/>
    <d v="2024-05-11T00:00:00"/>
  </r>
  <r>
    <n v="101852"/>
    <x v="169"/>
    <s v="Joao Pedro Dias"/>
    <s v="CARTÃO DE DÉBITO"/>
    <x v="1"/>
    <x v="1"/>
    <n v="0"/>
    <n v="302"/>
    <s v="Sul"/>
    <x v="2"/>
    <n v="279.77999999999997"/>
    <d v="2024-05-11T00:00:00"/>
  </r>
  <r>
    <n v="100084"/>
    <x v="158"/>
    <s v="Heitor Barbosa"/>
    <s v="CARTÃO DE DÉBITO"/>
    <x v="4"/>
    <x v="3"/>
    <n v="64"/>
    <n v="771"/>
    <s v="Centro-Oeste"/>
    <x v="1"/>
    <n v="262.86"/>
    <d v="2024-05-11T00:00:00"/>
  </r>
  <r>
    <n v="100495"/>
    <x v="52"/>
    <s v="Otavio Ramos"/>
    <s v="BOLETO"/>
    <x v="0"/>
    <x v="1"/>
    <n v="0"/>
    <n v="303"/>
    <s v="Não Informado"/>
    <x v="2"/>
    <n v="206.71"/>
    <d v="2024-05-11T00:00:00"/>
  </r>
  <r>
    <n v="101551"/>
    <x v="245"/>
    <s v="Vanessa Duarte"/>
    <s v="TED"/>
    <x v="2"/>
    <x v="1"/>
    <n v="0"/>
    <n v="571"/>
    <s v="Sul"/>
    <x v="1"/>
    <n v="118.46"/>
    <d v="2024-05-11T00:00:00"/>
  </r>
  <r>
    <n v="101988"/>
    <x v="243"/>
    <s v="Elaine Ferreira"/>
    <s v="PIX"/>
    <x v="5"/>
    <x v="1"/>
    <n v="0"/>
    <n v="481"/>
    <s v="Sul"/>
    <x v="0"/>
    <n v="107.72"/>
    <d v="2024-05-11T00:00:00"/>
  </r>
  <r>
    <n v="100087"/>
    <x v="248"/>
    <s v="Isabela Nunes"/>
    <s v="BOLETO"/>
    <x v="3"/>
    <x v="2"/>
    <n v="0"/>
    <n v="841"/>
    <s v="Sul"/>
    <x v="2"/>
    <n v="75.45"/>
    <d v="2024-05-11T00:00:00"/>
  </r>
  <r>
    <n v="102191"/>
    <x v="89"/>
    <s v="Debora Pinto"/>
    <s v="CARTÃO DE DÉBITO"/>
    <x v="1"/>
    <x v="1"/>
    <n v="0"/>
    <n v="414"/>
    <s v="Norte"/>
    <x v="0"/>
    <n v="692.3"/>
    <d v="2024-05-10T00:00:00"/>
  </r>
  <r>
    <n v="100516"/>
    <x v="28"/>
    <s v="Lucas Martins"/>
    <s v="BOLETO"/>
    <x v="3"/>
    <x v="2"/>
    <n v="0"/>
    <n v="843"/>
    <s v="Sudeste"/>
    <x v="0"/>
    <n v="373.39"/>
    <d v="2024-05-10T00:00:00"/>
  </r>
  <r>
    <n v="102084"/>
    <x v="97"/>
    <s v="Sandra Vieira"/>
    <s v="BOLETO"/>
    <x v="7"/>
    <x v="0"/>
    <n v="16"/>
    <n v="688"/>
    <s v="Centro-Oeste"/>
    <x v="0"/>
    <n v="330.55"/>
    <d v="2024-05-10T00:00:00"/>
  </r>
  <r>
    <n v="100271"/>
    <x v="245"/>
    <s v="Vanessa Duarte"/>
    <s v="BOLETO"/>
    <x v="0"/>
    <x v="1"/>
    <n v="0"/>
    <n v="571"/>
    <s v="Sul"/>
    <x v="1"/>
    <n v="191.62"/>
    <d v="2024-05-10T00:00:00"/>
  </r>
  <r>
    <n v="100961"/>
    <x v="84"/>
    <s v="Mariana Cardoso"/>
    <s v="CARTÃO DE DÉBITO"/>
    <x v="0"/>
    <x v="1"/>
    <n v="0"/>
    <n v="437"/>
    <s v="Centro-Oeste"/>
    <x v="0"/>
    <n v="1053.27"/>
    <d v="2024-05-09T00:00:00"/>
  </r>
  <r>
    <n v="101158"/>
    <x v="47"/>
    <s v="Gabriela Rocha"/>
    <s v="TED"/>
    <x v="4"/>
    <x v="3"/>
    <n v="63"/>
    <n v="733"/>
    <s v="Sudeste"/>
    <x v="1"/>
    <n v="386.9"/>
    <d v="2024-05-09T00:00:00"/>
  </r>
  <r>
    <n v="101024"/>
    <x v="36"/>
    <s v="Vanessa Duarte"/>
    <s v="CARTÃO DE DÉBITO"/>
    <x v="4"/>
    <x v="1"/>
    <n v="0"/>
    <n v="463"/>
    <s v="Nordeste"/>
    <x v="1"/>
    <m/>
    <d v="2024-05-09T00:00:00"/>
  </r>
  <r>
    <n v="102058"/>
    <x v="180"/>
    <s v="Não Informado"/>
    <s v="CARTÃO DE DÉBITO"/>
    <x v="6"/>
    <x v="1"/>
    <n v="0"/>
    <n v="482"/>
    <s v="Norte"/>
    <x v="1"/>
    <n v="1931.06"/>
    <d v="2024-05-08T00:00:00"/>
  </r>
  <r>
    <n v="100785"/>
    <x v="79"/>
    <s v="Yasmin Araujo"/>
    <s v="TED"/>
    <x v="6"/>
    <x v="2"/>
    <n v="0"/>
    <n v="752"/>
    <s v="Norte"/>
    <x v="1"/>
    <n v="884.9"/>
    <d v="2024-05-08T00:00:00"/>
  </r>
  <r>
    <n v="100044"/>
    <x v="169"/>
    <s v="Joao Pedro Dias"/>
    <s v="CARTÃO DE DÉBITO"/>
    <x v="6"/>
    <x v="2"/>
    <n v="0"/>
    <n v="302"/>
    <s v="Sudeste"/>
    <x v="1"/>
    <n v="201.01"/>
    <d v="2024-05-08T00:00:00"/>
  </r>
  <r>
    <n v="101742"/>
    <x v="131"/>
    <s v="William Santos"/>
    <s v="CARTÃO DE CRÉDITO"/>
    <x v="2"/>
    <x v="1"/>
    <n v="0"/>
    <n v="355"/>
    <s v="Sudeste"/>
    <x v="1"/>
    <n v="312.20999999999998"/>
    <d v="2024-05-07T00:00:00"/>
  </r>
  <r>
    <n v="101611"/>
    <x v="34"/>
    <s v="Debora Pinto"/>
    <s v="CARTÃO DE DÉBITO"/>
    <x v="5"/>
    <x v="2"/>
    <n v="0"/>
    <n v="585"/>
    <s v="Sul"/>
    <x v="3"/>
    <n v="242.09"/>
    <d v="2024-05-07T00:00:00"/>
  </r>
  <r>
    <n v="101282"/>
    <x v="37"/>
    <s v="Bianca Freitas"/>
    <s v="CARTÃO DE CRÉDITO"/>
    <x v="1"/>
    <x v="0"/>
    <n v="7"/>
    <n v="653"/>
    <s v="Norte"/>
    <x v="1"/>
    <n v="173.85"/>
    <d v="2024-05-07T00:00:00"/>
  </r>
  <r>
    <n v="102168"/>
    <x v="136"/>
    <s v="Heitor Barbosa"/>
    <s v="TED"/>
    <x v="3"/>
    <x v="2"/>
    <n v="0"/>
    <n v="607"/>
    <s v="Centro-Oeste"/>
    <x v="2"/>
    <n v="168.1"/>
    <d v="2024-05-07T00:00:00"/>
  </r>
  <r>
    <n v="100833"/>
    <x v="224"/>
    <s v="Fabio Costa"/>
    <s v="CARTÃO DE DÉBITO"/>
    <x v="2"/>
    <x v="2"/>
    <n v="0"/>
    <n v="483"/>
    <s v="Norte"/>
    <x v="0"/>
    <n v="724.56"/>
    <d v="2024-05-06T00:00:00"/>
  </r>
  <r>
    <n v="100960"/>
    <x v="181"/>
    <s v="Diego Alves"/>
    <s v="BOLETO"/>
    <x v="4"/>
    <x v="1"/>
    <n v="0"/>
    <n v="534"/>
    <s v="Nordeste"/>
    <x v="2"/>
    <n v="530.03"/>
    <d v="2024-05-06T00:00:00"/>
  </r>
  <r>
    <n v="102103"/>
    <x v="91"/>
    <s v="Nelson Teixeira"/>
    <s v="BOLETO"/>
    <x v="3"/>
    <x v="1"/>
    <n v="0"/>
    <n v="784"/>
    <s v="Sul"/>
    <x v="2"/>
    <n v="501.75"/>
    <d v="2024-05-06T00:00:00"/>
  </r>
  <r>
    <n v="101839"/>
    <x v="197"/>
    <s v="Mariana Cardoso"/>
    <s v="PIX"/>
    <x v="0"/>
    <x v="0"/>
    <n v="11"/>
    <n v="897"/>
    <s v="Centro-Oeste"/>
    <x v="0"/>
    <n v="322.92"/>
    <d v="2024-05-06T00:00:00"/>
  </r>
  <r>
    <n v="101765"/>
    <x v="209"/>
    <s v="Heitor Barbosa"/>
    <s v="PIX"/>
    <x v="1"/>
    <x v="1"/>
    <n v="0"/>
    <n v="851"/>
    <s v="Nordeste"/>
    <x v="1"/>
    <n v="261.04000000000002"/>
    <d v="2024-05-06T00:00:00"/>
  </r>
  <r>
    <n v="100427"/>
    <x v="210"/>
    <s v="Thiago Correia"/>
    <s v="PIX"/>
    <x v="6"/>
    <x v="2"/>
    <n v="0"/>
    <n v="371"/>
    <s v="Sudeste"/>
    <x v="1"/>
    <n v="109.33"/>
    <d v="2024-05-06T00:00:00"/>
  </r>
  <r>
    <n v="101554"/>
    <x v="208"/>
    <s v="Heitor Barbosa"/>
    <s v="BOLETO"/>
    <x v="2"/>
    <x v="0"/>
    <n v="1"/>
    <n v="418"/>
    <s v="Centro-Oeste"/>
    <x v="1"/>
    <n v="107.42"/>
    <d v="2024-05-06T00:00:00"/>
  </r>
  <r>
    <n v="100666"/>
    <x v="21"/>
    <s v="Yasmin Araujo"/>
    <s v="BOLETO"/>
    <x v="4"/>
    <x v="1"/>
    <n v="0"/>
    <n v="709"/>
    <s v="Sudeste"/>
    <x v="0"/>
    <n v="72.06"/>
    <d v="2024-05-05T00:00:00"/>
  </r>
  <r>
    <n v="100147"/>
    <x v="253"/>
    <s v="William Santos"/>
    <s v="CARTÃO DE CRÉDITO"/>
    <x v="7"/>
    <x v="2"/>
    <n v="0"/>
    <n v="657"/>
    <s v="Norte"/>
    <x v="0"/>
    <n v="597.04999999999995"/>
    <d v="2024-05-04T00:00:00"/>
  </r>
  <r>
    <n v="101188"/>
    <x v="87"/>
    <s v="Karina Silva"/>
    <s v="CARTÃO DE CRÉDITO"/>
    <x v="0"/>
    <x v="1"/>
    <n v="0"/>
    <n v="672"/>
    <s v="Sul"/>
    <x v="1"/>
    <n v="503.57"/>
    <d v="2024-05-04T00:00:00"/>
  </r>
  <r>
    <n v="100679"/>
    <x v="151"/>
    <s v="Heitor Barbosa"/>
    <s v="CARTÃO DE DÉBITO"/>
    <x v="4"/>
    <x v="2"/>
    <n v="0"/>
    <n v="855"/>
    <s v="Norte"/>
    <x v="2"/>
    <n v="362.59"/>
    <d v="2024-05-04T00:00:00"/>
  </r>
  <r>
    <n v="101415"/>
    <x v="60"/>
    <s v="Karina Silva"/>
    <s v="TED"/>
    <x v="2"/>
    <x v="1"/>
    <n v="0"/>
    <n v="410"/>
    <s v="Nordeste"/>
    <x v="1"/>
    <n v="189.96"/>
    <d v="2024-05-04T00:00:00"/>
  </r>
  <r>
    <n v="101989"/>
    <x v="112"/>
    <s v="Sandra Vieira"/>
    <s v="CARTÃO DE DÉBITO"/>
    <x v="5"/>
    <x v="0"/>
    <n v="11"/>
    <n v="638"/>
    <s v="Sul"/>
    <x v="1"/>
    <n v="742.34"/>
    <d v="2024-05-03T00:00:00"/>
  </r>
  <r>
    <n v="101241"/>
    <x v="178"/>
    <s v="Isabela Nunes"/>
    <s v="BOLETO"/>
    <x v="5"/>
    <x v="1"/>
    <n v="0"/>
    <n v="878"/>
    <s v="Nordeste"/>
    <x v="1"/>
    <n v="293.37"/>
    <d v="2024-05-03T00:00:00"/>
  </r>
  <r>
    <n v="100751"/>
    <x v="137"/>
    <s v="Caio Monteiro"/>
    <s v="PIX"/>
    <x v="0"/>
    <x v="3"/>
    <n v="143"/>
    <n v="332"/>
    <s v="Centro-Oeste"/>
    <x v="1"/>
    <n v="117.67"/>
    <d v="2024-05-03T00:00:00"/>
  </r>
  <r>
    <n v="101561"/>
    <x v="242"/>
    <s v="William Santos"/>
    <s v="BOLETO"/>
    <x v="7"/>
    <x v="1"/>
    <n v="0"/>
    <n v="570"/>
    <s v="Sul"/>
    <x v="1"/>
    <n v="429.58"/>
    <d v="2024-05-02T00:00:00"/>
  </r>
  <r>
    <n v="102042"/>
    <x v="83"/>
    <s v="Bianca Freitas"/>
    <s v="CARTÃO DE CRÉDITO"/>
    <x v="4"/>
    <x v="3"/>
    <n v="126"/>
    <n v="400"/>
    <s v="Centro-Oeste"/>
    <x v="1"/>
    <n v="738.02"/>
    <d v="2024-05-01T00:00:00"/>
  </r>
  <r>
    <n v="102160"/>
    <x v="201"/>
    <s v="Gabriela Rocha"/>
    <s v="CARTÃO DE CRÉDITO"/>
    <x v="0"/>
    <x v="2"/>
    <n v="0"/>
    <n v="876"/>
    <s v="Sudeste"/>
    <x v="2"/>
    <n v="542.79"/>
    <d v="2024-05-01T00:00:00"/>
  </r>
  <r>
    <n v="101594"/>
    <x v="38"/>
    <s v="William Santos"/>
    <s v="PIX"/>
    <x v="1"/>
    <x v="0"/>
    <n v="27"/>
    <n v="662"/>
    <s v="Sul"/>
    <x v="1"/>
    <n v="485.43"/>
    <d v="2024-05-01T00:00:00"/>
  </r>
  <r>
    <n v="101262"/>
    <x v="14"/>
    <s v="Heitor Barbosa"/>
    <s v="CARTÃO DE CRÉDITO"/>
    <x v="0"/>
    <x v="2"/>
    <n v="0"/>
    <n v="603"/>
    <s v="Norte"/>
    <x v="0"/>
    <n v="387.34"/>
    <d v="2024-05-01T00:00:00"/>
  </r>
  <r>
    <n v="101841"/>
    <x v="230"/>
    <s v="Bruno Lima"/>
    <s v="BOLETO"/>
    <x v="2"/>
    <x v="1"/>
    <n v="0"/>
    <n v="716"/>
    <s v="Sudeste"/>
    <x v="1"/>
    <n v="386.58"/>
    <d v="2024-05-01T00:00:00"/>
  </r>
  <r>
    <n v="101620"/>
    <x v="35"/>
    <s v="Caio Monteiro"/>
    <s v="CARTÃO DE DÉBITO"/>
    <x v="1"/>
    <x v="3"/>
    <n v="129"/>
    <n v="852"/>
    <s v="Não Informado"/>
    <x v="1"/>
    <n v="360.7"/>
    <d v="2024-05-01T00:00:00"/>
  </r>
  <r>
    <n v="101337"/>
    <x v="67"/>
    <s v="Fabio Costa"/>
    <s v="BOLETO"/>
    <x v="1"/>
    <x v="2"/>
    <s v="Não Informado"/>
    <n v="515"/>
    <s v="Sudeste"/>
    <x v="1"/>
    <n v="315.89999999999998"/>
    <d v="2024-05-01T00:00:00"/>
  </r>
  <r>
    <n v="101173"/>
    <x v="74"/>
    <s v="Isabela Nunes"/>
    <s v="BOLETO"/>
    <x v="0"/>
    <x v="1"/>
    <n v="0"/>
    <n v="418"/>
    <s v="Sul"/>
    <x v="2"/>
    <n v="120.16"/>
    <d v="2024-05-01T00:00:00"/>
  </r>
  <r>
    <n v="100902"/>
    <x v="7"/>
    <s v="Yasmin Araujo"/>
    <s v="CARTÃO DE CRÉDITO"/>
    <x v="2"/>
    <x v="1"/>
    <n v="0"/>
    <n v="494"/>
    <s v="Sul"/>
    <x v="1"/>
    <n v="1138.49"/>
    <d v="2024-04-30T00:00:00"/>
  </r>
  <r>
    <n v="100457"/>
    <x v="101"/>
    <s v="Thiago Correia"/>
    <s v="BOLETO"/>
    <x v="5"/>
    <x v="1"/>
    <n v="0"/>
    <n v="533"/>
    <s v="Centro-Oeste"/>
    <x v="2"/>
    <n v="533.01"/>
    <d v="2024-04-30T00:00:00"/>
  </r>
  <r>
    <n v="101729"/>
    <x v="177"/>
    <s v="Otavio Ramos"/>
    <s v="CARTÃO DE CRÉDITO"/>
    <x v="3"/>
    <x v="0"/>
    <n v="14"/>
    <n v="411"/>
    <s v="Nordeste"/>
    <x v="3"/>
    <n v="401.72"/>
    <d v="2024-04-30T00:00:00"/>
  </r>
  <r>
    <n v="100615"/>
    <x v="52"/>
    <s v="Otavio Ramos"/>
    <s v="CARTÃO DE DÉBITO"/>
    <x v="7"/>
    <x v="1"/>
    <n v="0"/>
    <n v="303"/>
    <s v="Nordeste"/>
    <x v="2"/>
    <n v="324.58999999999997"/>
    <d v="2024-04-30T00:00:00"/>
  </r>
  <r>
    <n v="101432"/>
    <x v="131"/>
    <s v="William Santos"/>
    <s v="CARTÃO DE CRÉDITO"/>
    <x v="4"/>
    <x v="3"/>
    <n v="169"/>
    <n v="355"/>
    <s v="Nordeste"/>
    <x v="1"/>
    <n v="267.56"/>
    <d v="2024-04-30T00:00:00"/>
  </r>
  <r>
    <n v="101010"/>
    <x v="105"/>
    <s v="Karina Silva"/>
    <s v="PIX"/>
    <x v="2"/>
    <x v="1"/>
    <n v="0"/>
    <n v="623"/>
    <s v="Norte"/>
    <x v="1"/>
    <n v="391.21"/>
    <d v="2024-04-29T00:00:00"/>
  </r>
  <r>
    <n v="100951"/>
    <x v="195"/>
    <s v="Joao Pedro Dias"/>
    <s v="CARTÃO DE CRÉDITO"/>
    <x v="2"/>
    <x v="3"/>
    <n v="152"/>
    <n v="873"/>
    <s v="Centro-Oeste"/>
    <x v="0"/>
    <n v="276.27"/>
    <d v="2024-04-29T00:00:00"/>
  </r>
  <r>
    <n v="100690"/>
    <x v="242"/>
    <s v="Não Informado"/>
    <s v="PIX"/>
    <x v="3"/>
    <x v="1"/>
    <n v="0"/>
    <n v="570"/>
    <s v="Sudeste"/>
    <x v="1"/>
    <n v="268.56"/>
    <d v="2024-04-29T00:00:00"/>
  </r>
  <r>
    <n v="101329"/>
    <x v="148"/>
    <s v="Gabriela Rocha"/>
    <s v="PIX"/>
    <x v="0"/>
    <x v="1"/>
    <n v="0"/>
    <n v="720"/>
    <s v="Sudeste"/>
    <x v="2"/>
    <n v="244.23"/>
    <d v="2024-04-29T00:00:00"/>
  </r>
  <r>
    <n v="101958"/>
    <x v="34"/>
    <s v="Debora Pinto"/>
    <s v="BOLETO"/>
    <x v="3"/>
    <x v="1"/>
    <n v="0"/>
    <n v="585"/>
    <s v="Sudeste"/>
    <x v="1"/>
    <n v="114.12"/>
    <d v="2024-04-29T00:00:00"/>
  </r>
  <r>
    <n v="100257"/>
    <x v="241"/>
    <s v="Não Informado"/>
    <s v="TED"/>
    <x v="1"/>
    <x v="1"/>
    <n v="0"/>
    <n v="339"/>
    <s v="Norte"/>
    <x v="0"/>
    <n v="67.069999999999993"/>
    <d v="2024-04-29T00:00:00"/>
  </r>
  <r>
    <n v="101041"/>
    <x v="48"/>
    <s v="Mariana Cardoso"/>
    <s v="CARTÃO DE CRÉDITO"/>
    <x v="6"/>
    <x v="0"/>
    <n v="28"/>
    <n v="733"/>
    <s v="Nordeste"/>
    <x v="1"/>
    <n v="616.52"/>
    <d v="2024-04-28T00:00:00"/>
  </r>
  <r>
    <n v="101260"/>
    <x v="250"/>
    <s v="Caio Monteiro"/>
    <s v="BOLETO"/>
    <x v="5"/>
    <x v="1"/>
    <n v="0"/>
    <n v="864"/>
    <s v="Centro-Oeste"/>
    <x v="0"/>
    <n v="604.71"/>
    <d v="2024-04-28T00:00:00"/>
  </r>
  <r>
    <n v="102024"/>
    <x v="66"/>
    <s v="Mariana Cardoso"/>
    <s v="TED"/>
    <x v="1"/>
    <x v="1"/>
    <n v="0"/>
    <n v="351"/>
    <s v="Centro-Oeste"/>
    <x v="0"/>
    <n v="240.74"/>
    <d v="2024-04-28T00:00:00"/>
  </r>
  <r>
    <n v="101552"/>
    <x v="105"/>
    <s v="Karina Silva"/>
    <s v="PIX"/>
    <x v="7"/>
    <x v="1"/>
    <n v="0"/>
    <n v="623"/>
    <s v="Sudeste"/>
    <x v="1"/>
    <n v="139.36000000000001"/>
    <d v="2024-04-28T00:00:00"/>
  </r>
  <r>
    <n v="101903"/>
    <x v="63"/>
    <s v="Heitor Barbosa"/>
    <s v="TED"/>
    <x v="1"/>
    <x v="2"/>
    <n v="0"/>
    <n v="509"/>
    <s v="Sul"/>
    <x v="1"/>
    <n v="1261.95"/>
    <d v="2024-04-27T00:00:00"/>
  </r>
  <r>
    <n v="100979"/>
    <x v="231"/>
    <s v="Lucas Martins"/>
    <s v="CARTÃO DE DÉBITO"/>
    <x v="2"/>
    <x v="1"/>
    <n v="0"/>
    <n v="315"/>
    <s v="Nordeste"/>
    <x v="0"/>
    <n v="956.68"/>
    <d v="2024-04-27T00:00:00"/>
  </r>
  <r>
    <n v="100048"/>
    <x v="84"/>
    <s v="Mariana Cardoso"/>
    <s v="TED"/>
    <x v="6"/>
    <x v="1"/>
    <n v="0"/>
    <n v="437"/>
    <s v="Centro-Oeste"/>
    <x v="2"/>
    <n v="267.7"/>
    <d v="2024-04-27T00:00:00"/>
  </r>
  <r>
    <n v="100011"/>
    <x v="198"/>
    <s v="Gabriela Rocha"/>
    <s v="BOLETO"/>
    <x v="2"/>
    <x v="2"/>
    <n v="0"/>
    <n v="518"/>
    <s v="Nordeste"/>
    <x v="1"/>
    <n v="143.4"/>
    <d v="2024-04-27T00:00:00"/>
  </r>
  <r>
    <n v="101651"/>
    <x v="82"/>
    <s v="Vanessa Duarte"/>
    <s v="CARTÃO DE CRÉDITO"/>
    <x v="1"/>
    <x v="2"/>
    <n v="0"/>
    <n v="352"/>
    <s v="Centro-Oeste"/>
    <x v="2"/>
    <n v="51.01"/>
    <d v="2024-04-27T00:00:00"/>
  </r>
  <r>
    <n v="101657"/>
    <x v="179"/>
    <s v="Isabela Nunes"/>
    <s v="CARTÃO DE DÉBITO"/>
    <x v="2"/>
    <x v="0"/>
    <n v="16"/>
    <n v="309"/>
    <s v="Sudeste"/>
    <x v="2"/>
    <n v="550.25"/>
    <d v="2024-04-26T00:00:00"/>
  </r>
  <r>
    <n v="100080"/>
    <x v="180"/>
    <s v="Vanessa Duarte"/>
    <s v="CARTÃO DE CRÉDITO"/>
    <x v="3"/>
    <x v="2"/>
    <n v="0"/>
    <n v="482"/>
    <s v="Sul"/>
    <x v="2"/>
    <n v="353.15"/>
    <d v="2024-04-26T00:00:00"/>
  </r>
  <r>
    <n v="100058"/>
    <x v="49"/>
    <s v="Patricia Gomes"/>
    <s v="TED"/>
    <x v="3"/>
    <x v="2"/>
    <n v="0"/>
    <n v="691"/>
    <s v="Não Informado"/>
    <x v="0"/>
    <n v="261.69"/>
    <d v="2024-04-26T00:00:00"/>
  </r>
  <r>
    <n v="101058"/>
    <x v="155"/>
    <s v="Caio Monteiro"/>
    <s v="CARTÃO DE CRÉDITO"/>
    <x v="0"/>
    <x v="1"/>
    <n v="0"/>
    <n v="744"/>
    <s v="Centro-Oeste"/>
    <x v="1"/>
    <n v="451.45"/>
    <d v="2024-04-25T00:00:00"/>
  </r>
  <r>
    <n v="100975"/>
    <x v="191"/>
    <s v="Diego Alves"/>
    <s v="TED"/>
    <x v="0"/>
    <x v="1"/>
    <n v="0"/>
    <n v="863"/>
    <s v="Centro-Oeste"/>
    <x v="1"/>
    <n v="266.82"/>
    <d v="2024-04-25T00:00:00"/>
  </r>
  <r>
    <n v="101787"/>
    <x v="112"/>
    <s v="Sandra Vieira"/>
    <s v="BOLETO"/>
    <x v="4"/>
    <x v="0"/>
    <n v="30"/>
    <n v="638"/>
    <s v="Norte"/>
    <x v="2"/>
    <n v="146.9"/>
    <d v="2024-04-25T00:00:00"/>
  </r>
  <r>
    <n v="101235"/>
    <x v="215"/>
    <s v="Patricia Gomes"/>
    <s v="BOLETO"/>
    <x v="1"/>
    <x v="1"/>
    <n v="0"/>
    <n v="459"/>
    <s v="Centro-Oeste"/>
    <x v="2"/>
    <n v="507.67"/>
    <d v="2024-04-24T00:00:00"/>
  </r>
  <r>
    <n v="100737"/>
    <x v="242"/>
    <s v="William Santos"/>
    <s v="PIX"/>
    <x v="7"/>
    <x v="1"/>
    <n v="0"/>
    <n v="570"/>
    <s v="Sudeste"/>
    <x v="2"/>
    <n v="294.77999999999997"/>
    <d v="2024-04-24T00:00:00"/>
  </r>
  <r>
    <n v="101820"/>
    <x v="236"/>
    <s v="Yasmin Araujo"/>
    <s v="TED"/>
    <x v="4"/>
    <x v="3"/>
    <n v="145"/>
    <n v="370"/>
    <s v="Sul"/>
    <x v="1"/>
    <n v="165.51"/>
    <d v="2024-04-24T00:00:00"/>
  </r>
  <r>
    <n v="101854"/>
    <x v="83"/>
    <s v="Bianca Freitas"/>
    <s v="CARTÃO DE CRÉDITO"/>
    <x v="5"/>
    <x v="1"/>
    <n v="0"/>
    <n v="400"/>
    <s v="Sudeste"/>
    <x v="0"/>
    <n v="738.34"/>
    <d v="2024-04-23T00:00:00"/>
  </r>
  <r>
    <n v="101382"/>
    <x v="179"/>
    <s v="Isabela Nunes"/>
    <s v="CARTÃO DE DÉBITO"/>
    <x v="7"/>
    <x v="1"/>
    <n v="0"/>
    <n v="309"/>
    <s v="Sul"/>
    <x v="2"/>
    <n v="536.84"/>
    <d v="2024-04-23T00:00:00"/>
  </r>
  <r>
    <n v="101796"/>
    <x v="57"/>
    <s v="Fabio Costa"/>
    <s v="PIX"/>
    <x v="5"/>
    <x v="3"/>
    <n v="77"/>
    <n v="328"/>
    <s v="Nordeste"/>
    <x v="2"/>
    <n v="383.5"/>
    <d v="2024-04-23T00:00:00"/>
  </r>
  <r>
    <n v="100417"/>
    <x v="16"/>
    <s v="Bianca Freitas"/>
    <s v="BOLETO"/>
    <x v="3"/>
    <x v="1"/>
    <n v="0"/>
    <n v="778"/>
    <s v="Sul"/>
    <x v="1"/>
    <n v="292.75"/>
    <d v="2024-04-23T00:00:00"/>
  </r>
  <r>
    <n v="101341"/>
    <x v="249"/>
    <s v="Isabela Nunes"/>
    <s v="CARTÃO DE DÉBITO"/>
    <x v="0"/>
    <x v="0"/>
    <n v="18"/>
    <n v="358"/>
    <s v="Sudeste"/>
    <x v="2"/>
    <n v="218.69"/>
    <d v="2024-04-23T00:00:00"/>
  </r>
  <r>
    <n v="100613"/>
    <x v="220"/>
    <s v="Vanessa Duarte"/>
    <s v="CARTÃO DE CRÉDITO"/>
    <x v="1"/>
    <x v="3"/>
    <n v="62"/>
    <n v="542"/>
    <s v="Sudeste"/>
    <x v="1"/>
    <n v="107.59"/>
    <d v="2024-04-23T00:00:00"/>
  </r>
  <r>
    <n v="100284"/>
    <x v="224"/>
    <s v="Fabio Costa"/>
    <s v="BOLETO"/>
    <x v="2"/>
    <x v="0"/>
    <n v="17"/>
    <n v="483"/>
    <s v="Sudeste"/>
    <x v="1"/>
    <n v="93.56"/>
    <d v="2024-04-23T00:00:00"/>
  </r>
  <r>
    <n v="100750"/>
    <x v="37"/>
    <s v="Bianca Freitas"/>
    <s v="CARTÃO DE DÉBITO"/>
    <x v="2"/>
    <x v="1"/>
    <n v="0"/>
    <n v="653"/>
    <s v="Sul"/>
    <x v="1"/>
    <n v="46.71"/>
    <d v="2024-04-23T00:00:00"/>
  </r>
  <r>
    <n v="101576"/>
    <x v="202"/>
    <s v="Rafael Pereira"/>
    <s v="PIX"/>
    <x v="5"/>
    <x v="3"/>
    <n v="44"/>
    <n v="641"/>
    <s v="Centro-Oeste"/>
    <x v="1"/>
    <n v="885.54"/>
    <d v="2024-04-22T00:00:00"/>
  </r>
  <r>
    <n v="100045"/>
    <x v="184"/>
    <s v="Não Informado"/>
    <s v="CARTÃO DE CRÉDITO"/>
    <x v="0"/>
    <x v="1"/>
    <n v="0"/>
    <n v="402"/>
    <s v="Sul"/>
    <x v="1"/>
    <n v="327.27"/>
    <d v="2024-04-22T00:00:00"/>
  </r>
  <r>
    <n v="100394"/>
    <x v="110"/>
    <s v="Carla Mendes"/>
    <s v="CARTÃO DE CRÉDITO"/>
    <x v="3"/>
    <x v="1"/>
    <n v="0"/>
    <n v="540"/>
    <s v="Centro-Oeste"/>
    <x v="0"/>
    <n v="222.81"/>
    <d v="2024-04-22T00:00:00"/>
  </r>
  <r>
    <n v="101585"/>
    <x v="68"/>
    <s v="Carla Mendes"/>
    <s v="TED"/>
    <x v="1"/>
    <x v="0"/>
    <n v="12"/>
    <n v="400"/>
    <s v="Norte"/>
    <x v="1"/>
    <n v="220.09"/>
    <d v="2024-04-22T00:00:00"/>
  </r>
  <r>
    <n v="100579"/>
    <x v="107"/>
    <s v="Carla Mendes"/>
    <s v="CARTÃO DE CRÉDITO"/>
    <x v="7"/>
    <x v="2"/>
    <n v="0"/>
    <n v="893"/>
    <s v="Sudeste"/>
    <x v="0"/>
    <n v="200.69"/>
    <d v="2024-04-22T00:00:00"/>
  </r>
  <r>
    <n v="101588"/>
    <x v="148"/>
    <s v="Gabriela Rocha"/>
    <s v="BOLETO"/>
    <x v="5"/>
    <x v="1"/>
    <n v="0"/>
    <n v="720"/>
    <s v="Centro-Oeste"/>
    <x v="0"/>
    <n v="188.56"/>
    <d v="2024-04-22T00:00:00"/>
  </r>
  <r>
    <n v="100703"/>
    <x v="195"/>
    <s v="Joao Pedro Dias"/>
    <s v="TED"/>
    <x v="3"/>
    <x v="2"/>
    <n v="0"/>
    <n v="873"/>
    <s v="Nordeste"/>
    <x v="1"/>
    <n v="916.64"/>
    <d v="2024-04-21T00:00:00"/>
  </r>
  <r>
    <n v="101847"/>
    <x v="184"/>
    <s v="Thiago Correia"/>
    <s v="TED"/>
    <x v="2"/>
    <x v="2"/>
    <n v="0"/>
    <n v="402"/>
    <s v="Sudeste"/>
    <x v="1"/>
    <n v="898.25"/>
    <d v="2024-04-21T00:00:00"/>
  </r>
  <r>
    <n v="101616"/>
    <x v="38"/>
    <s v="William Santos"/>
    <s v="TED"/>
    <x v="1"/>
    <x v="3"/>
    <n v="115"/>
    <n v="662"/>
    <s v="Centro-Oeste"/>
    <x v="1"/>
    <n v="220.79"/>
    <d v="2024-04-21T00:00:00"/>
  </r>
  <r>
    <n v="100671"/>
    <x v="237"/>
    <s v="Debora Pinto"/>
    <s v="PIX"/>
    <x v="2"/>
    <x v="1"/>
    <n v="0"/>
    <n v="705"/>
    <s v="Nordeste"/>
    <x v="2"/>
    <n v="182.6"/>
    <d v="2024-04-21T00:00:00"/>
  </r>
  <r>
    <n v="100676"/>
    <x v="179"/>
    <s v="Isabela Nunes"/>
    <s v="PIX"/>
    <x v="1"/>
    <x v="2"/>
    <n v="0"/>
    <n v="309"/>
    <s v="Norte"/>
    <x v="2"/>
    <n v="78.86"/>
    <d v="2024-04-21T00:00:00"/>
  </r>
  <r>
    <n v="101213"/>
    <x v="116"/>
    <s v="William Santos"/>
    <s v="BOLETO"/>
    <x v="7"/>
    <x v="2"/>
    <n v="0"/>
    <n v="898"/>
    <s v="Sul"/>
    <x v="1"/>
    <n v="383.51"/>
    <d v="2024-04-20T00:00:00"/>
  </r>
  <r>
    <n v="100884"/>
    <x v="230"/>
    <s v="Não Informado"/>
    <s v="BOLETO"/>
    <x v="6"/>
    <x v="1"/>
    <n v="0"/>
    <n v="716"/>
    <s v="Sul"/>
    <x v="1"/>
    <n v="352.75"/>
    <d v="2024-04-20T00:00:00"/>
  </r>
  <r>
    <n v="100299"/>
    <x v="39"/>
    <s v="Nelson Teixeira"/>
    <s v="PIX"/>
    <x v="2"/>
    <x v="1"/>
    <n v="0"/>
    <n v="606"/>
    <s v="Nordeste"/>
    <x v="2"/>
    <n v="170.28"/>
    <d v="2024-04-20T00:00:00"/>
  </r>
  <r>
    <n v="101065"/>
    <x v="94"/>
    <s v="Gabriela Rocha"/>
    <s v="CARTÃO DE CRÉDITO"/>
    <x v="0"/>
    <x v="1"/>
    <n v="0"/>
    <n v="555"/>
    <s v="Nordeste"/>
    <x v="0"/>
    <n v="538.20000000000005"/>
    <d v="2024-04-19T00:00:00"/>
  </r>
  <r>
    <n v="101793"/>
    <x v="98"/>
    <s v="Bianca Freitas"/>
    <s v="CARTÃO DE CRÉDITO"/>
    <x v="1"/>
    <x v="2"/>
    <s v="Não Informado"/>
    <n v="443"/>
    <s v="Centro-Oeste"/>
    <x v="2"/>
    <n v="529.67999999999995"/>
    <d v="2024-04-19T00:00:00"/>
  </r>
  <r>
    <n v="100647"/>
    <x v="17"/>
    <s v="Rafael Pereira"/>
    <s v="BOLETO"/>
    <x v="6"/>
    <x v="1"/>
    <n v="0"/>
    <n v="554"/>
    <s v="Norte"/>
    <x v="1"/>
    <n v="320.47000000000003"/>
    <d v="2024-04-19T00:00:00"/>
  </r>
  <r>
    <n v="100330"/>
    <x v="45"/>
    <s v="Sandra Vieira"/>
    <s v="CARTÃO DE CRÉDITO"/>
    <x v="3"/>
    <x v="1"/>
    <n v="0"/>
    <n v="518"/>
    <s v="Norte"/>
    <x v="1"/>
    <n v="42.7"/>
    <d v="2024-04-19T00:00:00"/>
  </r>
  <r>
    <n v="102200"/>
    <x v="7"/>
    <s v="Yasmin Araujo"/>
    <s v="PIX"/>
    <x v="4"/>
    <x v="1"/>
    <s v="Não Informado"/>
    <n v="494"/>
    <s v="Nordeste"/>
    <x v="2"/>
    <n v="357.78"/>
    <d v="2024-04-18T00:00:00"/>
  </r>
  <r>
    <n v="100573"/>
    <x v="59"/>
    <s v="Heitor Barbosa"/>
    <s v="CARTÃO DE CRÉDITO"/>
    <x v="2"/>
    <x v="1"/>
    <n v="0"/>
    <n v="372"/>
    <s v="Nordeste"/>
    <x v="1"/>
    <n v="271.5"/>
    <d v="2024-04-18T00:00:00"/>
  </r>
  <r>
    <n v="101148"/>
    <x v="154"/>
    <s v="Fabio Costa"/>
    <s v="PIX"/>
    <x v="3"/>
    <x v="3"/>
    <n v="168"/>
    <n v="451"/>
    <s v="Nordeste"/>
    <x v="1"/>
    <n v="172.11"/>
    <d v="2024-04-18T00:00:00"/>
  </r>
  <r>
    <n v="100135"/>
    <x v="233"/>
    <s v="Otavio Ramos"/>
    <s v="CARTÃO DE CRÉDITO"/>
    <x v="2"/>
    <x v="1"/>
    <n v="0"/>
    <n v="370"/>
    <s v="Sudeste"/>
    <x v="0"/>
    <n v="54.22"/>
    <d v="2024-04-18T00:00:00"/>
  </r>
  <r>
    <n v="101887"/>
    <x v="102"/>
    <s v="Ana Souza"/>
    <s v="BOLETO"/>
    <x v="1"/>
    <x v="2"/>
    <n v="0"/>
    <n v="430"/>
    <s v="Sul"/>
    <x v="2"/>
    <n v="386.4"/>
    <d v="2024-04-17T00:00:00"/>
  </r>
  <r>
    <n v="101749"/>
    <x v="172"/>
    <s v="Caio Monteiro"/>
    <s v="TED"/>
    <x v="4"/>
    <x v="1"/>
    <n v="0"/>
    <n v="892"/>
    <s v="Sudeste"/>
    <x v="2"/>
    <n v="251.99"/>
    <d v="2024-04-17T00:00:00"/>
  </r>
  <r>
    <n v="100956"/>
    <x v="230"/>
    <s v="Bruno Lima"/>
    <s v="CARTÃO DE CRÉDITO"/>
    <x v="5"/>
    <x v="0"/>
    <n v="16"/>
    <n v="716"/>
    <s v="Sul"/>
    <x v="1"/>
    <n v="478.89"/>
    <d v="2024-04-16T00:00:00"/>
  </r>
  <r>
    <n v="101883"/>
    <x v="105"/>
    <s v="Karina Silva"/>
    <s v="PIX"/>
    <x v="0"/>
    <x v="1"/>
    <n v="0"/>
    <n v="623"/>
    <s v="Centro-Oeste"/>
    <x v="1"/>
    <n v="476.31"/>
    <d v="2024-04-16T00:00:00"/>
  </r>
  <r>
    <n v="100362"/>
    <x v="132"/>
    <s v="Não Informado"/>
    <s v="PIX"/>
    <x v="1"/>
    <x v="1"/>
    <s v="Não Informado"/>
    <n v="741"/>
    <s v="Norte"/>
    <x v="1"/>
    <n v="146.66"/>
    <d v="2024-04-16T00:00:00"/>
  </r>
  <r>
    <n v="101159"/>
    <x v="40"/>
    <s v="Lucas Martins"/>
    <s v="BOLETO"/>
    <x v="0"/>
    <x v="1"/>
    <n v="0"/>
    <n v="570"/>
    <s v="Nordeste"/>
    <x v="1"/>
    <n v="511.32"/>
    <d v="2024-04-15T00:00:00"/>
  </r>
  <r>
    <n v="101845"/>
    <x v="221"/>
    <s v="Bruno Lima"/>
    <s v="CARTÃO DE DÉBITO"/>
    <x v="5"/>
    <x v="2"/>
    <n v="0"/>
    <n v="768"/>
    <s v="Sudeste"/>
    <x v="2"/>
    <n v="132.62"/>
    <d v="2024-04-15T00:00:00"/>
  </r>
  <r>
    <n v="101932"/>
    <x v="198"/>
    <s v="Gabriela Rocha"/>
    <s v="PIX"/>
    <x v="6"/>
    <x v="1"/>
    <n v="0"/>
    <n v="518"/>
    <s v="Sudeste"/>
    <x v="1"/>
    <n v="527.49"/>
    <d v="2024-04-14T00:00:00"/>
  </r>
  <r>
    <n v="100699"/>
    <x v="25"/>
    <s v="Sandra Vieira"/>
    <s v="CARTÃO DE DÉBITO"/>
    <x v="5"/>
    <x v="1"/>
    <n v="0"/>
    <n v="309"/>
    <s v="Centro-Oeste"/>
    <x v="1"/>
    <n v="99.17"/>
    <d v="2024-04-14T00:00:00"/>
  </r>
  <r>
    <n v="101047"/>
    <x v="163"/>
    <s v="Bruno Lima"/>
    <s v="CARTÃO DE CRÉDITO"/>
    <x v="5"/>
    <x v="1"/>
    <n v="0"/>
    <n v="548"/>
    <s v="Sudeste"/>
    <x v="1"/>
    <n v="70.56"/>
    <d v="2024-04-14T00:00:00"/>
  </r>
  <r>
    <n v="100466"/>
    <x v="80"/>
    <s v="Isabela Nunes"/>
    <s v="CARTÃO DE DÉBITO"/>
    <x v="3"/>
    <x v="1"/>
    <n v="0"/>
    <n v="433"/>
    <s v="Não Informado"/>
    <x v="1"/>
    <n v="406.05"/>
    <d v="2024-04-13T00:00:00"/>
  </r>
  <r>
    <n v="100921"/>
    <x v="228"/>
    <s v="Bianca Freitas"/>
    <s v="CARTÃO DE DÉBITO"/>
    <x v="7"/>
    <x v="1"/>
    <n v="0"/>
    <n v="746"/>
    <s v="Nordeste"/>
    <x v="1"/>
    <n v="201.28"/>
    <d v="2024-04-13T00:00:00"/>
  </r>
  <r>
    <n v="101719"/>
    <x v="60"/>
    <s v="Karina Silva"/>
    <s v="TED"/>
    <x v="4"/>
    <x v="1"/>
    <n v="0"/>
    <n v="410"/>
    <s v="Centro-Oeste"/>
    <x v="0"/>
    <n v="500.91"/>
    <d v="2024-04-12T00:00:00"/>
  </r>
  <r>
    <n v="101649"/>
    <x v="29"/>
    <s v="Carla Mendes"/>
    <s v="CARTÃO DE CRÉDITO"/>
    <x v="3"/>
    <x v="1"/>
    <n v="0"/>
    <n v="394"/>
    <s v="Centro-Oeste"/>
    <x v="1"/>
    <n v="430.36"/>
    <d v="2024-04-12T00:00:00"/>
  </r>
  <r>
    <n v="101449"/>
    <x v="41"/>
    <s v="Fabio Costa"/>
    <s v="BOLETO"/>
    <x v="2"/>
    <x v="0"/>
    <n v="6"/>
    <n v="883"/>
    <s v="Sudeste"/>
    <x v="0"/>
    <n v="390.68"/>
    <d v="2024-04-12T00:00:00"/>
  </r>
  <r>
    <n v="101738"/>
    <x v="167"/>
    <s v="Ana Souza"/>
    <s v="PIX"/>
    <x v="5"/>
    <x v="0"/>
    <n v="15"/>
    <n v="573"/>
    <s v="Centro-Oeste"/>
    <x v="0"/>
    <n v="346.27"/>
    <d v="2024-04-12T00:00:00"/>
  </r>
  <r>
    <n v="100189"/>
    <x v="250"/>
    <s v="Caio Monteiro"/>
    <s v="CARTÃO DE CRÉDITO"/>
    <x v="3"/>
    <x v="0"/>
    <n v="19"/>
    <n v="864"/>
    <s v="Sudeste"/>
    <x v="0"/>
    <n v="305"/>
    <d v="2024-04-12T00:00:00"/>
  </r>
  <r>
    <n v="101486"/>
    <x v="60"/>
    <s v="Karina Silva"/>
    <s v="PIX"/>
    <x v="4"/>
    <x v="2"/>
    <n v="0"/>
    <n v="410"/>
    <s v="Norte"/>
    <x v="2"/>
    <n v="192.12"/>
    <d v="2024-04-12T00:00:00"/>
  </r>
  <r>
    <n v="102086"/>
    <x v="226"/>
    <s v="Diego Alves"/>
    <s v="CARTÃO DE CRÉDITO"/>
    <x v="4"/>
    <x v="1"/>
    <n v="0"/>
    <n v="781"/>
    <s v="Norte"/>
    <x v="0"/>
    <n v="581.86"/>
    <d v="2024-04-11T00:00:00"/>
  </r>
  <r>
    <n v="100964"/>
    <x v="15"/>
    <s v="Caio Monteiro"/>
    <s v="BOLETO"/>
    <x v="3"/>
    <x v="1"/>
    <s v="Não Informado"/>
    <n v="585"/>
    <s v="Norte"/>
    <x v="0"/>
    <n v="220.79"/>
    <d v="2024-04-11T00:00:00"/>
  </r>
  <r>
    <n v="100191"/>
    <x v="214"/>
    <s v="Lucas Martins"/>
    <s v="CARTÃO DE CRÉDITO"/>
    <x v="4"/>
    <x v="0"/>
    <n v="5"/>
    <n v="494"/>
    <s v="Nordeste"/>
    <x v="2"/>
    <n v="1157.96"/>
    <d v="2024-04-10T00:00:00"/>
  </r>
  <r>
    <n v="101712"/>
    <x v="8"/>
    <s v="Sandra Vieira"/>
    <s v="CARTÃO DE CRÉDITO"/>
    <x v="7"/>
    <x v="1"/>
    <n v="0"/>
    <n v="339"/>
    <s v="Centro-Oeste"/>
    <x v="0"/>
    <n v="292.33999999999997"/>
    <d v="2024-04-10T00:00:00"/>
  </r>
  <r>
    <n v="101326"/>
    <x v="254"/>
    <s v="William Santos"/>
    <s v="PIX"/>
    <x v="5"/>
    <x v="1"/>
    <n v="0"/>
    <n v="369"/>
    <s v="Sudeste"/>
    <x v="1"/>
    <n v="218.39"/>
    <d v="2024-04-10T00:00:00"/>
  </r>
  <r>
    <n v="100184"/>
    <x v="87"/>
    <s v="Karina Silva"/>
    <s v="BOLETO"/>
    <x v="1"/>
    <x v="1"/>
    <n v="0"/>
    <n v="672"/>
    <s v="Sul"/>
    <x v="1"/>
    <n v="582.61"/>
    <d v="2024-04-09T00:00:00"/>
  </r>
  <r>
    <n v="100946"/>
    <x v="218"/>
    <s v="Caio Monteiro"/>
    <s v="BOLETO"/>
    <x v="1"/>
    <x v="1"/>
    <n v="0"/>
    <n v="748"/>
    <s v="Nordeste"/>
    <x v="1"/>
    <n v="445.39"/>
    <d v="2024-04-09T00:00:00"/>
  </r>
  <r>
    <n v="101229"/>
    <x v="46"/>
    <s v="Rafael Pereira"/>
    <s v="CARTÃO DE CRÉDITO"/>
    <x v="4"/>
    <x v="2"/>
    <n v="0"/>
    <n v="399"/>
    <s v="Sul"/>
    <x v="1"/>
    <n v="291.2"/>
    <d v="2024-04-09T00:00:00"/>
  </r>
  <r>
    <n v="100038"/>
    <x v="102"/>
    <s v="Ana Souza"/>
    <s v="BOLETO"/>
    <x v="7"/>
    <x v="2"/>
    <n v="0"/>
    <n v="430"/>
    <s v="Nordeste"/>
    <x v="2"/>
    <n v="265.55"/>
    <d v="2024-04-09T00:00:00"/>
  </r>
  <r>
    <n v="100828"/>
    <x v="258"/>
    <s v="Carla Mendes"/>
    <s v="CARTÃO DE CRÉDITO"/>
    <x v="4"/>
    <x v="1"/>
    <n v="0"/>
    <n v="716"/>
    <s v="Norte"/>
    <x v="0"/>
    <n v="115.89"/>
    <d v="2024-04-09T00:00:00"/>
  </r>
  <r>
    <n v="100391"/>
    <x v="46"/>
    <s v="Rafael Pereira"/>
    <s v="BOLETO"/>
    <x v="4"/>
    <x v="1"/>
    <n v="0"/>
    <n v="399"/>
    <s v="Norte"/>
    <x v="1"/>
    <n v="755.75"/>
    <d v="2024-04-08T00:00:00"/>
  </r>
  <r>
    <n v="101257"/>
    <x v="238"/>
    <s v="Sandra Vieira"/>
    <s v="CARTÃO DE CRÉDITO"/>
    <x v="1"/>
    <x v="0"/>
    <n v="18"/>
    <n v="640"/>
    <s v="Sul"/>
    <x v="0"/>
    <n v="617.44000000000005"/>
    <d v="2024-04-08T00:00:00"/>
  </r>
  <r>
    <n v="100588"/>
    <x v="53"/>
    <s v="Thiago Correia"/>
    <s v="CARTÃO DE CRÉDITO"/>
    <x v="3"/>
    <x v="1"/>
    <n v="0"/>
    <n v="427"/>
    <s v="Norte"/>
    <x v="1"/>
    <n v="481.68"/>
    <d v="2024-04-08T00:00:00"/>
  </r>
  <r>
    <n v="101237"/>
    <x v="181"/>
    <s v="Diego Alves"/>
    <s v="PIX"/>
    <x v="1"/>
    <x v="2"/>
    <n v="0"/>
    <n v="534"/>
    <s v="Nordeste"/>
    <x v="3"/>
    <n v="405.72"/>
    <d v="2024-04-08T00:00:00"/>
  </r>
  <r>
    <n v="100997"/>
    <x v="70"/>
    <s v="Rafael Pereira"/>
    <s v="PIX"/>
    <x v="7"/>
    <x v="3"/>
    <n v="63"/>
    <n v="555"/>
    <s v="Centro-Oeste"/>
    <x v="1"/>
    <n v="346.84"/>
    <d v="2024-04-08T00:00:00"/>
  </r>
  <r>
    <n v="101747"/>
    <x v="100"/>
    <s v="Nelson Teixeira"/>
    <s v="CARTÃO DE DÉBITO"/>
    <x v="1"/>
    <x v="1"/>
    <n v="0"/>
    <n v="557"/>
    <s v="Centro-Oeste"/>
    <x v="2"/>
    <n v="160.21"/>
    <d v="2024-04-08T00:00:00"/>
  </r>
  <r>
    <n v="100432"/>
    <x v="173"/>
    <s v="Mariana Cardoso"/>
    <s v="PIX"/>
    <x v="3"/>
    <x v="2"/>
    <n v="0"/>
    <n v="621"/>
    <s v="Norte"/>
    <x v="1"/>
    <n v="148.61000000000001"/>
    <d v="2024-04-08T00:00:00"/>
  </r>
  <r>
    <n v="101986"/>
    <x v="150"/>
    <s v="William Santos"/>
    <s v="BOLETO"/>
    <x v="7"/>
    <x v="0"/>
    <n v="11"/>
    <n v="699"/>
    <s v="Norte"/>
    <x v="1"/>
    <n v="116.06"/>
    <d v="2024-04-08T00:00:00"/>
  </r>
  <r>
    <n v="101351"/>
    <x v="134"/>
    <s v="William Santos"/>
    <s v="CARTÃO DE CRÉDITO"/>
    <x v="7"/>
    <x v="0"/>
    <n v="7"/>
    <n v="858"/>
    <s v="Centro-Oeste"/>
    <x v="1"/>
    <n v="664.98"/>
    <d v="2024-04-07T00:00:00"/>
  </r>
  <r>
    <n v="101268"/>
    <x v="203"/>
    <s v="Não Informado"/>
    <s v="CARTÃO DE DÉBITO"/>
    <x v="5"/>
    <x v="1"/>
    <n v="0"/>
    <n v="336"/>
    <s v="Norte"/>
    <x v="2"/>
    <m/>
    <d v="2024-04-07T00:00:00"/>
  </r>
  <r>
    <n v="101501"/>
    <x v="245"/>
    <s v="Vanessa Duarte"/>
    <s v="TED"/>
    <x v="1"/>
    <x v="2"/>
    <n v="0"/>
    <n v="571"/>
    <s v="Nordeste"/>
    <x v="1"/>
    <n v="825.25"/>
    <d v="2024-04-06T00:00:00"/>
  </r>
  <r>
    <n v="101314"/>
    <x v="114"/>
    <s v="Heitor Barbosa"/>
    <s v="CARTÃO DE DÉBITO"/>
    <x v="7"/>
    <x v="1"/>
    <n v="0"/>
    <n v="340"/>
    <s v="Norte"/>
    <x v="0"/>
    <n v="511.73"/>
    <d v="2024-04-06T00:00:00"/>
  </r>
  <r>
    <n v="101671"/>
    <x v="119"/>
    <s v="Mariana Cardoso"/>
    <s v="CARTÃO DE CRÉDITO"/>
    <x v="2"/>
    <x v="1"/>
    <n v="0"/>
    <n v="374"/>
    <s v="Sudeste"/>
    <x v="2"/>
    <n v="470.26"/>
    <d v="2024-04-06T00:00:00"/>
  </r>
  <r>
    <n v="100031"/>
    <x v="198"/>
    <s v="Gabriela Rocha"/>
    <s v="TED"/>
    <x v="7"/>
    <x v="1"/>
    <n v="0"/>
    <n v="518"/>
    <s v="Sudeste"/>
    <x v="1"/>
    <n v="422.17"/>
    <d v="2024-04-06T00:00:00"/>
  </r>
  <r>
    <n v="101452"/>
    <x v="116"/>
    <s v="William Santos"/>
    <s v="BOLETO"/>
    <x v="5"/>
    <x v="2"/>
    <n v="0"/>
    <n v="898"/>
    <s v="Sudeste"/>
    <x v="1"/>
    <n v="204.66"/>
    <d v="2024-04-06T00:00:00"/>
  </r>
  <r>
    <n v="100182"/>
    <x v="140"/>
    <s v="Yasmin Araujo"/>
    <s v="CARTÃO DE CRÉDITO"/>
    <x v="4"/>
    <x v="1"/>
    <n v="0"/>
    <n v="519"/>
    <s v="Norte"/>
    <x v="2"/>
    <n v="489.3"/>
    <d v="2024-04-05T00:00:00"/>
  </r>
  <r>
    <n v="101713"/>
    <x v="48"/>
    <s v="Mariana Cardoso"/>
    <s v="PIX"/>
    <x v="4"/>
    <x v="3"/>
    <n v="46"/>
    <n v="733"/>
    <s v="Norte"/>
    <x v="1"/>
    <n v="418.15"/>
    <d v="2024-04-05T00:00:00"/>
  </r>
  <r>
    <n v="100211"/>
    <x v="229"/>
    <s v="Ana Souza"/>
    <s v="PIX"/>
    <x v="2"/>
    <x v="1"/>
    <n v="0"/>
    <n v="662"/>
    <s v="Nordeste"/>
    <x v="1"/>
    <n v="269.89"/>
    <d v="2024-04-05T00:00:00"/>
  </r>
  <r>
    <n v="101858"/>
    <x v="111"/>
    <s v="Debora Pinto"/>
    <s v="TED"/>
    <x v="7"/>
    <x v="1"/>
    <n v="0"/>
    <n v="849"/>
    <s v="Centro-Oeste"/>
    <x v="1"/>
    <n v="258.94"/>
    <d v="2024-04-05T00:00:00"/>
  </r>
  <r>
    <n v="102029"/>
    <x v="47"/>
    <s v="Gabriela Rocha"/>
    <s v="PIX"/>
    <x v="4"/>
    <x v="2"/>
    <s v="Não Informado"/>
    <n v="733"/>
    <s v="Sudeste"/>
    <x v="1"/>
    <n v="255.01"/>
    <d v="2024-04-05T00:00:00"/>
  </r>
  <r>
    <n v="101835"/>
    <x v="169"/>
    <s v="Joao Pedro Dias"/>
    <s v="CARTÃO DE CRÉDITO"/>
    <x v="5"/>
    <x v="2"/>
    <n v="0"/>
    <n v="302"/>
    <s v="Sudeste"/>
    <x v="1"/>
    <n v="981.89"/>
    <d v="2024-04-04T00:00:00"/>
  </r>
  <r>
    <n v="100115"/>
    <x v="101"/>
    <s v="Thiago Correia"/>
    <s v="TED"/>
    <x v="3"/>
    <x v="1"/>
    <n v="0"/>
    <n v="533"/>
    <s v="Sudeste"/>
    <x v="0"/>
    <n v="466.34"/>
    <d v="2024-04-04T00:00:00"/>
  </r>
  <r>
    <n v="101976"/>
    <x v="134"/>
    <s v="William Santos"/>
    <s v="TED"/>
    <x v="2"/>
    <x v="0"/>
    <n v="21"/>
    <n v="858"/>
    <s v="Sul"/>
    <x v="1"/>
    <n v="348.87"/>
    <d v="2024-04-04T00:00:00"/>
  </r>
  <r>
    <n v="101013"/>
    <x v="189"/>
    <s v="Sandra Vieira"/>
    <s v="CARTÃO DE DÉBITO"/>
    <x v="2"/>
    <x v="0"/>
    <n v="24"/>
    <n v="362"/>
    <s v="Centro-Oeste"/>
    <x v="2"/>
    <n v="341.27"/>
    <d v="2024-04-04T00:00:00"/>
  </r>
  <r>
    <n v="101850"/>
    <x v="24"/>
    <s v="Rafael Pereira"/>
    <s v="CARTÃO DE CRÉDITO"/>
    <x v="0"/>
    <x v="1"/>
    <n v="0"/>
    <n v="458"/>
    <s v="Sudeste"/>
    <x v="1"/>
    <n v="300.68"/>
    <d v="2024-04-04T00:00:00"/>
  </r>
  <r>
    <n v="101307"/>
    <x v="108"/>
    <s v="Otavio Ramos"/>
    <s v="TED"/>
    <x v="4"/>
    <x v="1"/>
    <n v="0"/>
    <n v="792"/>
    <s v="Norte"/>
    <x v="1"/>
    <n v="269.41500000000002"/>
    <d v="2024-04-04T00:00:00"/>
  </r>
  <r>
    <n v="102121"/>
    <x v="76"/>
    <s v="Sandra Vieira"/>
    <s v="CARTÃO DE DÉBITO"/>
    <x v="3"/>
    <x v="1"/>
    <n v="0"/>
    <n v="371"/>
    <s v="Sudeste"/>
    <x v="0"/>
    <n v="196.68"/>
    <d v="2024-04-04T00:00:00"/>
  </r>
  <r>
    <n v="102111"/>
    <x v="34"/>
    <s v="Debora Pinto"/>
    <s v="CARTÃO DE DÉBITO"/>
    <x v="2"/>
    <x v="0"/>
    <n v="10"/>
    <n v="585"/>
    <s v="Sul"/>
    <x v="2"/>
    <n v="160.79"/>
    <d v="2024-04-04T00:00:00"/>
  </r>
  <r>
    <n v="101301"/>
    <x v="243"/>
    <s v="Elaine Ferreira"/>
    <s v="PIX"/>
    <x v="4"/>
    <x v="2"/>
    <n v="0"/>
    <n v="481"/>
    <s v="Centro-Oeste"/>
    <x v="2"/>
    <n v="537.72"/>
    <d v="2024-04-03T00:00:00"/>
  </r>
  <r>
    <n v="101183"/>
    <x v="221"/>
    <s v="Bruno Lima"/>
    <s v="CARTÃO DE CRÉDITO"/>
    <x v="7"/>
    <x v="1"/>
    <n v="0"/>
    <n v="768"/>
    <s v="Norte"/>
    <x v="2"/>
    <n v="341.56"/>
    <d v="2024-04-03T00:00:00"/>
  </r>
  <r>
    <n v="101533"/>
    <x v="248"/>
    <s v="Isabela Nunes"/>
    <s v="PIX"/>
    <x v="4"/>
    <x v="1"/>
    <n v="0"/>
    <n v="841"/>
    <s v="Centro-Oeste"/>
    <x v="1"/>
    <n v="318.14"/>
    <d v="2024-04-03T00:00:00"/>
  </r>
  <r>
    <n v="100253"/>
    <x v="128"/>
    <s v="Lucas Martins"/>
    <s v="BOLETO"/>
    <x v="3"/>
    <x v="0"/>
    <n v="16"/>
    <n v="395"/>
    <s v="Norte"/>
    <x v="2"/>
    <n v="274.01"/>
    <d v="2024-04-03T00:00:00"/>
  </r>
  <r>
    <n v="101312"/>
    <x v="107"/>
    <s v="Carla Mendes"/>
    <s v="PIX"/>
    <x v="4"/>
    <x v="1"/>
    <n v="0"/>
    <n v="893"/>
    <s v="Sul"/>
    <x v="1"/>
    <n v="165.35"/>
    <d v="2024-04-03T00:00:00"/>
  </r>
  <r>
    <n v="101129"/>
    <x v="78"/>
    <s v="Elaine Ferreira"/>
    <s v="PIX"/>
    <x v="4"/>
    <x v="1"/>
    <n v="0"/>
    <n v="409"/>
    <s v="Centro-Oeste"/>
    <x v="1"/>
    <n v="114.09"/>
    <d v="2024-04-02T00:00:00"/>
  </r>
  <r>
    <n v="100152"/>
    <x v="57"/>
    <s v="Fabio Costa"/>
    <s v="PIX"/>
    <x v="2"/>
    <x v="0"/>
    <n v="4"/>
    <n v="328"/>
    <s v="Nordeste"/>
    <x v="0"/>
    <n v="1174.74"/>
    <d v="2024-04-01T00:00:00"/>
  </r>
  <r>
    <n v="101811"/>
    <x v="79"/>
    <s v="Yasmin Araujo"/>
    <s v="PIX"/>
    <x v="4"/>
    <x v="1"/>
    <n v="0"/>
    <n v="752"/>
    <s v="Nordeste"/>
    <x v="0"/>
    <n v="1075.19"/>
    <d v="2024-04-01T00:00:00"/>
  </r>
  <r>
    <n v="100548"/>
    <x v="18"/>
    <s v="Gabriela Rocha"/>
    <s v="PIX"/>
    <x v="4"/>
    <x v="1"/>
    <n v="0"/>
    <n v="466"/>
    <s v="Nordeste"/>
    <x v="0"/>
    <n v="427.53"/>
    <d v="2024-04-01T00:00:00"/>
  </r>
  <r>
    <n v="101295"/>
    <x v="91"/>
    <s v="Nelson Teixeira"/>
    <s v="PIX"/>
    <x v="3"/>
    <x v="1"/>
    <n v="0"/>
    <n v="784"/>
    <s v="Não Informado"/>
    <x v="2"/>
    <n v="216.55"/>
    <d v="2024-04-01T00:00:00"/>
  </r>
  <r>
    <n v="100595"/>
    <x v="165"/>
    <s v="Debora Pinto"/>
    <s v="CARTÃO DE DÉBITO"/>
    <x v="3"/>
    <x v="1"/>
    <n v="0"/>
    <n v="377"/>
    <s v="Sul"/>
    <x v="2"/>
    <n v="70.03"/>
    <d v="2024-04-01T00:00:00"/>
  </r>
  <r>
    <n v="100339"/>
    <x v="45"/>
    <s v="Sandra Vieira"/>
    <s v="TED"/>
    <x v="2"/>
    <x v="1"/>
    <n v="0"/>
    <n v="518"/>
    <s v="Centro-Oeste"/>
    <x v="1"/>
    <n v="1260.92"/>
    <d v="2024-03-31T00:00:00"/>
  </r>
  <r>
    <n v="101496"/>
    <x v="107"/>
    <s v="Carla Mendes"/>
    <s v="CARTÃO DE DÉBITO"/>
    <x v="4"/>
    <x v="3"/>
    <n v="174"/>
    <n v="893"/>
    <s v="Nordeste"/>
    <x v="0"/>
    <n v="558.59"/>
    <d v="2024-03-31T00:00:00"/>
  </r>
  <r>
    <n v="100879"/>
    <x v="33"/>
    <s v="William Santos"/>
    <s v="PIX"/>
    <x v="5"/>
    <x v="1"/>
    <n v="0"/>
    <n v="360"/>
    <s v="Centro-Oeste"/>
    <x v="2"/>
    <n v="434.68"/>
    <d v="2024-03-31T00:00:00"/>
  </r>
  <r>
    <n v="101691"/>
    <x v="220"/>
    <s v="Vanessa Duarte"/>
    <s v="BOLETO"/>
    <x v="4"/>
    <x v="2"/>
    <n v="0"/>
    <n v="542"/>
    <s v="Sudeste"/>
    <x v="2"/>
    <n v="394.21"/>
    <d v="2024-03-31T00:00:00"/>
  </r>
  <r>
    <n v="101157"/>
    <x v="171"/>
    <s v="Debora Pinto"/>
    <s v="TED"/>
    <x v="5"/>
    <x v="2"/>
    <n v="0"/>
    <n v="571"/>
    <s v="Nordeste"/>
    <x v="2"/>
    <n v="358.28"/>
    <d v="2024-03-31T00:00:00"/>
  </r>
  <r>
    <n v="101882"/>
    <x v="110"/>
    <s v="Carla Mendes"/>
    <s v="PIX"/>
    <x v="2"/>
    <x v="2"/>
    <n v="0"/>
    <n v="540"/>
    <s v="Sul"/>
    <x v="2"/>
    <n v="317.73"/>
    <d v="2024-03-31T00:00:00"/>
  </r>
  <r>
    <n v="101702"/>
    <x v="141"/>
    <s v="Otavio Ramos"/>
    <s v="BOLETO"/>
    <x v="5"/>
    <x v="1"/>
    <n v="0"/>
    <n v="746"/>
    <s v="Centro-Oeste"/>
    <x v="1"/>
    <n v="84.22"/>
    <d v="2024-03-31T00:00:00"/>
  </r>
  <r>
    <n v="101123"/>
    <x v="110"/>
    <s v="Carla Mendes"/>
    <s v="CARTÃO DE CRÉDITO"/>
    <x v="0"/>
    <x v="2"/>
    <n v="0"/>
    <n v="540"/>
    <s v="Centro-Oeste"/>
    <x v="0"/>
    <n v="623.34"/>
    <d v="2024-03-30T00:00:00"/>
  </r>
  <r>
    <n v="101879"/>
    <x v="29"/>
    <s v="Carla Mendes"/>
    <s v="CARTÃO DE CRÉDITO"/>
    <x v="7"/>
    <x v="2"/>
    <n v="0"/>
    <n v="394"/>
    <s v="Nordeste"/>
    <x v="1"/>
    <n v="595.57000000000005"/>
    <d v="2024-03-30T00:00:00"/>
  </r>
  <r>
    <n v="102016"/>
    <x v="157"/>
    <s v="Patricia Gomes"/>
    <s v="TED"/>
    <x v="2"/>
    <x v="1"/>
    <n v="0"/>
    <n v="849"/>
    <s v="Centro-Oeste"/>
    <x v="0"/>
    <n v="554.25"/>
    <d v="2024-03-30T00:00:00"/>
  </r>
  <r>
    <n v="100380"/>
    <x v="83"/>
    <s v="Bianca Freitas"/>
    <s v="TED"/>
    <x v="5"/>
    <x v="1"/>
    <n v="0"/>
    <n v="400"/>
    <s v="Sul"/>
    <x v="2"/>
    <n v="387.11"/>
    <d v="2024-03-30T00:00:00"/>
  </r>
  <r>
    <n v="101358"/>
    <x v="250"/>
    <s v="Caio Monteiro"/>
    <s v="PIX"/>
    <x v="2"/>
    <x v="1"/>
    <n v="0"/>
    <n v="864"/>
    <s v="Norte"/>
    <x v="1"/>
    <n v="294.92"/>
    <d v="2024-03-30T00:00:00"/>
  </r>
  <r>
    <n v="101855"/>
    <x v="155"/>
    <s v="Caio Monteiro"/>
    <s v="BOLETO"/>
    <x v="1"/>
    <x v="3"/>
    <n v="31"/>
    <n v="744"/>
    <s v="Sudeste"/>
    <x v="1"/>
    <n v="270.8"/>
    <d v="2024-03-30T00:00:00"/>
  </r>
  <r>
    <n v="100933"/>
    <x v="181"/>
    <s v="Diego Alves"/>
    <s v="CARTÃO DE DÉBITO"/>
    <x v="4"/>
    <x v="1"/>
    <s v="Não Informado"/>
    <n v="534"/>
    <s v="Sul"/>
    <x v="0"/>
    <n v="256.42"/>
    <d v="2024-03-30T00:00:00"/>
  </r>
  <r>
    <n v="101316"/>
    <x v="22"/>
    <s v="Heitor Barbosa"/>
    <s v="PIX"/>
    <x v="3"/>
    <x v="1"/>
    <n v="0"/>
    <n v="607"/>
    <s v="Sudeste"/>
    <x v="1"/>
    <n v="404.43"/>
    <d v="2024-03-29T00:00:00"/>
  </r>
  <r>
    <n v="100382"/>
    <x v="200"/>
    <s v="Sandra Vieira"/>
    <s v="CARTÃO DE CRÉDITO"/>
    <x v="0"/>
    <x v="3"/>
    <n v="84"/>
    <n v="639"/>
    <s v="Nordeste"/>
    <x v="2"/>
    <n v="328.01"/>
    <d v="2024-03-29T00:00:00"/>
  </r>
  <r>
    <n v="100083"/>
    <x v="7"/>
    <s v="Yasmin Araujo"/>
    <s v="BOLETO"/>
    <x v="4"/>
    <x v="2"/>
    <n v="0"/>
    <n v="494"/>
    <s v="Nordeste"/>
    <x v="2"/>
    <n v="177.84"/>
    <d v="2024-03-29T00:00:00"/>
  </r>
  <r>
    <n v="101180"/>
    <x v="188"/>
    <s v="Fabio Costa"/>
    <s v="PIX"/>
    <x v="4"/>
    <x v="1"/>
    <n v="0"/>
    <n v="383"/>
    <s v="Sul"/>
    <x v="1"/>
    <n v="145.99"/>
    <d v="2024-03-29T00:00:00"/>
  </r>
  <r>
    <n v="101648"/>
    <x v="222"/>
    <s v="Otavio Ramos"/>
    <s v="PIX"/>
    <x v="5"/>
    <x v="2"/>
    <n v="0"/>
    <n v="729"/>
    <s v="Sul"/>
    <x v="2"/>
    <n v="137.38999999999999"/>
    <d v="2024-03-29T00:00:00"/>
  </r>
  <r>
    <n v="100948"/>
    <x v="71"/>
    <s v="Caio Monteiro"/>
    <s v="PIX"/>
    <x v="7"/>
    <x v="0"/>
    <n v="6"/>
    <n v="615"/>
    <s v="Sul"/>
    <x v="0"/>
    <n v="121.45"/>
    <d v="2024-03-29T00:00:00"/>
  </r>
  <r>
    <n v="101978"/>
    <x v="83"/>
    <s v="Bianca Freitas"/>
    <s v="TED"/>
    <x v="0"/>
    <x v="2"/>
    <n v="0"/>
    <n v="400"/>
    <s v="Nordeste"/>
    <x v="1"/>
    <n v="675.5"/>
    <d v="2024-03-28T00:00:00"/>
  </r>
  <r>
    <n v="102165"/>
    <x v="27"/>
    <s v="William Santos"/>
    <s v="CARTÃO DE DÉBITO"/>
    <x v="7"/>
    <x v="2"/>
    <n v="0"/>
    <n v="716"/>
    <s v="Sudeste"/>
    <x v="0"/>
    <n v="501.67"/>
    <d v="2024-03-28T00:00:00"/>
  </r>
  <r>
    <n v="101961"/>
    <x v="184"/>
    <s v="Thiago Correia"/>
    <s v="CARTÃO DE CRÉDITO"/>
    <x v="3"/>
    <x v="3"/>
    <n v="86"/>
    <n v="402"/>
    <s v="Norte"/>
    <x v="3"/>
    <n v="424.11"/>
    <d v="2024-03-28T00:00:00"/>
  </r>
  <r>
    <n v="101736"/>
    <x v="154"/>
    <s v="Fabio Costa"/>
    <s v="CARTÃO DE CRÉDITO"/>
    <x v="6"/>
    <x v="3"/>
    <n v="113"/>
    <n v="451"/>
    <s v="Sul"/>
    <x v="1"/>
    <n v="314.52999999999997"/>
    <d v="2024-03-28T00:00:00"/>
  </r>
  <r>
    <n v="100396"/>
    <x v="240"/>
    <s v="Sandra Vieira"/>
    <s v="PIX"/>
    <x v="2"/>
    <x v="1"/>
    <n v="0"/>
    <n v="552"/>
    <s v="Sul"/>
    <x v="2"/>
    <n v="280.3"/>
    <d v="2024-03-28T00:00:00"/>
  </r>
  <r>
    <n v="100154"/>
    <x v="128"/>
    <s v="Lucas Martins"/>
    <s v="BOLETO"/>
    <x v="5"/>
    <x v="1"/>
    <n v="0"/>
    <n v="395"/>
    <s v="Norte"/>
    <x v="0"/>
    <n v="753.79"/>
    <d v="2024-03-27T00:00:00"/>
  </r>
  <r>
    <n v="100053"/>
    <x v="237"/>
    <s v="Debora Pinto"/>
    <s v="CARTÃO DE CRÉDITO"/>
    <x v="3"/>
    <x v="1"/>
    <s v="Não Informado"/>
    <n v="705"/>
    <s v="Sul"/>
    <x v="1"/>
    <n v="615.14"/>
    <d v="2024-03-27T00:00:00"/>
  </r>
  <r>
    <n v="101768"/>
    <x v="201"/>
    <s v="Gabriela Rocha"/>
    <s v="TED"/>
    <x v="7"/>
    <x v="1"/>
    <n v="0"/>
    <n v="876"/>
    <s v="Nordeste"/>
    <x v="0"/>
    <n v="606.91999999999996"/>
    <d v="2024-03-27T00:00:00"/>
  </r>
  <r>
    <n v="100669"/>
    <x v="157"/>
    <s v="Patricia Gomes"/>
    <s v="CARTÃO DE DÉBITO"/>
    <x v="4"/>
    <x v="0"/>
    <n v="9"/>
    <n v="849"/>
    <s v="Norte"/>
    <x v="2"/>
    <n v="559.33000000000004"/>
    <d v="2024-03-27T00:00:00"/>
  </r>
  <r>
    <n v="101167"/>
    <x v="69"/>
    <s v="Ana Souza"/>
    <s v="TED"/>
    <x v="2"/>
    <x v="3"/>
    <n v="98"/>
    <n v="741"/>
    <s v="Sul"/>
    <x v="1"/>
    <n v="513.41999999999996"/>
    <d v="2024-03-27T00:00:00"/>
  </r>
  <r>
    <n v="100002"/>
    <x v="85"/>
    <s v="Ana Souza"/>
    <s v="CARTÃO DE CRÉDITO"/>
    <x v="3"/>
    <x v="1"/>
    <n v="0"/>
    <n v="465"/>
    <s v="Norte"/>
    <x v="0"/>
    <n v="303.13"/>
    <d v="2024-03-27T00:00:00"/>
  </r>
  <r>
    <n v="100403"/>
    <x v="18"/>
    <s v="Gabriela Rocha"/>
    <s v="PIX"/>
    <x v="1"/>
    <x v="1"/>
    <s v="Não Informado"/>
    <n v="466"/>
    <s v="Nordeste"/>
    <x v="1"/>
    <n v="112.68"/>
    <d v="2024-03-27T00:00:00"/>
  </r>
  <r>
    <n v="101230"/>
    <x v="194"/>
    <s v="Heitor Barbosa"/>
    <s v="PIX"/>
    <x v="5"/>
    <x v="0"/>
    <n v="28"/>
    <n v="396"/>
    <s v="Sul"/>
    <x v="1"/>
    <n v="151.4"/>
    <d v="2024-03-26T00:00:00"/>
  </r>
  <r>
    <n v="101714"/>
    <x v="211"/>
    <s v="Elaine Ferreira"/>
    <s v="BOLETO"/>
    <x v="4"/>
    <x v="1"/>
    <n v="0"/>
    <n v="550"/>
    <s v="Nordeste"/>
    <x v="2"/>
    <n v="48.34"/>
    <d v="2024-03-26T00:00:00"/>
  </r>
  <r>
    <n v="100986"/>
    <x v="44"/>
    <s v="Carla Mendes"/>
    <s v="BOLETO"/>
    <x v="2"/>
    <x v="0"/>
    <n v="28"/>
    <n v="528"/>
    <s v="Sudeste"/>
    <x v="2"/>
    <n v="637.41"/>
    <d v="2024-03-25T00:00:00"/>
  </r>
  <r>
    <n v="102025"/>
    <x v="97"/>
    <s v="Sandra Vieira"/>
    <s v="TED"/>
    <x v="2"/>
    <x v="0"/>
    <n v="26"/>
    <n v="688"/>
    <s v="Centro-Oeste"/>
    <x v="1"/>
    <n v="457.68"/>
    <d v="2024-03-24T00:00:00"/>
  </r>
  <r>
    <n v="100106"/>
    <x v="27"/>
    <s v="William Santos"/>
    <s v="CARTÃO DE DÉBITO"/>
    <x v="3"/>
    <x v="0"/>
    <n v="17"/>
    <n v="716"/>
    <s v="Nordeste"/>
    <x v="1"/>
    <n v="427.08"/>
    <d v="2024-03-24T00:00:00"/>
  </r>
  <r>
    <n v="100529"/>
    <x v="181"/>
    <s v="Diego Alves"/>
    <s v="CARTÃO DE CRÉDITO"/>
    <x v="2"/>
    <x v="0"/>
    <n v="14"/>
    <n v="534"/>
    <s v="Centro-Oeste"/>
    <x v="1"/>
    <n v="369.77"/>
    <d v="2024-03-24T00:00:00"/>
  </r>
  <r>
    <n v="101927"/>
    <x v="253"/>
    <s v="William Santos"/>
    <s v="CARTÃO DE DÉBITO"/>
    <x v="3"/>
    <x v="1"/>
    <n v="0"/>
    <n v="657"/>
    <s v="Centro-Oeste"/>
    <x v="1"/>
    <n v="707.04"/>
    <d v="2024-03-23T00:00:00"/>
  </r>
  <r>
    <n v="100006"/>
    <x v="40"/>
    <s v="Lucas Martins"/>
    <s v="TED"/>
    <x v="2"/>
    <x v="1"/>
    <n v="0"/>
    <n v="570"/>
    <s v="Sul"/>
    <x v="1"/>
    <n v="562.28"/>
    <d v="2024-03-23T00:00:00"/>
  </r>
  <r>
    <n v="100977"/>
    <x v="168"/>
    <s v="Sandra Vieira"/>
    <s v="BOLETO"/>
    <x v="2"/>
    <x v="1"/>
    <n v="0"/>
    <n v="567"/>
    <s v="Centro-Oeste"/>
    <x v="1"/>
    <n v="135.87"/>
    <d v="2024-03-23T00:00:00"/>
  </r>
  <r>
    <n v="100269"/>
    <x v="180"/>
    <s v="Vanessa Duarte"/>
    <s v="CARTÃO DE DÉBITO"/>
    <x v="7"/>
    <x v="1"/>
    <n v="0"/>
    <n v="482"/>
    <s v="Sul"/>
    <x v="2"/>
    <n v="1087.79"/>
    <d v="2024-03-22T00:00:00"/>
  </r>
  <r>
    <n v="100936"/>
    <x v="49"/>
    <s v="Patricia Gomes"/>
    <s v="CARTÃO DE DÉBITO"/>
    <x v="0"/>
    <x v="2"/>
    <n v="0"/>
    <n v="691"/>
    <s v="Norte"/>
    <x v="1"/>
    <n v="775.15"/>
    <d v="2024-03-22T00:00:00"/>
  </r>
  <r>
    <n v="100512"/>
    <x v="184"/>
    <s v="Thiago Correia"/>
    <s v="TED"/>
    <x v="7"/>
    <x v="2"/>
    <n v="0"/>
    <n v="402"/>
    <s v="Sul"/>
    <x v="0"/>
    <n v="476.83"/>
    <d v="2024-03-22T00:00:00"/>
  </r>
  <r>
    <n v="102096"/>
    <x v="231"/>
    <s v="Lucas Martins"/>
    <s v="TED"/>
    <x v="7"/>
    <x v="1"/>
    <n v="0"/>
    <n v="315"/>
    <s v="Nordeste"/>
    <x v="1"/>
    <n v="315.27"/>
    <d v="2024-03-22T00:00:00"/>
  </r>
  <r>
    <n v="100954"/>
    <x v="248"/>
    <s v="Isabela Nunes"/>
    <s v="CARTÃO DE CRÉDITO"/>
    <x v="4"/>
    <x v="2"/>
    <n v="0"/>
    <n v="841"/>
    <s v="Norte"/>
    <x v="0"/>
    <n v="145.15"/>
    <d v="2024-03-22T00:00:00"/>
  </r>
  <r>
    <n v="101447"/>
    <x v="70"/>
    <s v="Rafael Pereira"/>
    <s v="BOLETO"/>
    <x v="2"/>
    <x v="2"/>
    <n v="0"/>
    <n v="555"/>
    <s v="Centro-Oeste"/>
    <x v="0"/>
    <n v="30.99"/>
    <d v="2024-03-22T00:00:00"/>
  </r>
  <r>
    <n v="100085"/>
    <x v="173"/>
    <s v="Mariana Cardoso"/>
    <s v="CARTÃO DE CRÉDITO"/>
    <x v="7"/>
    <x v="3"/>
    <n v="81"/>
    <n v="621"/>
    <s v="Norte"/>
    <x v="0"/>
    <n v="578.4"/>
    <d v="2024-03-21T00:00:00"/>
  </r>
  <r>
    <n v="100743"/>
    <x v="57"/>
    <s v="Fabio Costa"/>
    <s v="BOLETO"/>
    <x v="6"/>
    <x v="1"/>
    <n v="0"/>
    <n v="328"/>
    <s v="Norte"/>
    <x v="0"/>
    <n v="338.55"/>
    <d v="2024-03-21T00:00:00"/>
  </r>
  <r>
    <n v="101836"/>
    <x v="220"/>
    <s v="Vanessa Duarte"/>
    <s v="TED"/>
    <x v="1"/>
    <x v="1"/>
    <n v="0"/>
    <n v="542"/>
    <s v="Sudeste"/>
    <x v="1"/>
    <n v="335.92"/>
    <d v="2024-03-21T00:00:00"/>
  </r>
  <r>
    <n v="101201"/>
    <x v="254"/>
    <s v="William Santos"/>
    <s v="CARTÃO DE CRÉDITO"/>
    <x v="4"/>
    <x v="1"/>
    <n v="0"/>
    <n v="369"/>
    <s v="Norte"/>
    <x v="0"/>
    <n v="111.61"/>
    <d v="2024-03-21T00:00:00"/>
  </r>
  <r>
    <n v="101460"/>
    <x v="63"/>
    <s v="Heitor Barbosa"/>
    <s v="PIX"/>
    <x v="5"/>
    <x v="0"/>
    <n v="20"/>
    <n v="509"/>
    <s v="Norte"/>
    <x v="2"/>
    <n v="461.47"/>
    <d v="2024-03-20T00:00:00"/>
  </r>
  <r>
    <n v="101512"/>
    <x v="147"/>
    <s v="Thiago Correia"/>
    <s v="CARTÃO DE CRÉDITO"/>
    <x v="3"/>
    <x v="1"/>
    <n v="0"/>
    <n v="554"/>
    <s v="Sudeste"/>
    <x v="1"/>
    <n v="434.77"/>
    <d v="2024-03-20T00:00:00"/>
  </r>
  <r>
    <n v="100910"/>
    <x v="170"/>
    <s v="Elaine Ferreira"/>
    <s v="TED"/>
    <x v="1"/>
    <x v="1"/>
    <n v="0"/>
    <n v="821"/>
    <s v="Sul"/>
    <x v="2"/>
    <n v="79.540000000000006"/>
    <d v="2024-03-20T00:00:00"/>
  </r>
  <r>
    <n v="101465"/>
    <x v="187"/>
    <s v="Diego Alves"/>
    <s v="PIX"/>
    <x v="2"/>
    <x v="3"/>
    <n v="96"/>
    <n v="301"/>
    <s v="Norte"/>
    <x v="0"/>
    <n v="538.52"/>
    <d v="2024-03-19T00:00:00"/>
  </r>
  <r>
    <n v="100994"/>
    <x v="97"/>
    <s v="Sandra Vieira"/>
    <s v="CARTÃO DE DÉBITO"/>
    <x v="5"/>
    <x v="1"/>
    <n v="0"/>
    <n v="688"/>
    <s v="Norte"/>
    <x v="1"/>
    <n v="354.89"/>
    <d v="2024-03-19T00:00:00"/>
  </r>
  <r>
    <n v="100239"/>
    <x v="61"/>
    <s v="Caio Monteiro"/>
    <s v="BOLETO"/>
    <x v="5"/>
    <x v="0"/>
    <n v="29"/>
    <n v="797"/>
    <s v="Sudeste"/>
    <x v="1"/>
    <n v="237.03"/>
    <d v="2024-03-19T00:00:00"/>
  </r>
  <r>
    <n v="101642"/>
    <x v="136"/>
    <s v="Heitor Barbosa"/>
    <s v="CARTÃO DE DÉBITO"/>
    <x v="0"/>
    <x v="1"/>
    <n v="0"/>
    <n v="607"/>
    <s v="Centro-Oeste"/>
    <x v="1"/>
    <n v="565.74"/>
    <d v="2024-03-18T00:00:00"/>
  </r>
  <r>
    <n v="101948"/>
    <x v="24"/>
    <s v="Rafael Pereira"/>
    <s v="BOLETO"/>
    <x v="7"/>
    <x v="1"/>
    <n v="0"/>
    <n v="458"/>
    <s v="Norte"/>
    <x v="1"/>
    <n v="451.55"/>
    <d v="2024-03-18T00:00:00"/>
  </r>
  <r>
    <n v="101646"/>
    <x v="154"/>
    <s v="Fabio Costa"/>
    <s v="CARTÃO DE CRÉDITO"/>
    <x v="5"/>
    <x v="2"/>
    <n v="0"/>
    <n v="451"/>
    <s v="Norte"/>
    <x v="1"/>
    <m/>
    <d v="2024-03-18T00:00:00"/>
  </r>
  <r>
    <n v="101815"/>
    <x v="47"/>
    <s v="Gabriela Rocha"/>
    <s v="CARTÃO DE CRÉDITO"/>
    <x v="7"/>
    <x v="0"/>
    <n v="29"/>
    <n v="733"/>
    <s v="Centro-Oeste"/>
    <x v="1"/>
    <n v="546.38"/>
    <d v="2024-03-17T00:00:00"/>
  </r>
  <r>
    <n v="101034"/>
    <x v="209"/>
    <s v="Heitor Barbosa"/>
    <s v="CARTÃO DE CRÉDITO"/>
    <x v="7"/>
    <x v="1"/>
    <n v="0"/>
    <n v="851"/>
    <s v="Não Informado"/>
    <x v="2"/>
    <n v="305.37"/>
    <d v="2024-03-17T00:00:00"/>
  </r>
  <r>
    <n v="101234"/>
    <x v="138"/>
    <s v="Thiago Correia"/>
    <s v="BOLETO"/>
    <x v="2"/>
    <x v="1"/>
    <n v="0"/>
    <n v="592"/>
    <s v="Sul"/>
    <x v="1"/>
    <n v="112.76"/>
    <d v="2024-03-17T00:00:00"/>
  </r>
  <r>
    <n v="100614"/>
    <x v="110"/>
    <s v="Carla Mendes"/>
    <s v="PIX"/>
    <x v="3"/>
    <x v="3"/>
    <n v="50"/>
    <n v="540"/>
    <s v="Sul"/>
    <x v="2"/>
    <n v="709.96"/>
    <d v="2024-03-16T00:00:00"/>
  </r>
  <r>
    <n v="100832"/>
    <x v="184"/>
    <s v="Thiago Correia"/>
    <s v="PIX"/>
    <x v="4"/>
    <x v="0"/>
    <n v="21"/>
    <n v="402"/>
    <s v="Centro-Oeste"/>
    <x v="2"/>
    <n v="442.71"/>
    <d v="2024-03-16T00:00:00"/>
  </r>
  <r>
    <n v="100769"/>
    <x v="24"/>
    <s v="Rafael Pereira"/>
    <s v="PIX"/>
    <x v="4"/>
    <x v="1"/>
    <n v="0"/>
    <n v="458"/>
    <s v="Centro-Oeste"/>
    <x v="1"/>
    <n v="441.86"/>
    <d v="2024-03-16T00:00:00"/>
  </r>
  <r>
    <n v="100047"/>
    <x v="100"/>
    <s v="Nelson Teixeira"/>
    <s v="CARTÃO DE DÉBITO"/>
    <x v="4"/>
    <x v="0"/>
    <n v="11"/>
    <n v="557"/>
    <s v="Norte"/>
    <x v="1"/>
    <n v="357.87"/>
    <d v="2024-03-16T00:00:00"/>
  </r>
  <r>
    <n v="100156"/>
    <x v="111"/>
    <s v="Debora Pinto"/>
    <s v="TED"/>
    <x v="1"/>
    <x v="1"/>
    <n v="0"/>
    <n v="849"/>
    <s v="Norte"/>
    <x v="1"/>
    <n v="457.39"/>
    <d v="2024-03-15T00:00:00"/>
  </r>
  <r>
    <n v="100177"/>
    <x v="236"/>
    <s v="Yasmin Araujo"/>
    <s v="CARTÃO DE CRÉDITO"/>
    <x v="4"/>
    <x v="2"/>
    <n v="0"/>
    <n v="370"/>
    <s v="Centro-Oeste"/>
    <x v="1"/>
    <n v="417.38"/>
    <d v="2024-03-15T00:00:00"/>
  </r>
  <r>
    <n v="100003"/>
    <x v="159"/>
    <s v="Não Informado"/>
    <s v="CARTÃO DE CRÉDITO"/>
    <x v="0"/>
    <x v="1"/>
    <n v="0"/>
    <n v="375"/>
    <s v="Centro-Oeste"/>
    <x v="1"/>
    <n v="281.64"/>
    <d v="2024-03-15T00:00:00"/>
  </r>
  <r>
    <n v="100959"/>
    <x v="256"/>
    <s v="William Santos"/>
    <s v="TED"/>
    <x v="2"/>
    <x v="1"/>
    <n v="0"/>
    <n v="422"/>
    <s v="Sul"/>
    <x v="1"/>
    <n v="689.46"/>
    <d v="2024-03-14T00:00:00"/>
  </r>
  <r>
    <n v="100492"/>
    <x v="98"/>
    <s v="Bianca Freitas"/>
    <s v="CARTÃO DE CRÉDITO"/>
    <x v="1"/>
    <x v="1"/>
    <n v="0"/>
    <n v="443"/>
    <s v="Sudeste"/>
    <x v="1"/>
    <n v="516.92999999999995"/>
    <d v="2024-03-14T00:00:00"/>
  </r>
  <r>
    <n v="101891"/>
    <x v="213"/>
    <s v="Debora Pinto"/>
    <s v="CARTÃO DE CRÉDITO"/>
    <x v="0"/>
    <x v="1"/>
    <n v="0"/>
    <n v="585"/>
    <s v="Centro-Oeste"/>
    <x v="0"/>
    <n v="195.85"/>
    <d v="2024-03-14T00:00:00"/>
  </r>
  <r>
    <n v="100232"/>
    <x v="111"/>
    <s v="Debora Pinto"/>
    <s v="BOLETO"/>
    <x v="3"/>
    <x v="1"/>
    <n v="0"/>
    <n v="849"/>
    <s v="Nordeste"/>
    <x v="2"/>
    <n v="717.53"/>
    <d v="2024-03-13T00:00:00"/>
  </r>
  <r>
    <n v="101459"/>
    <x v="226"/>
    <s v="Diego Alves"/>
    <s v="BOLETO"/>
    <x v="2"/>
    <x v="2"/>
    <n v="0"/>
    <n v="781"/>
    <s v="Norte"/>
    <x v="2"/>
    <n v="528.62"/>
    <d v="2024-03-13T00:00:00"/>
  </r>
  <r>
    <n v="100519"/>
    <x v="27"/>
    <s v="William Santos"/>
    <s v="CARTÃO DE CRÉDITO"/>
    <x v="3"/>
    <x v="3"/>
    <n v="40"/>
    <n v="716"/>
    <s v="Sudeste"/>
    <x v="2"/>
    <n v="385.22"/>
    <d v="2024-03-13T00:00:00"/>
  </r>
  <r>
    <n v="100896"/>
    <x v="126"/>
    <s v="Rafael Pereira"/>
    <s v="BOLETO"/>
    <x v="2"/>
    <x v="1"/>
    <n v="0"/>
    <n v="345"/>
    <s v="Sul"/>
    <x v="1"/>
    <n v="381.29"/>
    <d v="2024-03-13T00:00:00"/>
  </r>
  <r>
    <n v="101454"/>
    <x v="212"/>
    <s v="Yasmin Araujo"/>
    <s v="CARTÃO DE CRÉDITO"/>
    <x v="7"/>
    <x v="1"/>
    <s v="Não Informado"/>
    <n v="874"/>
    <s v="Norte"/>
    <x v="1"/>
    <n v="608.41999999999996"/>
    <d v="2024-03-12T00:00:00"/>
  </r>
  <r>
    <n v="100626"/>
    <x v="104"/>
    <s v="Diego Alves"/>
    <s v="TED"/>
    <x v="2"/>
    <x v="1"/>
    <n v="0"/>
    <n v="405"/>
    <s v="Nordeste"/>
    <x v="1"/>
    <n v="398.21"/>
    <d v="2024-03-12T00:00:00"/>
  </r>
  <r>
    <n v="100332"/>
    <x v="64"/>
    <s v="Nelson Teixeira"/>
    <s v="TED"/>
    <x v="4"/>
    <x v="1"/>
    <n v="0"/>
    <n v="732"/>
    <s v="Norte"/>
    <x v="2"/>
    <n v="340.55"/>
    <d v="2024-03-12T00:00:00"/>
  </r>
  <r>
    <n v="101797"/>
    <x v="158"/>
    <s v="Heitor Barbosa"/>
    <s v="BOLETO"/>
    <x v="6"/>
    <x v="2"/>
    <n v="0"/>
    <n v="771"/>
    <s v="Centro-Oeste"/>
    <x v="1"/>
    <m/>
    <d v="2024-03-11T00:00:00"/>
  </r>
  <r>
    <n v="101974"/>
    <x v="197"/>
    <s v="Mariana Cardoso"/>
    <s v="CARTÃO DE DÉBITO"/>
    <x v="6"/>
    <x v="1"/>
    <n v="0"/>
    <n v="897"/>
    <s v="Nordeste"/>
    <x v="0"/>
    <n v="182.14"/>
    <d v="2024-03-10T00:00:00"/>
  </r>
  <r>
    <n v="101755"/>
    <x v="166"/>
    <s v="Bianca Freitas"/>
    <s v="CARTÃO DE CRÉDITO"/>
    <x v="2"/>
    <x v="1"/>
    <n v="0"/>
    <n v="490"/>
    <s v="Norte"/>
    <x v="2"/>
    <n v="63.08"/>
    <d v="2024-03-10T00:00:00"/>
  </r>
  <r>
    <n v="101902"/>
    <x v="247"/>
    <s v="Debora Pinto"/>
    <s v="PIX"/>
    <x v="4"/>
    <x v="0"/>
    <n v="22"/>
    <n v="452"/>
    <s v="Sudeste"/>
    <x v="1"/>
    <n v="787.72"/>
    <d v="2024-03-09T00:00:00"/>
  </r>
  <r>
    <n v="100758"/>
    <x v="0"/>
    <s v="Heitor Barbosa"/>
    <s v="TED"/>
    <x v="2"/>
    <x v="1"/>
    <n v="0"/>
    <n v="826"/>
    <s v="Norte"/>
    <x v="1"/>
    <n v="377.06"/>
    <d v="2024-03-09T00:00:00"/>
  </r>
  <r>
    <n v="101915"/>
    <x v="200"/>
    <s v="Sandra Vieira"/>
    <s v="TED"/>
    <x v="3"/>
    <x v="1"/>
    <n v="0"/>
    <n v="639"/>
    <s v="Sudeste"/>
    <x v="1"/>
    <n v="340.65"/>
    <d v="2024-03-09T00:00:00"/>
  </r>
  <r>
    <n v="100627"/>
    <x v="97"/>
    <s v="Sandra Vieira"/>
    <s v="BOLETO"/>
    <x v="0"/>
    <x v="0"/>
    <n v="22"/>
    <n v="688"/>
    <s v="Centro-Oeste"/>
    <x v="0"/>
    <n v="318.7"/>
    <d v="2024-03-09T00:00:00"/>
  </r>
  <r>
    <n v="101391"/>
    <x v="160"/>
    <s v="Otavio Ramos"/>
    <s v="CARTÃO DE DÉBITO"/>
    <x v="3"/>
    <x v="1"/>
    <n v="0"/>
    <n v="740"/>
    <s v="Nordeste"/>
    <x v="1"/>
    <n v="271.95999999999998"/>
    <d v="2024-03-09T00:00:00"/>
  </r>
  <r>
    <n v="101450"/>
    <x v="3"/>
    <s v="William Santos"/>
    <s v="BOLETO"/>
    <x v="0"/>
    <x v="2"/>
    <n v="0"/>
    <n v="818"/>
    <s v="Nordeste"/>
    <x v="0"/>
    <n v="53.55"/>
    <d v="2024-03-08T00:00:00"/>
  </r>
  <r>
    <n v="100488"/>
    <x v="131"/>
    <s v="William Santos"/>
    <s v="CARTÃO DE CRÉDITO"/>
    <x v="0"/>
    <x v="3"/>
    <n v="161"/>
    <n v="355"/>
    <s v="Centro-Oeste"/>
    <x v="0"/>
    <n v="721.44"/>
    <d v="2024-03-07T00:00:00"/>
  </r>
  <r>
    <n v="102141"/>
    <x v="116"/>
    <s v="William Santos"/>
    <s v="CARTÃO DE DÉBITO"/>
    <x v="0"/>
    <x v="3"/>
    <n v="174"/>
    <n v="898"/>
    <s v="Centro-Oeste"/>
    <x v="1"/>
    <n v="334.27"/>
    <d v="2024-03-07T00:00:00"/>
  </r>
  <r>
    <n v="101673"/>
    <x v="104"/>
    <s v="Não Informado"/>
    <s v="PIX"/>
    <x v="3"/>
    <x v="1"/>
    <n v="0"/>
    <n v="405"/>
    <s v="Centro-Oeste"/>
    <x v="0"/>
    <n v="313.49"/>
    <d v="2024-03-07T00:00:00"/>
  </r>
  <r>
    <n v="100428"/>
    <x v="182"/>
    <s v="Gabriela Rocha"/>
    <s v="TED"/>
    <x v="5"/>
    <x v="2"/>
    <n v="0"/>
    <n v="358"/>
    <s v="Sudeste"/>
    <x v="1"/>
    <n v="240.03"/>
    <d v="2024-03-07T00:00:00"/>
  </r>
  <r>
    <n v="101400"/>
    <x v="153"/>
    <s v="Diego Alves"/>
    <s v="PIX"/>
    <x v="1"/>
    <x v="2"/>
    <n v="0"/>
    <n v="797"/>
    <s v="Norte"/>
    <x v="2"/>
    <n v="489.36"/>
    <d v="2024-03-06T00:00:00"/>
  </r>
  <r>
    <n v="100342"/>
    <x v="208"/>
    <s v="Heitor Barbosa"/>
    <s v="CARTÃO DE CRÉDITO"/>
    <x v="5"/>
    <x v="1"/>
    <n v="0"/>
    <n v="418"/>
    <s v="Nordeste"/>
    <x v="1"/>
    <n v="353.91"/>
    <d v="2024-03-06T00:00:00"/>
  </r>
  <r>
    <n v="101291"/>
    <x v="73"/>
    <s v="Mariana Cardoso"/>
    <s v="PIX"/>
    <x v="7"/>
    <x v="1"/>
    <n v="0"/>
    <n v="583"/>
    <s v="Nordeste"/>
    <x v="2"/>
    <n v="263.14999999999998"/>
    <d v="2024-03-06T00:00:00"/>
  </r>
  <r>
    <n v="100603"/>
    <x v="197"/>
    <s v="Mariana Cardoso"/>
    <s v="PIX"/>
    <x v="1"/>
    <x v="3"/>
    <n v="68"/>
    <n v="897"/>
    <s v="Centro-Oeste"/>
    <x v="0"/>
    <n v="78.31"/>
    <d v="2024-03-06T00:00:00"/>
  </r>
  <r>
    <n v="101076"/>
    <x v="112"/>
    <s v="Sandra Vieira"/>
    <s v="CARTÃO DE DÉBITO"/>
    <x v="6"/>
    <x v="2"/>
    <n v="0"/>
    <n v="638"/>
    <s v="Centro-Oeste"/>
    <x v="0"/>
    <n v="555.53"/>
    <d v="2024-03-05T00:00:00"/>
  </r>
  <r>
    <n v="100139"/>
    <x v="197"/>
    <s v="Mariana Cardoso"/>
    <s v="CARTÃO DE DÉBITO"/>
    <x v="3"/>
    <x v="1"/>
    <n v="0"/>
    <n v="897"/>
    <s v="Norte"/>
    <x v="1"/>
    <n v="532.37"/>
    <d v="2024-03-05T00:00:00"/>
  </r>
  <r>
    <n v="100714"/>
    <x v="171"/>
    <s v="Debora Pinto"/>
    <s v="BOLETO"/>
    <x v="0"/>
    <x v="2"/>
    <n v="0"/>
    <n v="571"/>
    <s v="Nordeste"/>
    <x v="1"/>
    <n v="492.86"/>
    <d v="2024-03-05T00:00:00"/>
  </r>
  <r>
    <n v="101709"/>
    <x v="38"/>
    <s v="William Santos"/>
    <s v="TED"/>
    <x v="2"/>
    <x v="3"/>
    <n v="70"/>
    <n v="662"/>
    <s v="Centro-Oeste"/>
    <x v="1"/>
    <n v="491.18"/>
    <d v="2024-03-05T00:00:00"/>
  </r>
  <r>
    <n v="100653"/>
    <x v="40"/>
    <s v="Lucas Martins"/>
    <s v="PIX"/>
    <x v="1"/>
    <x v="0"/>
    <n v="21"/>
    <n v="570"/>
    <s v="Sul"/>
    <x v="0"/>
    <n v="268.01"/>
    <d v="2024-03-05T00:00:00"/>
  </r>
  <r>
    <n v="100262"/>
    <x v="176"/>
    <s v="Lucas Martins"/>
    <s v="PIX"/>
    <x v="3"/>
    <x v="1"/>
    <n v="0"/>
    <n v="765"/>
    <s v="Nordeste"/>
    <x v="1"/>
    <n v="153.81"/>
    <d v="2024-03-05T00:00:00"/>
  </r>
  <r>
    <n v="101328"/>
    <x v="112"/>
    <s v="Não Informado"/>
    <s v="BOLETO"/>
    <x v="2"/>
    <x v="2"/>
    <n v="0"/>
    <n v="638"/>
    <s v="Sudeste"/>
    <x v="2"/>
    <n v="832.94"/>
    <d v="2024-03-04T00:00:00"/>
  </r>
  <r>
    <n v="101900"/>
    <x v="209"/>
    <s v="Heitor Barbosa"/>
    <s v="TED"/>
    <x v="0"/>
    <x v="1"/>
    <n v="0"/>
    <n v="851"/>
    <s v="Centro-Oeste"/>
    <x v="1"/>
    <n v="804.46"/>
    <d v="2024-03-04T00:00:00"/>
  </r>
  <r>
    <n v="100301"/>
    <x v="246"/>
    <s v="Otavio Ramos"/>
    <s v="PIX"/>
    <x v="2"/>
    <x v="1"/>
    <n v="0"/>
    <n v="351"/>
    <s v="Centro-Oeste"/>
    <x v="1"/>
    <n v="158.58000000000001"/>
    <d v="2024-03-04T00:00:00"/>
  </r>
  <r>
    <n v="101178"/>
    <x v="72"/>
    <s v="Nelson Teixeira"/>
    <s v="BOLETO"/>
    <x v="6"/>
    <x v="2"/>
    <n v="0"/>
    <n v="894"/>
    <s v="Nordeste"/>
    <x v="1"/>
    <n v="144.88999999999999"/>
    <d v="2024-03-04T00:00:00"/>
  </r>
  <r>
    <n v="100224"/>
    <x v="217"/>
    <s v="Joao Pedro Dias"/>
    <s v="PIX"/>
    <x v="7"/>
    <x v="0"/>
    <n v="7"/>
    <n v="359"/>
    <s v="Norte"/>
    <x v="1"/>
    <n v="37.58"/>
    <d v="2024-03-04T00:00:00"/>
  </r>
  <r>
    <n v="101586"/>
    <x v="109"/>
    <s v="Sandra Vieira"/>
    <s v="BOLETO"/>
    <x v="2"/>
    <x v="2"/>
    <n v="0"/>
    <n v="733"/>
    <s v="Não Informado"/>
    <x v="0"/>
    <n v="130.94999999999999"/>
    <d v="2024-03-03T00:00:00"/>
  </r>
  <r>
    <n v="101596"/>
    <x v="162"/>
    <s v="Mariana Cardoso"/>
    <s v="PIX"/>
    <x v="7"/>
    <x v="1"/>
    <s v="Não Informado"/>
    <n v="360"/>
    <s v="Centro-Oeste"/>
    <x v="1"/>
    <n v="39.729999999999997"/>
    <d v="2024-03-03T00:00:00"/>
  </r>
  <r>
    <n v="101568"/>
    <x v="116"/>
    <s v="William Santos"/>
    <s v="TED"/>
    <x v="0"/>
    <x v="2"/>
    <n v="0"/>
    <n v="898"/>
    <s v="Sul"/>
    <x v="1"/>
    <n v="578.63"/>
    <d v="2024-03-02T00:00:00"/>
  </r>
  <r>
    <n v="101278"/>
    <x v="157"/>
    <s v="Patricia Gomes"/>
    <s v="PIX"/>
    <x v="2"/>
    <x v="1"/>
    <n v="0"/>
    <n v="849"/>
    <s v="Nordeste"/>
    <x v="0"/>
    <n v="462.92"/>
    <d v="2024-03-02T00:00:00"/>
  </r>
  <r>
    <n v="101418"/>
    <x v="206"/>
    <s v="Carla Mendes"/>
    <s v="PIX"/>
    <x v="5"/>
    <x v="1"/>
    <n v="0"/>
    <n v="468"/>
    <s v="Nordeste"/>
    <x v="2"/>
    <n v="454.12"/>
    <d v="2024-03-02T00:00:00"/>
  </r>
  <r>
    <n v="100280"/>
    <x v="214"/>
    <s v="Lucas Martins"/>
    <s v="TED"/>
    <x v="1"/>
    <x v="1"/>
    <n v="0"/>
    <n v="494"/>
    <s v="Nordeste"/>
    <x v="1"/>
    <n v="418.5"/>
    <d v="2024-03-02T00:00:00"/>
  </r>
  <r>
    <n v="101953"/>
    <x v="239"/>
    <s v="Diego Alves"/>
    <s v="PIX"/>
    <x v="4"/>
    <x v="0"/>
    <n v="2"/>
    <n v="853"/>
    <s v="Sul"/>
    <x v="3"/>
    <n v="212.27"/>
    <d v="2024-03-02T00:00:00"/>
  </r>
  <r>
    <n v="100306"/>
    <x v="136"/>
    <s v="Heitor Barbosa"/>
    <s v="TED"/>
    <x v="2"/>
    <x v="1"/>
    <n v="0"/>
    <n v="607"/>
    <s v="Sudeste"/>
    <x v="0"/>
    <n v="197.97"/>
    <d v="2024-03-02T00:00:00"/>
  </r>
  <r>
    <n v="101357"/>
    <x v="157"/>
    <s v="Patricia Gomes"/>
    <s v="BOLETO"/>
    <x v="1"/>
    <x v="1"/>
    <n v="0"/>
    <n v="849"/>
    <s v="Nordeste"/>
    <x v="0"/>
    <n v="165.12"/>
    <d v="2024-03-02T00:00:00"/>
  </r>
  <r>
    <n v="101131"/>
    <x v="123"/>
    <s v="Carla Mendes"/>
    <s v="PIX"/>
    <x v="2"/>
    <x v="1"/>
    <n v="0"/>
    <n v="636"/>
    <s v="Sudeste"/>
    <x v="2"/>
    <n v="105.97"/>
    <d v="2024-03-02T00:00:00"/>
  </r>
  <r>
    <n v="101092"/>
    <x v="187"/>
    <s v="Diego Alves"/>
    <s v="PIX"/>
    <x v="2"/>
    <x v="2"/>
    <n v="0"/>
    <n v="301"/>
    <s v="Centro-Oeste"/>
    <x v="1"/>
    <n v="751.69"/>
    <d v="2024-03-01T00:00:00"/>
  </r>
  <r>
    <n v="101458"/>
    <x v="153"/>
    <s v="Diego Alves"/>
    <s v="CARTÃO DE CRÉDITO"/>
    <x v="0"/>
    <x v="1"/>
    <n v="0"/>
    <n v="797"/>
    <s v="Sul"/>
    <x v="1"/>
    <n v="505.82"/>
    <d v="2024-03-01T00:00:00"/>
  </r>
  <r>
    <n v="100146"/>
    <x v="182"/>
    <s v="Gabriela Rocha"/>
    <s v="CARTÃO DE CRÉDITO"/>
    <x v="1"/>
    <x v="1"/>
    <n v="0"/>
    <n v="358"/>
    <s v="Sul"/>
    <x v="1"/>
    <n v="476.12"/>
    <d v="2024-03-01T00:00:00"/>
  </r>
  <r>
    <n v="101542"/>
    <x v="40"/>
    <s v="Lucas Martins"/>
    <s v="TED"/>
    <x v="3"/>
    <x v="2"/>
    <n v="0"/>
    <n v="570"/>
    <s v="Nordeste"/>
    <x v="1"/>
    <n v="289.95999999999998"/>
    <d v="2024-02-29T00:00:00"/>
  </r>
  <r>
    <n v="100202"/>
    <x v="199"/>
    <s v="Debora Pinto"/>
    <s v="BOLETO"/>
    <x v="0"/>
    <x v="1"/>
    <n v="0"/>
    <n v="411"/>
    <s v="Centro-Oeste"/>
    <x v="0"/>
    <n v="232.96"/>
    <d v="2024-02-29T00:00:00"/>
  </r>
  <r>
    <n v="102178"/>
    <x v="121"/>
    <s v="Isabela Nunes"/>
    <s v="CARTÃO DE DÉBITO"/>
    <x v="5"/>
    <x v="2"/>
    <n v="0"/>
    <n v="585"/>
    <s v="Sudeste"/>
    <x v="2"/>
    <n v="869.29"/>
    <d v="2024-02-28T00:00:00"/>
  </r>
  <r>
    <n v="101160"/>
    <x v="138"/>
    <s v="Thiago Correia"/>
    <s v="TED"/>
    <x v="3"/>
    <x v="0"/>
    <n v="23"/>
    <n v="592"/>
    <s v="Norte"/>
    <x v="1"/>
    <n v="727.54"/>
    <d v="2024-02-28T00:00:00"/>
  </r>
  <r>
    <n v="101469"/>
    <x v="259"/>
    <s v="Ana Souza"/>
    <s v="PIX"/>
    <x v="3"/>
    <x v="1"/>
    <n v="0"/>
    <n v="369"/>
    <s v="Sudeste"/>
    <x v="2"/>
    <n v="674.42"/>
    <d v="2024-02-28T00:00:00"/>
  </r>
  <r>
    <n v="100254"/>
    <x v="235"/>
    <s v="Sandra Vieira"/>
    <s v="BOLETO"/>
    <x v="4"/>
    <x v="2"/>
    <n v="0"/>
    <n v="609"/>
    <s v="Centro-Oeste"/>
    <x v="2"/>
    <n v="545.16"/>
    <d v="2024-02-28T00:00:00"/>
  </r>
  <r>
    <n v="101373"/>
    <x v="197"/>
    <s v="Mariana Cardoso"/>
    <s v="BOLETO"/>
    <x v="0"/>
    <x v="2"/>
    <n v="0"/>
    <n v="897"/>
    <s v="Nordeste"/>
    <x v="2"/>
    <n v="469.1"/>
    <d v="2024-02-28T00:00:00"/>
  </r>
  <r>
    <n v="100810"/>
    <x v="131"/>
    <s v="William Santos"/>
    <s v="CARTÃO DE DÉBITO"/>
    <x v="3"/>
    <x v="2"/>
    <n v="0"/>
    <n v="355"/>
    <s v="Não Informado"/>
    <x v="1"/>
    <n v="272.42"/>
    <d v="2024-02-28T00:00:00"/>
  </r>
  <r>
    <n v="101482"/>
    <x v="144"/>
    <s v="Debora Pinto"/>
    <s v="BOLETO"/>
    <x v="3"/>
    <x v="1"/>
    <n v="0"/>
    <n v="522"/>
    <s v="Centro-Oeste"/>
    <x v="0"/>
    <n v="505.31"/>
    <d v="2024-02-27T00:00:00"/>
  </r>
  <r>
    <n v="101096"/>
    <x v="167"/>
    <s v="Ana Souza"/>
    <s v="BOLETO"/>
    <x v="1"/>
    <x v="1"/>
    <n v="0"/>
    <n v="573"/>
    <s v="Centro-Oeste"/>
    <x v="1"/>
    <n v="393.94"/>
    <d v="2024-02-27T00:00:00"/>
  </r>
  <r>
    <n v="101258"/>
    <x v="121"/>
    <s v="Isabela Nunes"/>
    <s v="BOLETO"/>
    <x v="1"/>
    <x v="1"/>
    <n v="0"/>
    <n v="585"/>
    <s v="Sul"/>
    <x v="2"/>
    <n v="90.56"/>
    <d v="2024-02-27T00:00:00"/>
  </r>
  <r>
    <n v="101964"/>
    <x v="220"/>
    <s v="Vanessa Duarte"/>
    <s v="BOLETO"/>
    <x v="3"/>
    <x v="0"/>
    <n v="25"/>
    <n v="542"/>
    <s v="Centro-Oeste"/>
    <x v="1"/>
    <n v="419.04"/>
    <d v="2024-02-26T00:00:00"/>
  </r>
  <r>
    <n v="100478"/>
    <x v="150"/>
    <s v="William Santos"/>
    <s v="PIX"/>
    <x v="4"/>
    <x v="1"/>
    <n v="0"/>
    <n v="699"/>
    <s v="Norte"/>
    <x v="2"/>
    <n v="327.54000000000002"/>
    <d v="2024-02-26T00:00:00"/>
  </r>
  <r>
    <n v="102152"/>
    <x v="76"/>
    <s v="Sandra Vieira"/>
    <s v="CARTÃO DE CRÉDITO"/>
    <x v="0"/>
    <x v="2"/>
    <n v="0"/>
    <n v="371"/>
    <s v="Nordeste"/>
    <x v="2"/>
    <n v="290"/>
    <d v="2024-02-26T00:00:00"/>
  </r>
  <r>
    <n v="100370"/>
    <x v="89"/>
    <s v="Debora Pinto"/>
    <s v="TED"/>
    <x v="1"/>
    <x v="0"/>
    <n v="29"/>
    <n v="414"/>
    <s v="Sudeste"/>
    <x v="1"/>
    <n v="108.13"/>
    <d v="2024-02-26T00:00:00"/>
  </r>
  <r>
    <n v="102093"/>
    <x v="99"/>
    <s v="Diego Alves"/>
    <s v="BOLETO"/>
    <x v="4"/>
    <x v="2"/>
    <s v="Não Informado"/>
    <n v="651"/>
    <s v="Norte"/>
    <x v="1"/>
    <n v="61.54"/>
    <d v="2024-02-26T00:00:00"/>
  </r>
  <r>
    <n v="101710"/>
    <x v="165"/>
    <s v="Debora Pinto"/>
    <s v="CARTÃO DE CRÉDITO"/>
    <x v="4"/>
    <x v="1"/>
    <n v="0"/>
    <n v="377"/>
    <s v="Nordeste"/>
    <x v="1"/>
    <n v="726.16"/>
    <d v="2024-02-25T00:00:00"/>
  </r>
  <r>
    <n v="100018"/>
    <x v="92"/>
    <s v="Rafael Pereira"/>
    <s v="PIX"/>
    <x v="1"/>
    <x v="1"/>
    <s v="Não Informado"/>
    <n v="866"/>
    <s v="Sul"/>
    <x v="2"/>
    <n v="269.25"/>
    <d v="2024-02-25T00:00:00"/>
  </r>
  <r>
    <n v="100914"/>
    <x v="19"/>
    <s v="Elaine Ferreira"/>
    <s v="BOLETO"/>
    <x v="1"/>
    <x v="1"/>
    <n v="0"/>
    <n v="508"/>
    <s v="Nordeste"/>
    <x v="2"/>
    <n v="182.95"/>
    <d v="2024-02-23T00:00:00"/>
  </r>
  <r>
    <n v="101402"/>
    <x v="259"/>
    <s v="Ana Souza"/>
    <s v="CARTÃO DE CRÉDITO"/>
    <x v="2"/>
    <x v="2"/>
    <n v="0"/>
    <n v="369"/>
    <s v="Centro-Oeste"/>
    <x v="0"/>
    <m/>
    <d v="2024-02-23T00:00:00"/>
  </r>
  <r>
    <n v="101327"/>
    <x v="38"/>
    <s v="William Santos"/>
    <s v="CARTÃO DE CRÉDITO"/>
    <x v="2"/>
    <x v="1"/>
    <n v="0"/>
    <n v="662"/>
    <s v="Norte"/>
    <x v="2"/>
    <n v="692.52"/>
    <d v="2024-02-22T00:00:00"/>
  </r>
  <r>
    <n v="102167"/>
    <x v="85"/>
    <s v="Ana Souza"/>
    <s v="BOLETO"/>
    <x v="4"/>
    <x v="0"/>
    <n v="23"/>
    <n v="465"/>
    <s v="Nordeste"/>
    <x v="2"/>
    <n v="650.41999999999996"/>
    <d v="2024-02-22T00:00:00"/>
  </r>
  <r>
    <n v="100050"/>
    <x v="195"/>
    <s v="Joao Pedro Dias"/>
    <s v="BOLETO"/>
    <x v="4"/>
    <x v="2"/>
    <n v="0"/>
    <n v="873"/>
    <s v="Norte"/>
    <x v="0"/>
    <n v="431.7"/>
    <d v="2024-02-22T00:00:00"/>
  </r>
  <r>
    <n v="100027"/>
    <x v="33"/>
    <s v="William Santos"/>
    <s v="TED"/>
    <x v="3"/>
    <x v="1"/>
    <n v="0"/>
    <n v="360"/>
    <s v="Nordeste"/>
    <x v="1"/>
    <n v="308.35000000000002"/>
    <d v="2024-02-22T00:00:00"/>
  </r>
  <r>
    <n v="100564"/>
    <x v="42"/>
    <s v="Lucas Martins"/>
    <s v="TED"/>
    <x v="2"/>
    <x v="3"/>
    <n v="59"/>
    <n v="527"/>
    <s v="Nordeste"/>
    <x v="0"/>
    <n v="149.88999999999999"/>
    <d v="2024-02-22T00:00:00"/>
  </r>
  <r>
    <n v="101959"/>
    <x v="4"/>
    <s v="Bianca Freitas"/>
    <s v="TED"/>
    <x v="7"/>
    <x v="1"/>
    <n v="0"/>
    <n v="623"/>
    <s v="Norte"/>
    <x v="2"/>
    <n v="532.16"/>
    <d v="2024-02-21T00:00:00"/>
  </r>
  <r>
    <n v="100913"/>
    <x v="222"/>
    <s v="Otavio Ramos"/>
    <s v="PIX"/>
    <x v="1"/>
    <x v="0"/>
    <n v="3"/>
    <n v="729"/>
    <s v="Norte"/>
    <x v="0"/>
    <n v="414.96"/>
    <d v="2024-02-21T00:00:00"/>
  </r>
  <r>
    <n v="100327"/>
    <x v="122"/>
    <s v="Mariana Cardoso"/>
    <s v="BOLETO"/>
    <x v="1"/>
    <x v="0"/>
    <n v="13"/>
    <n v="435"/>
    <s v="Sudeste"/>
    <x v="1"/>
    <n v="242.74"/>
    <d v="2024-02-21T00:00:00"/>
  </r>
  <r>
    <n v="102143"/>
    <x v="54"/>
    <s v="Heitor Barbosa"/>
    <s v="CARTÃO DE DÉBITO"/>
    <x v="5"/>
    <x v="1"/>
    <n v="0"/>
    <n v="621"/>
    <s v="Nordeste"/>
    <x v="2"/>
    <n v="420.86"/>
    <d v="2024-02-20T00:00:00"/>
  </r>
  <r>
    <n v="100206"/>
    <x v="103"/>
    <s v="Ana Souza"/>
    <s v="BOLETO"/>
    <x v="1"/>
    <x v="2"/>
    <n v="0"/>
    <n v="819"/>
    <s v="Sudeste"/>
    <x v="1"/>
    <n v="188.48"/>
    <d v="2024-02-19T00:00:00"/>
  </r>
  <r>
    <n v="101057"/>
    <x v="222"/>
    <s v="Otavio Ramos"/>
    <s v="PIX"/>
    <x v="3"/>
    <x v="1"/>
    <n v="0"/>
    <n v="729"/>
    <s v="Sul"/>
    <x v="1"/>
    <n v="173.63"/>
    <d v="2024-02-19T00:00:00"/>
  </r>
  <r>
    <n v="100624"/>
    <x v="56"/>
    <s v="Mariana Cardoso"/>
    <s v="PIX"/>
    <x v="2"/>
    <x v="1"/>
    <n v="0"/>
    <n v="418"/>
    <s v="Nordeste"/>
    <x v="2"/>
    <n v="1149.21"/>
    <d v="2024-02-18T00:00:00"/>
  </r>
  <r>
    <n v="100475"/>
    <x v="42"/>
    <s v="Lucas Martins"/>
    <s v="CARTÃO DE CRÉDITO"/>
    <x v="2"/>
    <x v="1"/>
    <n v="0"/>
    <n v="527"/>
    <s v="Centro-Oeste"/>
    <x v="2"/>
    <n v="271.36"/>
    <d v="2024-02-18T00:00:00"/>
  </r>
  <r>
    <n v="100225"/>
    <x v="72"/>
    <s v="Nelson Teixeira"/>
    <s v="PIX"/>
    <x v="2"/>
    <x v="2"/>
    <n v="0"/>
    <n v="894"/>
    <s v="Centro-Oeste"/>
    <x v="2"/>
    <n v="222.58"/>
    <d v="2024-02-18T00:00:00"/>
  </r>
  <r>
    <n v="100265"/>
    <x v="151"/>
    <s v="Heitor Barbosa"/>
    <s v="CARTÃO DE DÉBITO"/>
    <x v="7"/>
    <x v="1"/>
    <n v="0"/>
    <n v="855"/>
    <s v="Sudeste"/>
    <x v="3"/>
    <n v="221.74"/>
    <d v="2024-02-18T00:00:00"/>
  </r>
  <r>
    <n v="101517"/>
    <x v="138"/>
    <s v="Thiago Correia"/>
    <s v="BOLETO"/>
    <x v="7"/>
    <x v="1"/>
    <n v="0"/>
    <n v="592"/>
    <s v="Sudeste"/>
    <x v="1"/>
    <n v="1086.6400000000001"/>
    <d v="2024-02-17T00:00:00"/>
  </r>
  <r>
    <n v="101361"/>
    <x v="81"/>
    <s v="Bruno Lima"/>
    <s v="PIX"/>
    <x v="4"/>
    <x v="2"/>
    <n v="0"/>
    <n v="658"/>
    <s v="Sul"/>
    <x v="1"/>
    <n v="976.06"/>
    <d v="2024-02-17T00:00:00"/>
  </r>
  <r>
    <n v="101716"/>
    <x v="102"/>
    <s v="Ana Souza"/>
    <s v="CARTÃO DE DÉBITO"/>
    <x v="0"/>
    <x v="2"/>
    <n v="0"/>
    <n v="430"/>
    <s v="Nordeste"/>
    <x v="0"/>
    <n v="313.3"/>
    <d v="2024-02-17T00:00:00"/>
  </r>
  <r>
    <n v="102107"/>
    <x v="11"/>
    <s v="Yasmin Araujo"/>
    <s v="TED"/>
    <x v="0"/>
    <x v="1"/>
    <n v="0"/>
    <n v="694"/>
    <s v="Sudeste"/>
    <x v="2"/>
    <n v="297.18"/>
    <d v="2024-02-17T00:00:00"/>
  </r>
  <r>
    <n v="101395"/>
    <x v="15"/>
    <s v="Caio Monteiro"/>
    <s v="TED"/>
    <x v="6"/>
    <x v="1"/>
    <n v="0"/>
    <n v="585"/>
    <s v="Centro-Oeste"/>
    <x v="1"/>
    <n v="260.93"/>
    <d v="2024-02-17T00:00:00"/>
  </r>
  <r>
    <n v="100622"/>
    <x v="98"/>
    <s v="Bianca Freitas"/>
    <s v="TED"/>
    <x v="2"/>
    <x v="1"/>
    <n v="0"/>
    <n v="443"/>
    <s v="Centro-Oeste"/>
    <x v="1"/>
    <n v="257.22000000000003"/>
    <d v="2024-02-17T00:00:00"/>
  </r>
  <r>
    <n v="100768"/>
    <x v="157"/>
    <s v="Patricia Gomes"/>
    <s v="CARTÃO DE CRÉDITO"/>
    <x v="4"/>
    <x v="1"/>
    <n v="0"/>
    <n v="849"/>
    <s v="Não Informado"/>
    <x v="1"/>
    <n v="218.77"/>
    <d v="2024-02-17T00:00:00"/>
  </r>
  <r>
    <n v="100487"/>
    <x v="144"/>
    <s v="Debora Pinto"/>
    <s v="BOLETO"/>
    <x v="7"/>
    <x v="2"/>
    <n v="0"/>
    <n v="522"/>
    <s v="Norte"/>
    <x v="0"/>
    <m/>
    <d v="2024-02-17T00:00:00"/>
  </r>
  <r>
    <n v="101423"/>
    <x v="222"/>
    <s v="Otavio Ramos"/>
    <s v="BOLETO"/>
    <x v="3"/>
    <x v="1"/>
    <n v="0"/>
    <n v="729"/>
    <s v="Nordeste"/>
    <x v="1"/>
    <n v="1038.1099999999999"/>
    <d v="2024-02-16T00:00:00"/>
  </r>
  <r>
    <n v="100971"/>
    <x v="28"/>
    <s v="Lucas Martins"/>
    <s v="PIX"/>
    <x v="6"/>
    <x v="1"/>
    <n v="0"/>
    <n v="843"/>
    <s v="Sul"/>
    <x v="1"/>
    <n v="680.08"/>
    <d v="2024-02-16T00:00:00"/>
  </r>
  <r>
    <n v="100423"/>
    <x v="66"/>
    <s v="Mariana Cardoso"/>
    <s v="TED"/>
    <x v="4"/>
    <x v="3"/>
    <n v="95"/>
    <n v="351"/>
    <s v="Norte"/>
    <x v="2"/>
    <n v="466.14"/>
    <d v="2024-02-16T00:00:00"/>
  </r>
  <r>
    <n v="101036"/>
    <x v="86"/>
    <s v="Isabela Nunes"/>
    <s v="CARTÃO DE CRÉDITO"/>
    <x v="7"/>
    <x v="1"/>
    <n v="0"/>
    <n v="382"/>
    <s v="Norte"/>
    <x v="0"/>
    <n v="376.87"/>
    <d v="2024-02-16T00:00:00"/>
  </r>
  <r>
    <n v="100233"/>
    <x v="34"/>
    <s v="Debora Pinto"/>
    <s v="CARTÃO DE CRÉDITO"/>
    <x v="3"/>
    <x v="1"/>
    <n v="0"/>
    <n v="585"/>
    <s v="Nordeste"/>
    <x v="1"/>
    <n v="233.32"/>
    <d v="2024-02-16T00:00:00"/>
  </r>
  <r>
    <n v="100665"/>
    <x v="104"/>
    <s v="Diego Alves"/>
    <s v="CARTÃO DE CRÉDITO"/>
    <x v="6"/>
    <x v="3"/>
    <n v="94"/>
    <n v="405"/>
    <s v="Sudeste"/>
    <x v="1"/>
    <n v="97.03"/>
    <d v="2024-02-16T00:00:00"/>
  </r>
  <r>
    <n v="101475"/>
    <x v="143"/>
    <s v="Elaine Ferreira"/>
    <s v="TED"/>
    <x v="3"/>
    <x v="2"/>
    <n v="0"/>
    <n v="543"/>
    <s v="Centro-Oeste"/>
    <x v="1"/>
    <n v="95.32"/>
    <d v="2024-02-16T00:00:00"/>
  </r>
  <r>
    <n v="100204"/>
    <x v="153"/>
    <s v="Diego Alves"/>
    <s v="PIX"/>
    <x v="7"/>
    <x v="1"/>
    <n v="0"/>
    <n v="797"/>
    <s v="Não Informado"/>
    <x v="2"/>
    <n v="90.88"/>
    <d v="2024-02-16T00:00:00"/>
  </r>
  <r>
    <n v="101607"/>
    <x v="16"/>
    <s v="Bianca Freitas"/>
    <s v="TED"/>
    <x v="4"/>
    <x v="1"/>
    <n v="0"/>
    <n v="778"/>
    <s v="Norte"/>
    <x v="1"/>
    <n v="2521.8200000000002"/>
    <d v="2024-02-15T00:00:00"/>
  </r>
  <r>
    <n v="100824"/>
    <x v="130"/>
    <s v="Bruno Lima"/>
    <s v="PIX"/>
    <x v="2"/>
    <x v="3"/>
    <n v="67"/>
    <n v="515"/>
    <s v="Norte"/>
    <x v="1"/>
    <n v="1467.88"/>
    <d v="2024-02-15T00:00:00"/>
  </r>
  <r>
    <n v="101817"/>
    <x v="172"/>
    <s v="Caio Monteiro"/>
    <s v="BOLETO"/>
    <x v="3"/>
    <x v="3"/>
    <n v="103"/>
    <n v="892"/>
    <s v="Centro-Oeste"/>
    <x v="1"/>
    <n v="791.72"/>
    <d v="2024-02-15T00:00:00"/>
  </r>
  <r>
    <n v="100074"/>
    <x v="27"/>
    <s v="William Santos"/>
    <s v="CARTÃO DE CRÉDITO"/>
    <x v="1"/>
    <x v="1"/>
    <n v="0"/>
    <n v="716"/>
    <s v="Norte"/>
    <x v="3"/>
    <n v="556.91999999999996"/>
    <d v="2024-02-15T00:00:00"/>
  </r>
  <r>
    <n v="101717"/>
    <x v="20"/>
    <s v="Elaine Ferreira"/>
    <s v="BOLETO"/>
    <x v="3"/>
    <x v="1"/>
    <n v="0"/>
    <n v="591"/>
    <s v="Norte"/>
    <x v="1"/>
    <n v="450.12"/>
    <d v="2024-02-15T00:00:00"/>
  </r>
  <r>
    <n v="100459"/>
    <x v="32"/>
    <s v="Carla Mendes"/>
    <s v="PIX"/>
    <x v="1"/>
    <x v="1"/>
    <n v="0"/>
    <n v="324"/>
    <s v="Centro-Oeste"/>
    <x v="0"/>
    <n v="224.4"/>
    <d v="2024-02-15T00:00:00"/>
  </r>
  <r>
    <n v="100137"/>
    <x v="8"/>
    <s v="Sandra Vieira"/>
    <s v="BOLETO"/>
    <x v="3"/>
    <x v="1"/>
    <n v="0"/>
    <n v="339"/>
    <s v="Sudeste"/>
    <x v="0"/>
    <m/>
    <d v="2024-02-15T00:00:00"/>
  </r>
  <r>
    <n v="100576"/>
    <x v="241"/>
    <s v="Ana Souza"/>
    <s v="PIX"/>
    <x v="2"/>
    <x v="2"/>
    <n v="0"/>
    <n v="339"/>
    <s v="Sul"/>
    <x v="1"/>
    <n v="811"/>
    <d v="2024-02-14T00:00:00"/>
  </r>
  <r>
    <n v="101017"/>
    <x v="48"/>
    <s v="Mariana Cardoso"/>
    <s v="CARTÃO DE CRÉDITO"/>
    <x v="4"/>
    <x v="0"/>
    <n v="14"/>
    <n v="733"/>
    <s v="Nordeste"/>
    <x v="0"/>
    <n v="477.28"/>
    <d v="2024-02-14T00:00:00"/>
  </r>
  <r>
    <n v="101592"/>
    <x v="93"/>
    <s v="Fabio Costa"/>
    <s v="CARTÃO DE CRÉDITO"/>
    <x v="3"/>
    <x v="2"/>
    <n v="0"/>
    <n v="814"/>
    <s v="Nordeste"/>
    <x v="3"/>
    <n v="446.84"/>
    <d v="2024-02-14T00:00:00"/>
  </r>
  <r>
    <n v="100917"/>
    <x v="104"/>
    <s v="Diego Alves"/>
    <s v="TED"/>
    <x v="3"/>
    <x v="1"/>
    <n v="0"/>
    <n v="405"/>
    <s v="Centro-Oeste"/>
    <x v="1"/>
    <n v="1039.33"/>
    <d v="2024-02-13T00:00:00"/>
  </r>
  <r>
    <n v="100868"/>
    <x v="179"/>
    <s v="Isabela Nunes"/>
    <s v="BOLETO"/>
    <x v="2"/>
    <x v="2"/>
    <n v="0"/>
    <n v="309"/>
    <s v="Sul"/>
    <x v="1"/>
    <n v="478.8"/>
    <d v="2024-02-13T00:00:00"/>
  </r>
  <r>
    <n v="102120"/>
    <x v="258"/>
    <s v="Carla Mendes"/>
    <s v="CARTÃO DE CRÉDITO"/>
    <x v="4"/>
    <x v="3"/>
    <n v="105"/>
    <n v="716"/>
    <s v="Sul"/>
    <x v="1"/>
    <n v="406.67"/>
    <d v="2024-02-13T00:00:00"/>
  </r>
  <r>
    <n v="101805"/>
    <x v="182"/>
    <s v="Gabriela Rocha"/>
    <s v="BOLETO"/>
    <x v="0"/>
    <x v="2"/>
    <n v="0"/>
    <n v="358"/>
    <s v="Sul"/>
    <x v="1"/>
    <n v="373.75"/>
    <d v="2024-02-13T00:00:00"/>
  </r>
  <r>
    <n v="100980"/>
    <x v="107"/>
    <s v="Carla Mendes"/>
    <s v="TED"/>
    <x v="1"/>
    <x v="1"/>
    <n v="0"/>
    <n v="893"/>
    <s v="Centro-Oeste"/>
    <x v="2"/>
    <n v="310.95999999999998"/>
    <d v="2024-02-13T00:00:00"/>
  </r>
  <r>
    <n v="100799"/>
    <x v="113"/>
    <s v="Caio Monteiro"/>
    <s v="PIX"/>
    <x v="5"/>
    <x v="0"/>
    <n v="19"/>
    <n v="308"/>
    <s v="Sudeste"/>
    <x v="1"/>
    <n v="278.01"/>
    <d v="2024-02-13T00:00:00"/>
  </r>
  <r>
    <n v="101544"/>
    <x v="241"/>
    <s v="Ana Souza"/>
    <s v="BOLETO"/>
    <x v="1"/>
    <x v="1"/>
    <n v="0"/>
    <n v="339"/>
    <s v="Nordeste"/>
    <x v="0"/>
    <n v="91.905000000000001"/>
    <d v="2024-02-13T00:00:00"/>
  </r>
  <r>
    <n v="100075"/>
    <x v="50"/>
    <s v="Gabriela Rocha"/>
    <s v="CARTÃO DE DÉBITO"/>
    <x v="0"/>
    <x v="1"/>
    <n v="0"/>
    <n v="621"/>
    <s v="Nordeste"/>
    <x v="2"/>
    <n v="812.52"/>
    <d v="2024-02-12T00:00:00"/>
  </r>
  <r>
    <n v="100821"/>
    <x v="187"/>
    <s v="Diego Alves"/>
    <s v="TED"/>
    <x v="1"/>
    <x v="3"/>
    <n v="53"/>
    <n v="301"/>
    <s v="Nordeste"/>
    <x v="1"/>
    <n v="741.79"/>
    <d v="2024-02-12T00:00:00"/>
  </r>
  <r>
    <n v="101285"/>
    <x v="208"/>
    <s v="Heitor Barbosa"/>
    <s v="TED"/>
    <x v="0"/>
    <x v="0"/>
    <n v="5"/>
    <n v="418"/>
    <s v="Centro-Oeste"/>
    <x v="1"/>
    <n v="522.69000000000005"/>
    <d v="2024-02-12T00:00:00"/>
  </r>
  <r>
    <n v="100012"/>
    <x v="24"/>
    <s v="Rafael Pereira"/>
    <s v="CARTÃO DE DÉBITO"/>
    <x v="4"/>
    <x v="1"/>
    <n v="0"/>
    <n v="458"/>
    <s v="Norte"/>
    <x v="2"/>
    <n v="419.36"/>
    <d v="2024-02-12T00:00:00"/>
  </r>
  <r>
    <n v="100950"/>
    <x v="255"/>
    <s v="Isabela Nunes"/>
    <s v="BOLETO"/>
    <x v="0"/>
    <x v="2"/>
    <n v="0"/>
    <n v="496"/>
    <s v="Centro-Oeste"/>
    <x v="1"/>
    <n v="410.59"/>
    <d v="2024-02-12T00:00:00"/>
  </r>
  <r>
    <n v="102164"/>
    <x v="90"/>
    <s v="Elaine Ferreira"/>
    <s v="CARTÃO DE DÉBITO"/>
    <x v="2"/>
    <x v="1"/>
    <n v="0"/>
    <n v="659"/>
    <s v="Nordeste"/>
    <x v="1"/>
    <n v="262.86"/>
    <d v="2024-02-12T00:00:00"/>
  </r>
  <r>
    <n v="100526"/>
    <x v="159"/>
    <s v="Bianca Freitas"/>
    <s v="CARTÃO DE CRÉDITO"/>
    <x v="2"/>
    <x v="1"/>
    <n v="0"/>
    <n v="375"/>
    <s v="Sul"/>
    <x v="1"/>
    <n v="192.005"/>
    <d v="2024-02-12T00:00:00"/>
  </r>
  <r>
    <n v="101788"/>
    <x v="26"/>
    <s v="Diego Alves"/>
    <s v="CARTÃO DE DÉBITO"/>
    <x v="7"/>
    <x v="0"/>
    <n v="17"/>
    <n v="710"/>
    <s v="Centro-Oeste"/>
    <x v="0"/>
    <n v="167.8"/>
    <d v="2024-02-12T00:00:00"/>
  </r>
  <r>
    <n v="100353"/>
    <x v="203"/>
    <s v="Karina Silva"/>
    <s v="PIX"/>
    <x v="0"/>
    <x v="2"/>
    <n v="0"/>
    <n v="336"/>
    <s v="Sudeste"/>
    <x v="0"/>
    <n v="854.54"/>
    <d v="2024-02-11T00:00:00"/>
  </r>
  <r>
    <n v="100586"/>
    <x v="115"/>
    <s v="Karina Silva"/>
    <s v="BOLETO"/>
    <x v="4"/>
    <x v="1"/>
    <n v="0"/>
    <n v="487"/>
    <s v="Centro-Oeste"/>
    <x v="0"/>
    <n v="199.91"/>
    <d v="2024-02-11T00:00:00"/>
  </r>
  <r>
    <n v="100727"/>
    <x v="90"/>
    <s v="Elaine Ferreira"/>
    <s v="CARTÃO DE CRÉDITO"/>
    <x v="0"/>
    <x v="1"/>
    <n v="0"/>
    <n v="659"/>
    <s v="Norte"/>
    <x v="1"/>
    <n v="177.4"/>
    <d v="2024-02-11T00:00:00"/>
  </r>
  <r>
    <n v="100010"/>
    <x v="18"/>
    <s v="Gabriela Rocha"/>
    <s v="CARTÃO DE CRÉDITO"/>
    <x v="1"/>
    <x v="1"/>
    <n v="0"/>
    <n v="466"/>
    <s v="Sul"/>
    <x v="1"/>
    <n v="50.94"/>
    <d v="2024-02-11T00:00:00"/>
  </r>
  <r>
    <n v="101917"/>
    <x v="163"/>
    <s v="Bruno Lima"/>
    <s v="PIX"/>
    <x v="2"/>
    <x v="2"/>
    <n v="0"/>
    <n v="548"/>
    <s v="Nordeste"/>
    <x v="1"/>
    <n v="949.34"/>
    <d v="2024-02-10T00:00:00"/>
  </r>
  <r>
    <n v="101503"/>
    <x v="17"/>
    <s v="Rafael Pereira"/>
    <s v="BOLETO"/>
    <x v="7"/>
    <x v="1"/>
    <n v="0"/>
    <n v="554"/>
    <s v="Sul"/>
    <x v="2"/>
    <n v="780.24"/>
    <d v="2024-02-10T00:00:00"/>
  </r>
  <r>
    <n v="102149"/>
    <x v="240"/>
    <s v="Sandra Vieira"/>
    <s v="BOLETO"/>
    <x v="7"/>
    <x v="1"/>
    <n v="0"/>
    <n v="552"/>
    <s v="Centro-Oeste"/>
    <x v="1"/>
    <n v="627.97"/>
    <d v="2024-02-10T00:00:00"/>
  </r>
  <r>
    <n v="100890"/>
    <x v="224"/>
    <s v="Não Informado"/>
    <s v="TED"/>
    <x v="1"/>
    <x v="1"/>
    <n v="0"/>
    <n v="483"/>
    <s v="Norte"/>
    <x v="0"/>
    <n v="464.26"/>
    <d v="2024-02-10T00:00:00"/>
  </r>
  <r>
    <n v="101304"/>
    <x v="216"/>
    <s v="William Santos"/>
    <s v="CARTÃO DE DÉBITO"/>
    <x v="2"/>
    <x v="1"/>
    <s v="Não Informado"/>
    <n v="835"/>
    <s v="Nordeste"/>
    <x v="2"/>
    <n v="255.62"/>
    <d v="2024-02-10T00:00:00"/>
  </r>
  <r>
    <n v="101261"/>
    <x v="83"/>
    <s v="Bianca Freitas"/>
    <s v="CARTÃO DE CRÉDITO"/>
    <x v="5"/>
    <x v="1"/>
    <n v="0"/>
    <n v="400"/>
    <s v="Sul"/>
    <x v="0"/>
    <n v="242.78"/>
    <d v="2024-02-10T00:00:00"/>
  </r>
  <r>
    <n v="100248"/>
    <x v="220"/>
    <s v="Vanessa Duarte"/>
    <s v="CARTÃO DE DÉBITO"/>
    <x v="4"/>
    <x v="1"/>
    <n v="0"/>
    <n v="542"/>
    <s v="Sudeste"/>
    <x v="2"/>
    <n v="978.95"/>
    <d v="2024-02-09T00:00:00"/>
  </r>
  <r>
    <n v="100675"/>
    <x v="40"/>
    <s v="Lucas Martins"/>
    <s v="CARTÃO DE CRÉDITO"/>
    <x v="6"/>
    <x v="2"/>
    <s v="Não Informado"/>
    <n v="570"/>
    <s v="Norte"/>
    <x v="2"/>
    <n v="616.22"/>
    <d v="2024-02-09T00:00:00"/>
  </r>
  <r>
    <n v="101028"/>
    <x v="170"/>
    <s v="Elaine Ferreira"/>
    <s v="TED"/>
    <x v="2"/>
    <x v="0"/>
    <n v="22"/>
    <n v="821"/>
    <s v="Norte"/>
    <x v="1"/>
    <n v="312.33"/>
    <d v="2024-02-09T00:00:00"/>
  </r>
  <r>
    <n v="100155"/>
    <x v="100"/>
    <s v="Nelson Teixeira"/>
    <s v="BOLETO"/>
    <x v="5"/>
    <x v="1"/>
    <n v="0"/>
    <n v="557"/>
    <s v="Não Informado"/>
    <x v="1"/>
    <n v="190.28"/>
    <d v="2024-02-09T00:00:00"/>
  </r>
  <r>
    <n v="102005"/>
    <x v="213"/>
    <s v="Debora Pinto"/>
    <s v="TED"/>
    <x v="5"/>
    <x v="1"/>
    <n v="0"/>
    <n v="585"/>
    <s v="Norte"/>
    <x v="2"/>
    <n v="536.82000000000005"/>
    <d v="2024-02-08T00:00:00"/>
  </r>
  <r>
    <n v="100592"/>
    <x v="239"/>
    <s v="Diego Alves"/>
    <s v="CARTÃO DE CRÉDITO"/>
    <x v="2"/>
    <x v="1"/>
    <n v="0"/>
    <n v="853"/>
    <s v="Sul"/>
    <x v="1"/>
    <n v="345.43"/>
    <d v="2024-02-08T00:00:00"/>
  </r>
  <r>
    <n v="101515"/>
    <x v="186"/>
    <s v="Diego Alves"/>
    <s v="BOLETO"/>
    <x v="1"/>
    <x v="1"/>
    <n v="0"/>
    <n v="737"/>
    <s v="Nordeste"/>
    <x v="1"/>
    <n v="1082.1199999999999"/>
    <d v="2024-02-07T00:00:00"/>
  </r>
  <r>
    <n v="100604"/>
    <x v="42"/>
    <s v="Lucas Martins"/>
    <s v="CARTÃO DE CRÉDITO"/>
    <x v="2"/>
    <x v="3"/>
    <n v="79"/>
    <n v="527"/>
    <s v="Centro-Oeste"/>
    <x v="1"/>
    <n v="845.64"/>
    <d v="2024-02-07T00:00:00"/>
  </r>
  <r>
    <n v="100314"/>
    <x v="137"/>
    <s v="Caio Monteiro"/>
    <s v="BOLETO"/>
    <x v="1"/>
    <x v="2"/>
    <n v="0"/>
    <n v="332"/>
    <s v="Sudeste"/>
    <x v="0"/>
    <n v="649.20000000000005"/>
    <d v="2024-02-07T00:00:00"/>
  </r>
  <r>
    <n v="101487"/>
    <x v="231"/>
    <s v="Lucas Martins"/>
    <s v="TED"/>
    <x v="0"/>
    <x v="2"/>
    <n v="0"/>
    <n v="315"/>
    <s v="Sudeste"/>
    <x v="2"/>
    <n v="500.42"/>
    <d v="2024-02-07T00:00:00"/>
  </r>
  <r>
    <n v="101941"/>
    <x v="104"/>
    <s v="Diego Alves"/>
    <s v="CARTÃO DE DÉBITO"/>
    <x v="1"/>
    <x v="1"/>
    <n v="0"/>
    <n v="405"/>
    <s v="Nordeste"/>
    <x v="0"/>
    <n v="421.85"/>
    <d v="2024-02-07T00:00:00"/>
  </r>
  <r>
    <n v="100735"/>
    <x v="162"/>
    <s v="Mariana Cardoso"/>
    <s v="TED"/>
    <x v="5"/>
    <x v="0"/>
    <n v="18"/>
    <n v="360"/>
    <s v="Centro-Oeste"/>
    <x v="1"/>
    <n v="406.14"/>
    <d v="2024-02-07T00:00:00"/>
  </r>
  <r>
    <n v="101610"/>
    <x v="227"/>
    <s v="Heitor Barbosa"/>
    <s v="CARTÃO DE DÉBITO"/>
    <x v="0"/>
    <x v="3"/>
    <n v="171"/>
    <n v="461"/>
    <s v="Sul"/>
    <x v="1"/>
    <n v="324.93"/>
    <d v="2024-02-07T00:00:00"/>
  </r>
  <r>
    <n v="100662"/>
    <x v="117"/>
    <s v="Nelson Teixeira"/>
    <s v="BOLETO"/>
    <x v="5"/>
    <x v="1"/>
    <n v="0"/>
    <n v="712"/>
    <s v="Sudeste"/>
    <x v="2"/>
    <n v="650.54999999999995"/>
    <d v="2024-02-06T00:00:00"/>
  </r>
  <r>
    <n v="100838"/>
    <x v="80"/>
    <s v="Isabela Nunes"/>
    <s v="CARTÃO DE DÉBITO"/>
    <x v="0"/>
    <x v="1"/>
    <n v="0"/>
    <n v="433"/>
    <s v="Sudeste"/>
    <x v="1"/>
    <n v="239.49"/>
    <d v="2024-02-06T00:00:00"/>
  </r>
  <r>
    <n v="102000"/>
    <x v="201"/>
    <s v="Não Informado"/>
    <s v="CARTÃO DE DÉBITO"/>
    <x v="0"/>
    <x v="1"/>
    <n v="0"/>
    <n v="876"/>
    <s v="Sul"/>
    <x v="2"/>
    <m/>
    <d v="2024-02-06T00:00:00"/>
  </r>
  <r>
    <n v="101644"/>
    <x v="16"/>
    <s v="Bianca Freitas"/>
    <s v="PIX"/>
    <x v="4"/>
    <x v="0"/>
    <n v="24"/>
    <n v="778"/>
    <s v="Nordeste"/>
    <x v="0"/>
    <n v="974.95"/>
    <d v="2024-02-05T00:00:00"/>
  </r>
  <r>
    <n v="101289"/>
    <x v="248"/>
    <s v="Isabela Nunes"/>
    <s v="BOLETO"/>
    <x v="1"/>
    <x v="2"/>
    <n v="0"/>
    <n v="841"/>
    <s v="Centro-Oeste"/>
    <x v="2"/>
    <n v="508.39"/>
    <d v="2024-02-05T00:00:00"/>
  </r>
  <r>
    <n v="102133"/>
    <x v="248"/>
    <s v="Não Informado"/>
    <s v="CARTÃO DE DÉBITO"/>
    <x v="0"/>
    <x v="2"/>
    <n v="0"/>
    <n v="841"/>
    <s v="Sudeste"/>
    <x v="1"/>
    <n v="300.45999999999998"/>
    <d v="2024-02-05T00:00:00"/>
  </r>
  <r>
    <n v="100535"/>
    <x v="242"/>
    <s v="William Santos"/>
    <s v="BOLETO"/>
    <x v="2"/>
    <x v="1"/>
    <n v="0"/>
    <n v="570"/>
    <s v="Nordeste"/>
    <x v="1"/>
    <n v="90.88"/>
    <d v="2024-02-05T00:00:00"/>
  </r>
  <r>
    <n v="100803"/>
    <x v="89"/>
    <s v="Debora Pinto"/>
    <s v="CARTÃO DE CRÉDITO"/>
    <x v="5"/>
    <x v="0"/>
    <n v="11"/>
    <n v="414"/>
    <s v="Norte"/>
    <x v="2"/>
    <n v="869.49"/>
    <d v="2024-02-04T00:00:00"/>
  </r>
  <r>
    <n v="100725"/>
    <x v="162"/>
    <s v="Mariana Cardoso"/>
    <s v="TED"/>
    <x v="3"/>
    <x v="1"/>
    <s v="Não Informado"/>
    <n v="360"/>
    <s v="Sudeste"/>
    <x v="0"/>
    <n v="541.96"/>
    <d v="2024-02-04T00:00:00"/>
  </r>
  <r>
    <n v="101445"/>
    <x v="177"/>
    <s v="Otavio Ramos"/>
    <s v="CARTÃO DE CRÉDITO"/>
    <x v="1"/>
    <x v="1"/>
    <n v="0"/>
    <n v="411"/>
    <s v="Centro-Oeste"/>
    <x v="1"/>
    <n v="350.47"/>
    <d v="2024-02-04T00:00:00"/>
  </r>
  <r>
    <n v="100609"/>
    <x v="55"/>
    <s v="Carla Mendes"/>
    <s v="CARTÃO DE CRÉDITO"/>
    <x v="2"/>
    <x v="1"/>
    <n v="0"/>
    <n v="616"/>
    <s v="Sudeste"/>
    <x v="1"/>
    <n v="357.39499999999998"/>
    <d v="2024-02-03T00:00:00"/>
  </r>
  <r>
    <n v="100124"/>
    <x v="149"/>
    <s v="Carla Mendes"/>
    <s v="BOLETO"/>
    <x v="5"/>
    <x v="1"/>
    <n v="0"/>
    <n v="769"/>
    <s v="Nordeste"/>
    <x v="1"/>
    <n v="126.01"/>
    <d v="2024-02-03T00:00:00"/>
  </r>
  <r>
    <n v="100643"/>
    <x v="136"/>
    <s v="Heitor Barbosa"/>
    <s v="TED"/>
    <x v="4"/>
    <x v="1"/>
    <n v="0"/>
    <n v="607"/>
    <s v="Nordeste"/>
    <x v="1"/>
    <n v="687.8"/>
    <d v="2024-02-02T00:00:00"/>
  </r>
  <r>
    <n v="100670"/>
    <x v="243"/>
    <s v="Elaine Ferreira"/>
    <s v="CARTÃO DE CRÉDITO"/>
    <x v="4"/>
    <x v="1"/>
    <n v="0"/>
    <n v="481"/>
    <s v="Sudeste"/>
    <x v="0"/>
    <m/>
    <d v="2024-02-02T00:00:00"/>
  </r>
  <r>
    <n v="102023"/>
    <x v="202"/>
    <s v="Rafael Pereira"/>
    <s v="PIX"/>
    <x v="7"/>
    <x v="0"/>
    <n v="6"/>
    <n v="641"/>
    <s v="Nordeste"/>
    <x v="0"/>
    <n v="567.64"/>
    <d v="2024-02-01T00:00:00"/>
  </r>
  <r>
    <n v="100874"/>
    <x v="87"/>
    <s v="Karina Silva"/>
    <s v="CARTÃO DE DÉBITO"/>
    <x v="5"/>
    <x v="0"/>
    <n v="28"/>
    <n v="672"/>
    <s v="Sudeste"/>
    <x v="0"/>
    <n v="561.80999999999995"/>
    <d v="2024-02-01T00:00:00"/>
  </r>
  <r>
    <n v="101601"/>
    <x v="26"/>
    <s v="Diego Alves"/>
    <s v="PIX"/>
    <x v="4"/>
    <x v="1"/>
    <n v="0"/>
    <n v="710"/>
    <s v="Sul"/>
    <x v="2"/>
    <n v="37.770000000000003"/>
    <d v="2024-02-01T00:00:00"/>
  </r>
  <r>
    <n v="102004"/>
    <x v="144"/>
    <s v="Debora Pinto"/>
    <s v="PIX"/>
    <x v="3"/>
    <x v="2"/>
    <n v="0"/>
    <n v="522"/>
    <s v="Sul"/>
    <x v="1"/>
    <n v="364.14"/>
    <d v="2024-01-31T00:00:00"/>
  </r>
  <r>
    <n v="100304"/>
    <x v="246"/>
    <s v="Otavio Ramos"/>
    <s v="CARTÃO DE CRÉDITO"/>
    <x v="5"/>
    <x v="3"/>
    <n v="136"/>
    <n v="351"/>
    <s v="Centro-Oeste"/>
    <x v="0"/>
    <n v="361.03"/>
    <d v="2024-01-31T00:00:00"/>
  </r>
  <r>
    <n v="101548"/>
    <x v="125"/>
    <s v="Thiago Correia"/>
    <s v="CARTÃO DE DÉBITO"/>
    <x v="0"/>
    <x v="1"/>
    <n v="0"/>
    <n v="867"/>
    <s v="Sul"/>
    <x v="0"/>
    <n v="280.04000000000002"/>
    <d v="2024-01-31T00:00:00"/>
  </r>
  <r>
    <n v="101348"/>
    <x v="245"/>
    <s v="Vanessa Duarte"/>
    <s v="BOLETO"/>
    <x v="3"/>
    <x v="1"/>
    <n v="0"/>
    <n v="571"/>
    <s v="Norte"/>
    <x v="2"/>
    <n v="157.1"/>
    <d v="2024-01-31T00:00:00"/>
  </r>
  <r>
    <n v="100656"/>
    <x v="196"/>
    <s v="Lucas Martins"/>
    <s v="CARTÃO DE DÉBITO"/>
    <x v="4"/>
    <x v="1"/>
    <n v="0"/>
    <n v="722"/>
    <s v="Nordeste"/>
    <x v="1"/>
    <m/>
    <d v="2024-01-31T00:00:00"/>
  </r>
  <r>
    <n v="100661"/>
    <x v="53"/>
    <s v="Thiago Correia"/>
    <s v="CARTÃO DE CRÉDITO"/>
    <x v="5"/>
    <x v="1"/>
    <n v="0"/>
    <n v="427"/>
    <s v="Nordeste"/>
    <x v="2"/>
    <m/>
    <d v="2024-01-31T00:00:00"/>
  </r>
  <r>
    <n v="101098"/>
    <x v="170"/>
    <s v="Elaine Ferreira"/>
    <s v="CARTÃO DE CRÉDITO"/>
    <x v="6"/>
    <x v="1"/>
    <n v="0"/>
    <n v="821"/>
    <s v="Nordeste"/>
    <x v="0"/>
    <n v="520.96"/>
    <d v="2024-01-30T00:00:00"/>
  </r>
  <r>
    <n v="102053"/>
    <x v="257"/>
    <s v="Debora Pinto"/>
    <s v="BOLETO"/>
    <x v="0"/>
    <x v="0"/>
    <n v="1"/>
    <n v="666"/>
    <s v="Sudeste"/>
    <x v="1"/>
    <n v="302.64999999999998"/>
    <d v="2024-01-30T00:00:00"/>
  </r>
  <r>
    <n v="101947"/>
    <x v="79"/>
    <s v="Yasmin Araujo"/>
    <s v="BOLETO"/>
    <x v="4"/>
    <x v="3"/>
    <n v="92"/>
    <n v="752"/>
    <s v="Norte"/>
    <x v="2"/>
    <n v="175.87"/>
    <d v="2024-01-30T00:00:00"/>
  </r>
  <r>
    <n v="101628"/>
    <x v="14"/>
    <s v="Heitor Barbosa"/>
    <s v="TED"/>
    <x v="1"/>
    <x v="0"/>
    <n v="14"/>
    <n v="603"/>
    <s v="Sul"/>
    <x v="0"/>
    <n v="161.33000000000001"/>
    <d v="2024-01-30T00:00:00"/>
  </r>
  <r>
    <n v="101531"/>
    <x v="5"/>
    <s v="Bruno Lima"/>
    <s v="CARTÃO DE CRÉDITO"/>
    <x v="5"/>
    <x v="1"/>
    <n v="0"/>
    <n v="434"/>
    <s v="Centro-Oeste"/>
    <x v="1"/>
    <n v="979.02"/>
    <d v="2024-01-29T00:00:00"/>
  </r>
  <r>
    <n v="101101"/>
    <x v="72"/>
    <s v="Nelson Teixeira"/>
    <s v="CARTÃO DE CRÉDITO"/>
    <x v="2"/>
    <x v="1"/>
    <n v="0"/>
    <n v="894"/>
    <s v="Sudeste"/>
    <x v="1"/>
    <n v="504.13"/>
    <d v="2024-01-29T00:00:00"/>
  </r>
  <r>
    <n v="101194"/>
    <x v="187"/>
    <s v="Diego Alves"/>
    <s v="BOLETO"/>
    <x v="0"/>
    <x v="3"/>
    <n v="117"/>
    <n v="301"/>
    <s v="Norte"/>
    <x v="2"/>
    <n v="399.64"/>
    <d v="2024-01-29T00:00:00"/>
  </r>
  <r>
    <n v="101248"/>
    <x v="199"/>
    <s v="Debora Pinto"/>
    <s v="TED"/>
    <x v="7"/>
    <x v="2"/>
    <n v="0"/>
    <n v="411"/>
    <s v="Nordeste"/>
    <x v="0"/>
    <n v="339.52"/>
    <d v="2024-01-29T00:00:00"/>
  </r>
  <r>
    <n v="101975"/>
    <x v="253"/>
    <s v="William Santos"/>
    <s v="CARTÃO DE DÉBITO"/>
    <x v="0"/>
    <x v="3"/>
    <n v="105"/>
    <n v="657"/>
    <s v="Nordeste"/>
    <x v="0"/>
    <n v="631.1"/>
    <d v="2024-01-28T00:00:00"/>
  </r>
  <r>
    <n v="101068"/>
    <x v="37"/>
    <s v="Bianca Freitas"/>
    <s v="CARTÃO DE DÉBITO"/>
    <x v="4"/>
    <x v="2"/>
    <n v="0"/>
    <n v="653"/>
    <s v="Norte"/>
    <x v="1"/>
    <n v="458.57"/>
    <d v="2024-01-28T00:00:00"/>
  </r>
  <r>
    <n v="100731"/>
    <x v="192"/>
    <s v="Não Informado"/>
    <s v="CARTÃO DE DÉBITO"/>
    <x v="1"/>
    <x v="2"/>
    <n v="0"/>
    <n v="869"/>
    <s v="Norte"/>
    <x v="1"/>
    <n v="440.91"/>
    <d v="2024-01-28T00:00:00"/>
  </r>
  <r>
    <n v="101922"/>
    <x v="58"/>
    <s v="Karina Silva"/>
    <s v="CARTÃO DE CRÉDITO"/>
    <x v="3"/>
    <x v="1"/>
    <n v="0"/>
    <n v="544"/>
    <s v="Sul"/>
    <x v="1"/>
    <n v="285.04000000000002"/>
    <d v="2024-01-28T00:00:00"/>
  </r>
  <r>
    <n v="101910"/>
    <x v="75"/>
    <s v="Carla Mendes"/>
    <s v="TED"/>
    <x v="3"/>
    <x v="2"/>
    <n v="0"/>
    <n v="798"/>
    <s v="Nordeste"/>
    <x v="1"/>
    <n v="174.37"/>
    <d v="2024-01-28T00:00:00"/>
  </r>
  <r>
    <n v="100341"/>
    <x v="82"/>
    <s v="Vanessa Duarte"/>
    <s v="TED"/>
    <x v="6"/>
    <x v="2"/>
    <n v="0"/>
    <n v="352"/>
    <s v="Centro-Oeste"/>
    <x v="1"/>
    <n v="167.34"/>
    <d v="2024-01-28T00:00:00"/>
  </r>
  <r>
    <n v="101842"/>
    <x v="180"/>
    <s v="Vanessa Duarte"/>
    <s v="CARTÃO DE CRÉDITO"/>
    <x v="4"/>
    <x v="1"/>
    <n v="0"/>
    <n v="482"/>
    <s v="Nordeste"/>
    <x v="0"/>
    <n v="159.1"/>
    <d v="2024-01-28T00:00:00"/>
  </r>
  <r>
    <n v="100024"/>
    <x v="241"/>
    <s v="Ana Souza"/>
    <s v="CARTÃO DE CRÉDITO"/>
    <x v="5"/>
    <x v="1"/>
    <n v="0"/>
    <n v="339"/>
    <s v="Sul"/>
    <x v="1"/>
    <n v="386.78"/>
    <d v="2024-01-27T00:00:00"/>
  </r>
  <r>
    <n v="100830"/>
    <x v="174"/>
    <s v="Debora Pinto"/>
    <s v="CARTÃO DE DÉBITO"/>
    <x v="1"/>
    <x v="1"/>
    <n v="0"/>
    <n v="721"/>
    <s v="Sudeste"/>
    <x v="1"/>
    <n v="167.24"/>
    <d v="2024-01-26T00:00:00"/>
  </r>
  <r>
    <n v="100347"/>
    <x v="255"/>
    <s v="Isabela Nunes"/>
    <s v="PIX"/>
    <x v="4"/>
    <x v="2"/>
    <n v="0"/>
    <n v="496"/>
    <s v="Sudeste"/>
    <x v="1"/>
    <n v="148.19999999999999"/>
    <d v="2024-01-25T00:00:00"/>
  </r>
  <r>
    <n v="100843"/>
    <x v="210"/>
    <s v="Thiago Correia"/>
    <s v="PIX"/>
    <x v="7"/>
    <x v="0"/>
    <n v="11"/>
    <n v="371"/>
    <s v="Sul"/>
    <x v="1"/>
    <n v="83.13"/>
    <d v="2024-01-25T00:00:00"/>
  </r>
  <r>
    <n v="101962"/>
    <x v="55"/>
    <s v="Carla Mendes"/>
    <s v="CARTÃO DE DÉBITO"/>
    <x v="4"/>
    <x v="0"/>
    <n v="9"/>
    <n v="616"/>
    <s v="Nordeste"/>
    <x v="0"/>
    <n v="834.07"/>
    <d v="2024-01-24T00:00:00"/>
  </r>
  <r>
    <n v="100771"/>
    <x v="171"/>
    <s v="Debora Pinto"/>
    <s v="BOLETO"/>
    <x v="3"/>
    <x v="1"/>
    <n v="0"/>
    <n v="571"/>
    <s v="Sudeste"/>
    <x v="2"/>
    <n v="499.55"/>
    <d v="2024-01-24T00:00:00"/>
  </r>
  <r>
    <n v="101481"/>
    <x v="53"/>
    <s v="Thiago Correia"/>
    <s v="BOLETO"/>
    <x v="0"/>
    <x v="0"/>
    <n v="30"/>
    <n v="427"/>
    <s v="Sul"/>
    <x v="1"/>
    <n v="491.25"/>
    <d v="2024-01-24T00:00:00"/>
  </r>
  <r>
    <n v="101288"/>
    <x v="184"/>
    <s v="Thiago Correia"/>
    <s v="PIX"/>
    <x v="5"/>
    <x v="3"/>
    <n v="170"/>
    <n v="402"/>
    <s v="Sul"/>
    <x v="2"/>
    <n v="401.36"/>
    <d v="2024-01-24T00:00:00"/>
  </r>
  <r>
    <n v="101870"/>
    <x v="102"/>
    <s v="Ana Souza"/>
    <s v="CARTÃO DE CRÉDITO"/>
    <x v="1"/>
    <x v="1"/>
    <n v="0"/>
    <n v="430"/>
    <s v="Sul"/>
    <x v="2"/>
    <n v="369.27"/>
    <d v="2024-01-24T00:00:00"/>
  </r>
  <r>
    <n v="101161"/>
    <x v="157"/>
    <s v="Patricia Gomes"/>
    <s v="CARTÃO DE CRÉDITO"/>
    <x v="1"/>
    <x v="3"/>
    <n v="53"/>
    <n v="849"/>
    <s v="Centro-Oeste"/>
    <x v="1"/>
    <n v="336.13"/>
    <d v="2024-01-24T00:00:00"/>
  </r>
  <r>
    <n v="102014"/>
    <x v="197"/>
    <s v="Mariana Cardoso"/>
    <s v="CARTÃO DE DÉBITO"/>
    <x v="6"/>
    <x v="1"/>
    <n v="0"/>
    <n v="897"/>
    <s v="Centro-Oeste"/>
    <x v="1"/>
    <n v="203.18"/>
    <d v="2024-01-24T00:00:00"/>
  </r>
  <r>
    <n v="101485"/>
    <x v="238"/>
    <s v="Não Informado"/>
    <s v="BOLETO"/>
    <x v="0"/>
    <x v="1"/>
    <n v="0"/>
    <n v="640"/>
    <s v="Sudeste"/>
    <x v="2"/>
    <n v="114.9"/>
    <d v="2024-01-24T00:00:00"/>
  </r>
  <r>
    <n v="102128"/>
    <x v="160"/>
    <s v="Otavio Ramos"/>
    <s v="CARTÃO DE DÉBITO"/>
    <x v="7"/>
    <x v="1"/>
    <n v="0"/>
    <n v="740"/>
    <s v="Sul"/>
    <x v="0"/>
    <n v="438.32"/>
    <d v="2024-01-23T00:00:00"/>
  </r>
  <r>
    <n v="101682"/>
    <x v="90"/>
    <s v="Não Informado"/>
    <s v="CARTÃO DE CRÉDITO"/>
    <x v="5"/>
    <x v="2"/>
    <n v="0"/>
    <n v="659"/>
    <s v="Norte"/>
    <x v="1"/>
    <n v="385.04"/>
    <d v="2024-01-23T00:00:00"/>
  </r>
  <r>
    <n v="100300"/>
    <x v="231"/>
    <s v="Lucas Martins"/>
    <s v="CARTÃO DE CRÉDITO"/>
    <x v="0"/>
    <x v="1"/>
    <n v="0"/>
    <n v="315"/>
    <s v="Sul"/>
    <x v="0"/>
    <n v="280.60000000000002"/>
    <d v="2024-01-23T00:00:00"/>
  </r>
  <r>
    <n v="101955"/>
    <x v="190"/>
    <s v="Carla Mendes"/>
    <s v="PIX"/>
    <x v="5"/>
    <x v="3"/>
    <n v="54"/>
    <n v="578"/>
    <s v="Sul"/>
    <x v="1"/>
    <n v="56.86"/>
    <d v="2024-01-23T00:00:00"/>
  </r>
  <r>
    <n v="100638"/>
    <x v="199"/>
    <s v="Debora Pinto"/>
    <s v="PIX"/>
    <x v="1"/>
    <x v="1"/>
    <n v="0"/>
    <n v="411"/>
    <s v="Centro-Oeste"/>
    <x v="1"/>
    <n v="1060.74"/>
    <d v="2024-01-22T00:00:00"/>
  </r>
  <r>
    <n v="101992"/>
    <x v="192"/>
    <s v="Bianca Freitas"/>
    <s v="PIX"/>
    <x v="0"/>
    <x v="1"/>
    <n v="0"/>
    <n v="869"/>
    <s v="Não Informado"/>
    <x v="1"/>
    <n v="507.54"/>
    <d v="2024-01-22T00:00:00"/>
  </r>
  <r>
    <n v="100974"/>
    <x v="237"/>
    <s v="Debora Pinto"/>
    <s v="CARTÃO DE CRÉDITO"/>
    <x v="6"/>
    <x v="1"/>
    <n v="0"/>
    <n v="705"/>
    <s v="Centro-Oeste"/>
    <x v="0"/>
    <n v="331.25"/>
    <d v="2024-01-21T00:00:00"/>
  </r>
  <r>
    <n v="100007"/>
    <x v="171"/>
    <s v="Debora Pinto"/>
    <s v="PIX"/>
    <x v="3"/>
    <x v="1"/>
    <n v="0"/>
    <n v="571"/>
    <s v="Centro-Oeste"/>
    <x v="1"/>
    <n v="233.26"/>
    <d v="2024-01-21T00:00:00"/>
  </r>
  <r>
    <n v="100266"/>
    <x v="214"/>
    <s v="Lucas Martins"/>
    <s v="PIX"/>
    <x v="2"/>
    <x v="1"/>
    <n v="0"/>
    <n v="494"/>
    <s v="Sudeste"/>
    <x v="0"/>
    <n v="176.3"/>
    <d v="2024-01-21T00:00:00"/>
  </r>
  <r>
    <n v="101764"/>
    <x v="213"/>
    <s v="Debora Pinto"/>
    <s v="CARTÃO DE DÉBITO"/>
    <x v="4"/>
    <x v="1"/>
    <n v="0"/>
    <n v="585"/>
    <s v="Nordeste"/>
    <x v="1"/>
    <n v="131.1"/>
    <d v="2024-01-21T00:00:00"/>
  </r>
  <r>
    <n v="100965"/>
    <x v="230"/>
    <s v="Bruno Lima"/>
    <s v="BOLETO"/>
    <x v="1"/>
    <x v="0"/>
    <n v="25"/>
    <n v="716"/>
    <s v="Norte"/>
    <x v="2"/>
    <m/>
    <d v="2024-01-21T00:00:00"/>
  </r>
  <r>
    <n v="100462"/>
    <x v="131"/>
    <s v="William Santos"/>
    <s v="TED"/>
    <x v="0"/>
    <x v="1"/>
    <n v="0"/>
    <n v="355"/>
    <s v="Sul"/>
    <x v="1"/>
    <n v="749.1"/>
    <d v="2024-01-20T00:00:00"/>
  </r>
  <r>
    <n v="100056"/>
    <x v="166"/>
    <s v="Bianca Freitas"/>
    <s v="BOLETO"/>
    <x v="5"/>
    <x v="1"/>
    <n v="0"/>
    <n v="490"/>
    <s v="Sudeste"/>
    <x v="0"/>
    <n v="634.95000000000005"/>
    <d v="2024-01-20T00:00:00"/>
  </r>
  <r>
    <n v="100095"/>
    <x v="179"/>
    <s v="Isabela Nunes"/>
    <s v="PIX"/>
    <x v="7"/>
    <x v="1"/>
    <n v="0"/>
    <n v="309"/>
    <s v="Nordeste"/>
    <x v="2"/>
    <n v="413.35"/>
    <d v="2024-01-20T00:00:00"/>
  </r>
  <r>
    <n v="100246"/>
    <x v="192"/>
    <s v="Bianca Freitas"/>
    <s v="TED"/>
    <x v="5"/>
    <x v="1"/>
    <n v="0"/>
    <n v="869"/>
    <s v="Sudeste"/>
    <x v="1"/>
    <n v="365.26"/>
    <d v="2024-01-20T00:00:00"/>
  </r>
  <r>
    <n v="100205"/>
    <x v="247"/>
    <s v="Debora Pinto"/>
    <s v="CARTÃO DE DÉBITO"/>
    <x v="1"/>
    <x v="1"/>
    <s v="Não Informado"/>
    <n v="452"/>
    <s v="Sul"/>
    <x v="1"/>
    <n v="95.12"/>
    <d v="2024-01-20T00:00:00"/>
  </r>
  <r>
    <n v="101253"/>
    <x v="114"/>
    <s v="Heitor Barbosa"/>
    <s v="CARTÃO DE DÉBITO"/>
    <x v="2"/>
    <x v="1"/>
    <n v="0"/>
    <n v="340"/>
    <s v="Norte"/>
    <x v="2"/>
    <n v="79.45"/>
    <d v="2024-01-20T00:00:00"/>
  </r>
  <r>
    <n v="101790"/>
    <x v="54"/>
    <s v="Heitor Barbosa"/>
    <s v="TED"/>
    <x v="2"/>
    <x v="1"/>
    <n v="0"/>
    <n v="621"/>
    <s v="Nordeste"/>
    <x v="1"/>
    <n v="243.35"/>
    <d v="2024-01-19T00:00:00"/>
  </r>
  <r>
    <n v="100216"/>
    <x v="155"/>
    <s v="Caio Monteiro"/>
    <s v="CARTÃO DE DÉBITO"/>
    <x v="3"/>
    <x v="0"/>
    <n v="13"/>
    <n v="744"/>
    <s v="Centro-Oeste"/>
    <x v="1"/>
    <m/>
    <d v="2024-01-19T00:00:00"/>
  </r>
  <r>
    <n v="100864"/>
    <x v="61"/>
    <s v="Caio Monteiro"/>
    <s v="CARTÃO DE CRÉDITO"/>
    <x v="1"/>
    <x v="2"/>
    <n v="0"/>
    <n v="797"/>
    <s v="Sudeste"/>
    <x v="0"/>
    <n v="876.36"/>
    <d v="2024-01-18T00:00:00"/>
  </r>
  <r>
    <n v="101012"/>
    <x v="222"/>
    <s v="Otavio Ramos"/>
    <s v="TED"/>
    <x v="2"/>
    <x v="2"/>
    <n v="0"/>
    <n v="729"/>
    <s v="Centro-Oeste"/>
    <x v="2"/>
    <n v="676.17"/>
    <d v="2024-01-18T00:00:00"/>
  </r>
  <r>
    <n v="101901"/>
    <x v="122"/>
    <s v="Mariana Cardoso"/>
    <s v="CARTÃO DE DÉBITO"/>
    <x v="3"/>
    <x v="2"/>
    <n v="0"/>
    <n v="435"/>
    <s v="Sul"/>
    <x v="1"/>
    <n v="464.29"/>
    <d v="2024-01-18T00:00:00"/>
  </r>
  <r>
    <n v="100718"/>
    <x v="97"/>
    <s v="Sandra Vieira"/>
    <s v="PIX"/>
    <x v="2"/>
    <x v="1"/>
    <n v="0"/>
    <n v="688"/>
    <s v="Nordeste"/>
    <x v="1"/>
    <n v="185.63"/>
    <d v="2024-01-18T00:00:00"/>
  </r>
  <r>
    <n v="101006"/>
    <x v="179"/>
    <s v="Não Informado"/>
    <s v="TED"/>
    <x v="1"/>
    <x v="2"/>
    <n v="0"/>
    <n v="309"/>
    <s v="Sudeste"/>
    <x v="0"/>
    <n v="89.91"/>
    <d v="2024-01-18T00:00:00"/>
  </r>
  <r>
    <n v="100779"/>
    <x v="80"/>
    <s v="Isabela Nunes"/>
    <s v="CARTÃO DE DÉBITO"/>
    <x v="7"/>
    <x v="0"/>
    <n v="13"/>
    <n v="433"/>
    <s v="Centro-Oeste"/>
    <x v="2"/>
    <n v="662.11"/>
    <d v="2024-01-17T00:00:00"/>
  </r>
  <r>
    <n v="100920"/>
    <x v="237"/>
    <s v="Debora Pinto"/>
    <s v="CARTÃO DE DÉBITO"/>
    <x v="3"/>
    <x v="0"/>
    <n v="29"/>
    <n v="705"/>
    <s v="Centro-Oeste"/>
    <x v="0"/>
    <n v="592.38"/>
    <d v="2024-01-17T00:00:00"/>
  </r>
  <r>
    <n v="100967"/>
    <x v="222"/>
    <s v="Otavio Ramos"/>
    <s v="BOLETO"/>
    <x v="4"/>
    <x v="1"/>
    <n v="0"/>
    <n v="729"/>
    <s v="Sudeste"/>
    <x v="1"/>
    <n v="239.88"/>
    <d v="2024-01-17T00:00:00"/>
  </r>
  <r>
    <n v="101115"/>
    <x v="86"/>
    <s v="Isabela Nunes"/>
    <s v="TED"/>
    <x v="2"/>
    <x v="2"/>
    <s v="Não Informado"/>
    <n v="382"/>
    <s v="Sul"/>
    <x v="1"/>
    <n v="673.87"/>
    <d v="2024-01-16T00:00:00"/>
  </r>
  <r>
    <n v="100509"/>
    <x v="172"/>
    <s v="Caio Monteiro"/>
    <s v="TED"/>
    <x v="5"/>
    <x v="3"/>
    <n v="111"/>
    <n v="892"/>
    <s v="Sudeste"/>
    <x v="2"/>
    <n v="503.2"/>
    <d v="2024-01-16T00:00:00"/>
  </r>
  <r>
    <n v="100823"/>
    <x v="171"/>
    <s v="Debora Pinto"/>
    <s v="PIX"/>
    <x v="7"/>
    <x v="2"/>
    <n v="0"/>
    <n v="571"/>
    <s v="Centro-Oeste"/>
    <x v="1"/>
    <n v="398.75"/>
    <d v="2024-01-16T00:00:00"/>
  </r>
  <r>
    <n v="101102"/>
    <x v="68"/>
    <s v="Carla Mendes"/>
    <s v="CARTÃO DE CRÉDITO"/>
    <x v="0"/>
    <x v="1"/>
    <n v="0"/>
    <n v="400"/>
    <s v="Centro-Oeste"/>
    <x v="2"/>
    <n v="165.71"/>
    <d v="2024-01-16T00:00:00"/>
  </r>
  <r>
    <n v="101334"/>
    <x v="129"/>
    <s v="Heitor Barbosa"/>
    <s v="CARTÃO DE CRÉDITO"/>
    <x v="4"/>
    <x v="0"/>
    <n v="26"/>
    <n v="832"/>
    <s v="Nordeste"/>
    <x v="2"/>
    <n v="78.055000000000007"/>
    <d v="2024-01-16T00:00:00"/>
  </r>
  <r>
    <n v="100854"/>
    <x v="30"/>
    <s v="Debora Pinto"/>
    <s v="CARTÃO DE DÉBITO"/>
    <x v="0"/>
    <x v="0"/>
    <n v="26"/>
    <n v="325"/>
    <s v="Sul"/>
    <x v="1"/>
    <n v="629.95000000000005"/>
    <d v="2024-01-15T00:00:00"/>
  </r>
  <r>
    <n v="102056"/>
    <x v="142"/>
    <s v="Yasmin Araujo"/>
    <s v="BOLETO"/>
    <x v="7"/>
    <x v="1"/>
    <n v="0"/>
    <n v="621"/>
    <s v="Centro-Oeste"/>
    <x v="1"/>
    <n v="345.79"/>
    <d v="2024-01-15T00:00:00"/>
  </r>
  <r>
    <n v="101934"/>
    <x v="8"/>
    <s v="Sandra Vieira"/>
    <s v="CARTÃO DE CRÉDITO"/>
    <x v="7"/>
    <x v="0"/>
    <n v="18"/>
    <n v="339"/>
    <s v="Sul"/>
    <x v="2"/>
    <n v="286.19"/>
    <d v="2024-01-15T00:00:00"/>
  </r>
  <r>
    <n v="101354"/>
    <x v="225"/>
    <s v="Isabela Nunes"/>
    <s v="BOLETO"/>
    <x v="0"/>
    <x v="1"/>
    <n v="0"/>
    <n v="638"/>
    <s v="Nordeste"/>
    <x v="1"/>
    <m/>
    <d v="2024-01-15T00:00:00"/>
  </r>
  <r>
    <n v="102065"/>
    <x v="133"/>
    <s v="Nelson Teixeira"/>
    <s v="BOLETO"/>
    <x v="4"/>
    <x v="1"/>
    <s v="Não Informado"/>
    <n v="865"/>
    <s v="Centro-Oeste"/>
    <x v="1"/>
    <n v="594.26"/>
    <d v="2024-01-14T00:00:00"/>
  </r>
  <r>
    <n v="101145"/>
    <x v="203"/>
    <s v="Karina Silva"/>
    <s v="BOLETO"/>
    <x v="6"/>
    <x v="1"/>
    <n v="0"/>
    <n v="336"/>
    <s v="Centro-Oeste"/>
    <x v="2"/>
    <n v="582.5"/>
    <d v="2024-01-14T00:00:00"/>
  </r>
  <r>
    <n v="101907"/>
    <x v="131"/>
    <s v="William Santos"/>
    <s v="CARTÃO DE CRÉDITO"/>
    <x v="6"/>
    <x v="1"/>
    <n v="0"/>
    <n v="355"/>
    <s v="Sudeste"/>
    <x v="2"/>
    <n v="371.88"/>
    <d v="2024-01-14T00:00:00"/>
  </r>
  <r>
    <n v="101697"/>
    <x v="31"/>
    <s v="Caio Monteiro"/>
    <s v="CARTÃO DE CRÉDITO"/>
    <x v="1"/>
    <x v="3"/>
    <n v="97"/>
    <n v="497"/>
    <s v="Centro-Oeste"/>
    <x v="1"/>
    <n v="166.27"/>
    <d v="2024-01-14T00:00:00"/>
  </r>
  <r>
    <n v="100437"/>
    <x v="41"/>
    <s v="Fabio Costa"/>
    <s v="BOLETO"/>
    <x v="4"/>
    <x v="0"/>
    <n v="21"/>
    <n v="883"/>
    <s v="Centro-Oeste"/>
    <x v="2"/>
    <m/>
    <d v="2024-01-14T00:00:00"/>
  </r>
  <r>
    <n v="102002"/>
    <x v="142"/>
    <s v="Yasmin Araujo"/>
    <s v="TED"/>
    <x v="1"/>
    <x v="2"/>
    <n v="0"/>
    <n v="621"/>
    <s v="Centro-Oeste"/>
    <x v="1"/>
    <n v="678.51"/>
    <d v="2024-01-13T00:00:00"/>
  </r>
  <r>
    <n v="101428"/>
    <x v="162"/>
    <s v="Mariana Cardoso"/>
    <s v="CARTÃO DE DÉBITO"/>
    <x v="2"/>
    <x v="0"/>
    <n v="11"/>
    <n v="360"/>
    <s v="Nordeste"/>
    <x v="1"/>
    <n v="160.41"/>
    <d v="2024-01-13T00:00:00"/>
  </r>
  <r>
    <n v="100925"/>
    <x v="113"/>
    <s v="Caio Monteiro"/>
    <s v="BOLETO"/>
    <x v="0"/>
    <x v="1"/>
    <n v="0"/>
    <n v="308"/>
    <s v="Sul"/>
    <x v="2"/>
    <n v="151.59"/>
    <d v="2024-01-13T00:00:00"/>
  </r>
  <r>
    <n v="100161"/>
    <x v="2"/>
    <s v="Lucas Martins"/>
    <s v="CARTÃO DE CRÉDITO"/>
    <x v="1"/>
    <x v="0"/>
    <n v="2"/>
    <n v="461"/>
    <s v="Centro-Oeste"/>
    <x v="0"/>
    <n v="92.74"/>
    <d v="2024-01-13T00:00:00"/>
  </r>
  <r>
    <n v="101731"/>
    <x v="168"/>
    <s v="Sandra Vieira"/>
    <s v="CARTÃO DE CRÉDITO"/>
    <x v="0"/>
    <x v="1"/>
    <n v="0"/>
    <n v="567"/>
    <s v="Sul"/>
    <x v="1"/>
    <n v="929.67"/>
    <d v="2024-01-12T00:00:00"/>
  </r>
  <r>
    <n v="100844"/>
    <x v="29"/>
    <s v="Carla Mendes"/>
    <s v="CARTÃO DE CRÉDITO"/>
    <x v="3"/>
    <x v="1"/>
    <n v="0"/>
    <n v="394"/>
    <s v="Nordeste"/>
    <x v="2"/>
    <n v="751.97"/>
    <d v="2024-01-11T00:00:00"/>
  </r>
  <r>
    <n v="101136"/>
    <x v="211"/>
    <s v="Elaine Ferreira"/>
    <s v="CARTÃO DE CRÉDITO"/>
    <x v="5"/>
    <x v="1"/>
    <n v="0"/>
    <n v="550"/>
    <s v="Sul"/>
    <x v="1"/>
    <n v="476.27"/>
    <d v="2024-01-11T00:00:00"/>
  </r>
  <r>
    <n v="100015"/>
    <x v="250"/>
    <s v="Não Informado"/>
    <s v="BOLETO"/>
    <x v="7"/>
    <x v="0"/>
    <n v="3"/>
    <n v="864"/>
    <s v="Sul"/>
    <x v="2"/>
    <n v="219.12"/>
    <d v="2024-01-11T00:00:00"/>
  </r>
  <r>
    <n v="101275"/>
    <x v="188"/>
    <s v="Fabio Costa"/>
    <s v="BOLETO"/>
    <x v="3"/>
    <x v="2"/>
    <n v="0"/>
    <n v="383"/>
    <s v="Norte"/>
    <x v="1"/>
    <n v="65.2"/>
    <d v="2024-01-11T00:00:00"/>
  </r>
  <r>
    <n v="101721"/>
    <x v="16"/>
    <s v="Bianca Freitas"/>
    <s v="CARTÃO DE DÉBITO"/>
    <x v="7"/>
    <x v="0"/>
    <n v="16"/>
    <n v="778"/>
    <s v="Norte"/>
    <x v="0"/>
    <n v="593.38"/>
    <d v="2024-01-10T00:00:00"/>
  </r>
  <r>
    <n v="101302"/>
    <x v="81"/>
    <s v="Bruno Lima"/>
    <s v="CARTÃO DE CRÉDITO"/>
    <x v="5"/>
    <x v="0"/>
    <n v="10"/>
    <n v="658"/>
    <s v="Centro-Oeste"/>
    <x v="0"/>
    <n v="591.05999999999995"/>
    <d v="2024-01-10T00:00:00"/>
  </r>
  <r>
    <n v="100229"/>
    <x v="68"/>
    <s v="Carla Mendes"/>
    <s v="CARTÃO DE CRÉDITO"/>
    <x v="7"/>
    <x v="1"/>
    <n v="0"/>
    <n v="400"/>
    <s v="Nordeste"/>
    <x v="2"/>
    <n v="472.08"/>
    <d v="2024-01-10T00:00:00"/>
  </r>
  <r>
    <n v="101966"/>
    <x v="118"/>
    <s v="Bruno Lima"/>
    <s v="BOLETO"/>
    <x v="2"/>
    <x v="1"/>
    <n v="0"/>
    <n v="458"/>
    <s v="Norte"/>
    <x v="2"/>
    <n v="327.27"/>
    <d v="2024-01-10T00:00:00"/>
  </r>
  <r>
    <n v="100470"/>
    <x v="85"/>
    <s v="Ana Souza"/>
    <s v="CARTÃO DE CRÉDITO"/>
    <x v="3"/>
    <x v="1"/>
    <n v="0"/>
    <n v="465"/>
    <s v="Centro-Oeste"/>
    <x v="2"/>
    <n v="112.08"/>
    <d v="2024-01-10T00:00:00"/>
  </r>
  <r>
    <n v="100597"/>
    <x v="55"/>
    <s v="Carla Mendes"/>
    <s v="CARTÃO DE DÉBITO"/>
    <x v="2"/>
    <x v="2"/>
    <n v="0"/>
    <n v="616"/>
    <s v="Sudeste"/>
    <x v="0"/>
    <n v="890.76"/>
    <d v="2024-01-09T00:00:00"/>
  </r>
  <r>
    <n v="101645"/>
    <x v="51"/>
    <s v="Yasmin Araujo"/>
    <s v="TED"/>
    <x v="5"/>
    <x v="1"/>
    <n v="0"/>
    <n v="820"/>
    <s v="Nordeste"/>
    <x v="2"/>
    <n v="699.8"/>
    <d v="2024-01-09T00:00:00"/>
  </r>
  <r>
    <n v="100037"/>
    <x v="243"/>
    <s v="Elaine Ferreira"/>
    <s v="TED"/>
    <x v="5"/>
    <x v="3"/>
    <n v="158"/>
    <n v="481"/>
    <s v="Nordeste"/>
    <x v="1"/>
    <n v="168.99"/>
    <d v="2024-01-09T00:00:00"/>
  </r>
  <r>
    <n v="100250"/>
    <x v="20"/>
    <s v="Elaine Ferreira"/>
    <s v="CARTÃO DE DÉBITO"/>
    <x v="0"/>
    <x v="1"/>
    <n v="0"/>
    <n v="591"/>
    <s v="Norte"/>
    <x v="1"/>
    <n v="398.74"/>
    <d v="2024-01-08T00:00:00"/>
  </r>
  <r>
    <n v="101523"/>
    <x v="116"/>
    <s v="William Santos"/>
    <s v="CARTÃO DE CRÉDITO"/>
    <x v="0"/>
    <x v="3"/>
    <n v="63"/>
    <n v="898"/>
    <s v="Norte"/>
    <x v="0"/>
    <n v="260.14"/>
    <d v="2024-01-08T00:00:00"/>
  </r>
  <r>
    <n v="102087"/>
    <x v="59"/>
    <s v="Heitor Barbosa"/>
    <s v="BOLETO"/>
    <x v="5"/>
    <x v="1"/>
    <n v="0"/>
    <n v="372"/>
    <s v="Nordeste"/>
    <x v="1"/>
    <n v="148.68"/>
    <d v="2024-01-08T00:00:00"/>
  </r>
  <r>
    <n v="101347"/>
    <x v="59"/>
    <s v="Heitor Barbosa"/>
    <s v="CARTÃO DE CRÉDITO"/>
    <x v="2"/>
    <x v="1"/>
    <n v="0"/>
    <n v="372"/>
    <s v="Centro-Oeste"/>
    <x v="2"/>
    <n v="128.63999999999999"/>
    <d v="2024-01-08T00:00:00"/>
  </r>
  <r>
    <n v="100777"/>
    <x v="223"/>
    <s v="Caio Monteiro"/>
    <s v="PIX"/>
    <x v="6"/>
    <x v="0"/>
    <n v="2"/>
    <n v="342"/>
    <s v="Centro-Oeste"/>
    <x v="2"/>
    <n v="74.900000000000006"/>
    <d v="2024-01-08T00:00:00"/>
  </r>
  <r>
    <n v="101578"/>
    <x v="170"/>
    <s v="Elaine Ferreira"/>
    <s v="CARTÃO DE CRÉDITO"/>
    <x v="7"/>
    <x v="0"/>
    <n v="30"/>
    <n v="821"/>
    <s v="Nordeste"/>
    <x v="2"/>
    <n v="1055.51"/>
    <d v="2024-01-07T00:00:00"/>
  </r>
  <r>
    <n v="101130"/>
    <x v="27"/>
    <s v="William Santos"/>
    <s v="PIX"/>
    <x v="4"/>
    <x v="0"/>
    <n v="29"/>
    <n v="716"/>
    <s v="Sudeste"/>
    <x v="1"/>
    <n v="794"/>
    <d v="2024-01-07T00:00:00"/>
  </r>
  <r>
    <n v="100447"/>
    <x v="231"/>
    <s v="Lucas Martins"/>
    <s v="BOLETO"/>
    <x v="1"/>
    <x v="0"/>
    <n v="27"/>
    <n v="315"/>
    <s v="Centro-Oeste"/>
    <x v="0"/>
    <n v="512.91999999999996"/>
    <d v="2024-01-07T00:00:00"/>
  </r>
  <r>
    <n v="100484"/>
    <x v="149"/>
    <s v="Carla Mendes"/>
    <s v="CARTÃO DE DÉBITO"/>
    <x v="7"/>
    <x v="1"/>
    <n v="0"/>
    <n v="769"/>
    <s v="Sudeste"/>
    <x v="1"/>
    <n v="472.24"/>
    <d v="2024-01-07T00:00:00"/>
  </r>
  <r>
    <n v="100319"/>
    <x v="58"/>
    <s v="Karina Silva"/>
    <s v="PIX"/>
    <x v="2"/>
    <x v="1"/>
    <n v="0"/>
    <n v="544"/>
    <s v="Nordeste"/>
    <x v="0"/>
    <n v="288.5"/>
    <d v="2024-01-07T00:00:00"/>
  </r>
  <r>
    <n v="100812"/>
    <x v="25"/>
    <s v="Sandra Vieira"/>
    <s v="BOLETO"/>
    <x v="0"/>
    <x v="3"/>
    <n v="122"/>
    <n v="309"/>
    <s v="Norte"/>
    <x v="1"/>
    <n v="212.04"/>
    <d v="2024-01-07T00:00:00"/>
  </r>
  <r>
    <n v="101251"/>
    <x v="1"/>
    <s v="Karina Silva"/>
    <s v="TED"/>
    <x v="1"/>
    <x v="3"/>
    <n v="125"/>
    <n v="850"/>
    <s v="Sudeste"/>
    <x v="1"/>
    <n v="534.62"/>
    <d v="2024-01-06T00:00:00"/>
  </r>
  <r>
    <n v="102019"/>
    <x v="236"/>
    <s v="Não Informado"/>
    <s v="PIX"/>
    <x v="0"/>
    <x v="2"/>
    <n v="0"/>
    <n v="370"/>
    <s v="Sul"/>
    <x v="0"/>
    <n v="228.01"/>
    <d v="2024-01-06T00:00:00"/>
  </r>
  <r>
    <n v="102148"/>
    <x v="217"/>
    <s v="Joao Pedro Dias"/>
    <s v="PIX"/>
    <x v="5"/>
    <x v="1"/>
    <n v="0"/>
    <n v="359"/>
    <s v="Centro-Oeste"/>
    <x v="1"/>
    <n v="87.94"/>
    <d v="2024-01-06T00:00:00"/>
  </r>
  <r>
    <n v="101293"/>
    <x v="16"/>
    <s v="Bianca Freitas"/>
    <s v="PIX"/>
    <x v="1"/>
    <x v="1"/>
    <n v="0"/>
    <n v="778"/>
    <s v="Centro-Oeste"/>
    <x v="1"/>
    <m/>
    <d v="2024-01-06T00:00:00"/>
  </r>
  <r>
    <n v="100955"/>
    <x v="194"/>
    <s v="Heitor Barbosa"/>
    <s v="CARTÃO DE CRÉDITO"/>
    <x v="4"/>
    <x v="1"/>
    <n v="0"/>
    <n v="396"/>
    <s v="Centro-Oeste"/>
    <x v="1"/>
    <n v="195.37"/>
    <d v="2024-01-05T00:00:00"/>
  </r>
  <r>
    <n v="100943"/>
    <x v="105"/>
    <s v="Karina Silva"/>
    <s v="CARTÃO DE DÉBITO"/>
    <x v="1"/>
    <x v="0"/>
    <n v="2"/>
    <n v="623"/>
    <s v="Sul"/>
    <x v="2"/>
    <n v="156.38"/>
    <d v="2024-01-05T00:00:00"/>
  </r>
  <r>
    <n v="101920"/>
    <x v="31"/>
    <s v="Caio Monteiro"/>
    <s v="CARTÃO DE DÉBITO"/>
    <x v="0"/>
    <x v="2"/>
    <n v="0"/>
    <n v="497"/>
    <s v="Nordeste"/>
    <x v="2"/>
    <n v="102.82"/>
    <d v="2024-01-05T00:00:00"/>
  </r>
  <r>
    <n v="101913"/>
    <x v="60"/>
    <s v="Karina Silva"/>
    <s v="PIX"/>
    <x v="5"/>
    <x v="1"/>
    <n v="0"/>
    <n v="410"/>
    <s v="Sudeste"/>
    <x v="2"/>
    <n v="7.8"/>
    <d v="2024-01-05T00:00:00"/>
  </r>
  <r>
    <n v="101113"/>
    <x v="141"/>
    <s v="Otavio Ramos"/>
    <s v="TED"/>
    <x v="0"/>
    <x v="1"/>
    <n v="0"/>
    <n v="746"/>
    <s v="Nordeste"/>
    <x v="1"/>
    <n v="557.73"/>
    <d v="2024-01-04T00:00:00"/>
  </r>
  <r>
    <n v="101715"/>
    <x v="243"/>
    <s v="Elaine Ferreira"/>
    <s v="BOLETO"/>
    <x v="5"/>
    <x v="2"/>
    <n v="0"/>
    <n v="481"/>
    <s v="Nordeste"/>
    <x v="1"/>
    <n v="372.56"/>
    <d v="2024-01-04T00:00:00"/>
  </r>
  <r>
    <n v="100110"/>
    <x v="24"/>
    <s v="Rafael Pereira"/>
    <s v="PIX"/>
    <x v="2"/>
    <x v="1"/>
    <n v="0"/>
    <n v="458"/>
    <s v="Nordeste"/>
    <x v="2"/>
    <n v="166.21"/>
    <d v="2024-01-04T00:00:00"/>
  </r>
  <r>
    <n v="101635"/>
    <x v="12"/>
    <s v="Patricia Gomes"/>
    <s v="PIX"/>
    <x v="5"/>
    <x v="1"/>
    <n v="0"/>
    <n v="708"/>
    <s v="Norte"/>
    <x v="1"/>
    <n v="233.84"/>
    <d v="2024-01-03T00:00:00"/>
  </r>
  <r>
    <n v="100958"/>
    <x v="226"/>
    <s v="Diego Alves"/>
    <s v="TED"/>
    <x v="5"/>
    <x v="1"/>
    <n v="0"/>
    <n v="781"/>
    <s v="Centro-Oeste"/>
    <x v="1"/>
    <n v="517.52"/>
    <d v="2024-01-02T00:00:00"/>
  </r>
  <r>
    <n v="100180"/>
    <x v="2"/>
    <s v="Lucas Martins"/>
    <s v="PIX"/>
    <x v="3"/>
    <x v="1"/>
    <n v="0"/>
    <n v="461"/>
    <s v="Centro-Oeste"/>
    <x v="2"/>
    <n v="330.89"/>
    <d v="2024-01-02T00:00:00"/>
  </r>
  <r>
    <n v="100876"/>
    <x v="251"/>
    <s v="Fabio Costa"/>
    <s v="PIX"/>
    <x v="1"/>
    <x v="1"/>
    <n v="0"/>
    <n v="817"/>
    <s v="Sul"/>
    <x v="1"/>
    <n v="311.97000000000003"/>
    <d v="2024-01-02T00:00:00"/>
  </r>
  <r>
    <n v="100255"/>
    <x v="190"/>
    <s v="Carla Mendes"/>
    <s v="BOLETO"/>
    <x v="6"/>
    <x v="1"/>
    <n v="0"/>
    <n v="578"/>
    <s v="Sudeste"/>
    <x v="0"/>
    <n v="916.74"/>
    <d v="2024-01-01T00:00:00"/>
  </r>
  <r>
    <n v="100784"/>
    <x v="68"/>
    <s v="Carla Mendes"/>
    <s v="CARTÃO DE DÉBITO"/>
    <x v="4"/>
    <x v="1"/>
    <n v="0"/>
    <n v="400"/>
    <s v="Centro-Oeste"/>
    <x v="2"/>
    <n v="768.57"/>
    <d v="2024-01-01T00:00:00"/>
  </r>
  <r>
    <n v="101240"/>
    <x v="247"/>
    <s v="Debora Pinto"/>
    <s v="PIX"/>
    <x v="7"/>
    <x v="1"/>
    <n v="0"/>
    <n v="452"/>
    <s v="Sul"/>
    <x v="1"/>
    <n v="554.26"/>
    <d v="2024-01-01T00:00:00"/>
  </r>
  <r>
    <n v="100642"/>
    <x v="143"/>
    <s v="Elaine Ferreira"/>
    <s v="CARTÃO DE DÉBITO"/>
    <x v="7"/>
    <x v="0"/>
    <n v="9"/>
    <n v="543"/>
    <s v="Sul"/>
    <x v="0"/>
    <n v="322.02999999999997"/>
    <d v="2024-01-01T00:00:00"/>
  </r>
  <r>
    <n v="102162"/>
    <x v="152"/>
    <s v="Isabela Nunes"/>
    <s v="PIX"/>
    <x v="7"/>
    <x v="1"/>
    <n v="0"/>
    <n v="673"/>
    <s v="Sul"/>
    <x v="0"/>
    <n v="305.02"/>
    <d v="2024-01-01T00:00:00"/>
  </r>
  <r>
    <n v="101232"/>
    <x v="108"/>
    <s v="Otavio Ramos"/>
    <s v="TED"/>
    <x v="1"/>
    <x v="1"/>
    <n v="0"/>
    <n v="792"/>
    <s v="Centro-Oeste"/>
    <x v="1"/>
    <n v="264.74"/>
    <d v="2024-01-01T00:00:00"/>
  </r>
  <r>
    <n v="100134"/>
    <x v="173"/>
    <s v="Mariana Cardoso"/>
    <s v="CARTÃO DE CRÉDITO"/>
    <x v="4"/>
    <x v="3"/>
    <n v="123"/>
    <n v="621"/>
    <s v="Norte"/>
    <x v="1"/>
    <n v="1287.21"/>
    <m/>
  </r>
  <r>
    <n v="100945"/>
    <x v="162"/>
    <s v="Mariana Cardoso"/>
    <s v="BOLETO"/>
    <x v="5"/>
    <x v="1"/>
    <n v="0"/>
    <n v="360"/>
    <s v="Sudeste"/>
    <x v="1"/>
    <n v="866.18"/>
    <m/>
  </r>
  <r>
    <n v="100631"/>
    <x v="230"/>
    <s v="Bruno Lima"/>
    <s v="PIX"/>
    <x v="4"/>
    <x v="1"/>
    <n v="0"/>
    <n v="716"/>
    <s v="Nordeste"/>
    <x v="2"/>
    <n v="615.48"/>
    <m/>
  </r>
  <r>
    <n v="100176"/>
    <x v="69"/>
    <s v="Ana Souza"/>
    <s v="TED"/>
    <x v="7"/>
    <x v="1"/>
    <n v="0"/>
    <n v="741"/>
    <s v="Norte"/>
    <x v="1"/>
    <n v="609.34"/>
    <m/>
  </r>
  <r>
    <n v="100328"/>
    <x v="254"/>
    <s v="William Santos"/>
    <s v="TED"/>
    <x v="6"/>
    <x v="1"/>
    <n v="0"/>
    <n v="369"/>
    <s v="Sudeste"/>
    <x v="2"/>
    <n v="598.99"/>
    <m/>
  </r>
  <r>
    <n v="100208"/>
    <x v="44"/>
    <s v="Carla Mendes"/>
    <s v="PIX"/>
    <x v="1"/>
    <x v="0"/>
    <n v="12"/>
    <n v="528"/>
    <s v="Centro-Oeste"/>
    <x v="0"/>
    <n v="594.13"/>
    <m/>
  </r>
  <r>
    <n v="102113"/>
    <x v="186"/>
    <s v="Diego Alves"/>
    <s v="TED"/>
    <x v="2"/>
    <x v="1"/>
    <n v="0"/>
    <n v="737"/>
    <s v="Centro-Oeste"/>
    <x v="2"/>
    <n v="524.19000000000005"/>
    <m/>
  </r>
  <r>
    <n v="100400"/>
    <x v="103"/>
    <s v="Ana Souza"/>
    <s v="CARTÃO DE CRÉDITO"/>
    <x v="1"/>
    <x v="1"/>
    <s v="Não Informado"/>
    <n v="819"/>
    <s v="Centro-Oeste"/>
    <x v="2"/>
    <n v="503.98"/>
    <m/>
  </r>
  <r>
    <n v="101297"/>
    <x v="78"/>
    <s v="Elaine Ferreira"/>
    <s v="CARTÃO DE DÉBITO"/>
    <x v="3"/>
    <x v="2"/>
    <n v="0"/>
    <n v="409"/>
    <s v="Nordeste"/>
    <x v="0"/>
    <n v="456.09"/>
    <m/>
  </r>
  <r>
    <n v="100060"/>
    <x v="79"/>
    <s v="Yasmin Araujo"/>
    <s v="CARTÃO DE CRÉDITO"/>
    <x v="3"/>
    <x v="1"/>
    <n v="0"/>
    <n v="752"/>
    <s v="Centro-Oeste"/>
    <x v="2"/>
    <n v="404.38"/>
    <m/>
  </r>
  <r>
    <n v="100598"/>
    <x v="183"/>
    <s v="Fabio Costa"/>
    <s v="BOLETO"/>
    <x v="0"/>
    <x v="2"/>
    <n v="0"/>
    <n v="759"/>
    <s v="Sudeste"/>
    <x v="1"/>
    <n v="394.28"/>
    <m/>
  </r>
  <r>
    <n v="100453"/>
    <x v="146"/>
    <s v="Thiago Correia"/>
    <s v="TED"/>
    <x v="7"/>
    <x v="2"/>
    <n v="0"/>
    <n v="890"/>
    <s v="Sudeste"/>
    <x v="1"/>
    <n v="389.71"/>
    <m/>
  </r>
  <r>
    <n v="100585"/>
    <x v="105"/>
    <s v="Karina Silva"/>
    <s v="PIX"/>
    <x v="4"/>
    <x v="1"/>
    <n v="0"/>
    <n v="623"/>
    <s v="Centro-Oeste"/>
    <x v="1"/>
    <n v="387.06"/>
    <m/>
  </r>
  <r>
    <n v="100919"/>
    <x v="245"/>
    <s v="Vanessa Duarte"/>
    <s v="PIX"/>
    <x v="4"/>
    <x v="0"/>
    <n v="11"/>
    <n v="571"/>
    <s v="Centro-Oeste"/>
    <x v="1"/>
    <n v="352.97"/>
    <m/>
  </r>
  <r>
    <n v="101565"/>
    <x v="73"/>
    <s v="Mariana Cardoso"/>
    <s v="PIX"/>
    <x v="5"/>
    <x v="0"/>
    <n v="24"/>
    <n v="583"/>
    <s v="Sul"/>
    <x v="3"/>
    <n v="308.08999999999997"/>
    <m/>
  </r>
  <r>
    <n v="100937"/>
    <x v="245"/>
    <s v="Vanessa Duarte"/>
    <s v="BOLETO"/>
    <x v="4"/>
    <x v="0"/>
    <n v="30"/>
    <n v="571"/>
    <s v="Sul"/>
    <x v="2"/>
    <n v="307.79000000000002"/>
    <m/>
  </r>
  <r>
    <n v="100697"/>
    <x v="22"/>
    <s v="Heitor Barbosa"/>
    <s v="CARTÃO DE CRÉDITO"/>
    <x v="1"/>
    <x v="1"/>
    <s v="Não Informado"/>
    <n v="607"/>
    <s v="Norte"/>
    <x v="1"/>
    <n v="301.13"/>
    <m/>
  </r>
  <r>
    <n v="102138"/>
    <x v="257"/>
    <s v="Debora Pinto"/>
    <s v="TED"/>
    <x v="0"/>
    <x v="2"/>
    <n v="0"/>
    <n v="666"/>
    <s v="Não Informado"/>
    <x v="2"/>
    <n v="300.14999999999998"/>
    <m/>
  </r>
  <r>
    <n v="101239"/>
    <x v="93"/>
    <s v="Fabio Costa"/>
    <s v="CARTÃO DE CRÉDITO"/>
    <x v="7"/>
    <x v="1"/>
    <n v="0"/>
    <n v="814"/>
    <s v="Centro-Oeste"/>
    <x v="2"/>
    <n v="278.83999999999997"/>
    <m/>
  </r>
  <r>
    <n v="100594"/>
    <x v="76"/>
    <s v="Sandra Vieira"/>
    <s v="PIX"/>
    <x v="7"/>
    <x v="3"/>
    <n v="34"/>
    <n v="371"/>
    <s v="Sul"/>
    <x v="0"/>
    <n v="276.60000000000002"/>
    <m/>
  </r>
  <r>
    <n v="101392"/>
    <x v="145"/>
    <s v="Ana Souza"/>
    <s v="PIX"/>
    <x v="3"/>
    <x v="3"/>
    <n v="41"/>
    <n v="784"/>
    <s v="Centro-Oeste"/>
    <x v="2"/>
    <n v="271.79000000000002"/>
    <m/>
  </r>
  <r>
    <n v="102137"/>
    <x v="27"/>
    <s v="William Santos"/>
    <s v="CARTÃO DE DÉBITO"/>
    <x v="4"/>
    <x v="1"/>
    <n v="0"/>
    <n v="716"/>
    <s v="Sudeste"/>
    <x v="1"/>
    <n v="253.89"/>
    <m/>
  </r>
  <r>
    <n v="101892"/>
    <x v="29"/>
    <s v="Carla Mendes"/>
    <s v="PIX"/>
    <x v="0"/>
    <x v="1"/>
    <n v="0"/>
    <n v="394"/>
    <s v="Centro-Oeste"/>
    <x v="1"/>
    <n v="246.3"/>
    <m/>
  </r>
  <r>
    <n v="101757"/>
    <x v="107"/>
    <s v="Carla Mendes"/>
    <s v="CARTÃO DE CRÉDITO"/>
    <x v="0"/>
    <x v="1"/>
    <n v="0"/>
    <n v="893"/>
    <s v="Sul"/>
    <x v="1"/>
    <n v="243.73"/>
    <m/>
  </r>
  <r>
    <n v="100774"/>
    <x v="139"/>
    <s v="Diego Alves"/>
    <s v="CARTÃO DE CRÉDITO"/>
    <x v="7"/>
    <x v="1"/>
    <n v="0"/>
    <n v="362"/>
    <s v="Sudeste"/>
    <x v="1"/>
    <n v="238.35"/>
    <m/>
  </r>
  <r>
    <n v="100017"/>
    <x v="25"/>
    <s v="Sandra Vieira"/>
    <s v="CARTÃO DE CRÉDITO"/>
    <x v="1"/>
    <x v="1"/>
    <n v="0"/>
    <n v="309"/>
    <s v="Sul"/>
    <x v="2"/>
    <n v="208.88"/>
    <m/>
  </r>
  <r>
    <n v="100905"/>
    <x v="106"/>
    <s v="Carla Mendes"/>
    <s v="TED"/>
    <x v="3"/>
    <x v="1"/>
    <n v="0"/>
    <n v="501"/>
    <s v="Sudeste"/>
    <x v="0"/>
    <n v="200.86"/>
    <m/>
  </r>
  <r>
    <n v="101473"/>
    <x v="0"/>
    <s v="Heitor Barbosa"/>
    <s v="TED"/>
    <x v="2"/>
    <x v="0"/>
    <n v="27"/>
    <n v="826"/>
    <s v="Nordeste"/>
    <x v="0"/>
    <n v="199.79"/>
    <m/>
  </r>
  <r>
    <n v="101368"/>
    <x v="149"/>
    <s v="Carla Mendes"/>
    <s v="PIX"/>
    <x v="1"/>
    <x v="2"/>
    <n v="0"/>
    <n v="769"/>
    <s v="Norte"/>
    <x v="2"/>
    <n v="188.92"/>
    <m/>
  </r>
  <r>
    <n v="100331"/>
    <x v="49"/>
    <s v="Patricia Gomes"/>
    <s v="TED"/>
    <x v="7"/>
    <x v="1"/>
    <n v="0"/>
    <n v="691"/>
    <s v="Norte"/>
    <x v="0"/>
    <n v="144.06"/>
    <m/>
  </r>
  <r>
    <n v="100336"/>
    <x v="214"/>
    <s v="Lucas Martins"/>
    <s v="BOLETO"/>
    <x v="5"/>
    <x v="0"/>
    <n v="1"/>
    <n v="494"/>
    <s v="Sudeste"/>
    <x v="1"/>
    <n v="87.78"/>
    <m/>
  </r>
  <r>
    <n v="101470"/>
    <x v="230"/>
    <s v="Bruno Lima"/>
    <s v="BOLETO"/>
    <x v="1"/>
    <x v="1"/>
    <n v="0"/>
    <n v="716"/>
    <s v="Norte"/>
    <x v="2"/>
    <n v="70.334999999999994"/>
    <m/>
  </r>
  <r>
    <n v="101943"/>
    <x v="173"/>
    <s v="Mariana Cardoso"/>
    <s v="CARTÃO DE CRÉDITO"/>
    <x v="1"/>
    <x v="3"/>
    <n v="40"/>
    <n v="621"/>
    <s v="Nordeste"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5EDC0-DF77-4C3E-989B-359551815461}" name="Tabela dinâmica5" cacheId="23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rowHeaderCaption="Status do Pagamento">
  <location ref="A39:B44" firstHeaderRow="1" firstDataRow="1" firstDataCol="1"/>
  <pivotFields count="12">
    <pivotField showAll="0"/>
    <pivotField showAll="0">
      <items count="261">
        <item x="33"/>
        <item x="181"/>
        <item x="259"/>
        <item x="137"/>
        <item x="225"/>
        <item x="59"/>
        <item x="0"/>
        <item x="143"/>
        <item x="15"/>
        <item x="153"/>
        <item x="140"/>
        <item x="35"/>
        <item x="164"/>
        <item x="77"/>
        <item x="146"/>
        <item x="91"/>
        <item x="163"/>
        <item x="145"/>
        <item x="258"/>
        <item x="23"/>
        <item x="194"/>
        <item x="46"/>
        <item x="132"/>
        <item x="229"/>
        <item x="109"/>
        <item x="148"/>
        <item x="16"/>
        <item x="131"/>
        <item x="83"/>
        <item x="189"/>
        <item x="117"/>
        <item x="207"/>
        <item x="177"/>
        <item x="147"/>
        <item x="255"/>
        <item x="234"/>
        <item x="111"/>
        <item x="183"/>
        <item x="98"/>
        <item x="64"/>
        <item x="115"/>
        <item x="121"/>
        <item x="88"/>
        <item x="94"/>
        <item x="165"/>
        <item x="244"/>
        <item x="191"/>
        <item x="68"/>
        <item x="66"/>
        <item x="239"/>
        <item x="231"/>
        <item x="128"/>
        <item x="120"/>
        <item x="161"/>
        <item x="230"/>
        <item x="61"/>
        <item x="108"/>
        <item x="45"/>
        <item x="26"/>
        <item x="162"/>
        <item x="206"/>
        <item x="97"/>
        <item x="169"/>
        <item x="150"/>
        <item x="245"/>
        <item x="176"/>
        <item x="138"/>
        <item x="47"/>
        <item x="192"/>
        <item x="75"/>
        <item x="118"/>
        <item x="7"/>
        <item x="14"/>
        <item x="144"/>
        <item x="217"/>
        <item x="107"/>
        <item x="151"/>
        <item x="139"/>
        <item x="173"/>
        <item x="249"/>
        <item x="246"/>
        <item x="116"/>
        <item x="62"/>
        <item x="93"/>
        <item x="28"/>
        <item x="2"/>
        <item x="182"/>
        <item x="51"/>
        <item x="86"/>
        <item x="166"/>
        <item x="236"/>
        <item x="254"/>
        <item x="110"/>
        <item x="43"/>
        <item x="256"/>
        <item x="41"/>
        <item x="240"/>
        <item x="172"/>
        <item x="114"/>
        <item x="188"/>
        <item x="222"/>
        <item x="197"/>
        <item x="178"/>
        <item x="216"/>
        <item x="4"/>
        <item x="168"/>
        <item x="63"/>
        <item x="142"/>
        <item x="58"/>
        <item x="171"/>
        <item x="237"/>
        <item x="5"/>
        <item x="22"/>
        <item x="221"/>
        <item x="105"/>
        <item x="119"/>
        <item x="179"/>
        <item x="149"/>
        <item x="201"/>
        <item x="184"/>
        <item x="159"/>
        <item x="1"/>
        <item x="198"/>
        <item x="3"/>
        <item x="10"/>
        <item x="122"/>
        <item x="253"/>
        <item x="233"/>
        <item x="211"/>
        <item x="9"/>
        <item x="20"/>
        <item x="227"/>
        <item x="218"/>
        <item x="185"/>
        <item x="235"/>
        <item x="248"/>
        <item x="113"/>
        <item x="125"/>
        <item x="39"/>
        <item x="6"/>
        <item x="84"/>
        <item x="40"/>
        <item x="208"/>
        <item x="78"/>
        <item x="92"/>
        <item x="215"/>
        <item x="190"/>
        <item x="175"/>
        <item x="130"/>
        <item x="99"/>
        <item x="19"/>
        <item x="242"/>
        <item x="251"/>
        <item x="13"/>
        <item x="100"/>
        <item x="82"/>
        <item x="29"/>
        <item x="48"/>
        <item x="73"/>
        <item x="135"/>
        <item x="52"/>
        <item x="202"/>
        <item x="80"/>
        <item x="124"/>
        <item x="85"/>
        <item x="79"/>
        <item x="250"/>
        <item x="186"/>
        <item x="212"/>
        <item x="25"/>
        <item x="89"/>
        <item x="193"/>
        <item x="247"/>
        <item x="134"/>
        <item x="203"/>
        <item x="252"/>
        <item x="232"/>
        <item x="133"/>
        <item x="154"/>
        <item x="160"/>
        <item x="102"/>
        <item x="223"/>
        <item x="71"/>
        <item x="152"/>
        <item x="204"/>
        <item x="257"/>
        <item x="67"/>
        <item x="70"/>
        <item x="104"/>
        <item x="38"/>
        <item x="195"/>
        <item x="27"/>
        <item x="24"/>
        <item x="220"/>
        <item x="18"/>
        <item x="243"/>
        <item x="196"/>
        <item x="30"/>
        <item x="224"/>
        <item x="238"/>
        <item x="174"/>
        <item x="17"/>
        <item x="167"/>
        <item x="36"/>
        <item x="60"/>
        <item x="49"/>
        <item x="241"/>
        <item x="226"/>
        <item x="42"/>
        <item x="219"/>
        <item x="158"/>
        <item x="81"/>
        <item x="205"/>
        <item x="101"/>
        <item x="44"/>
        <item x="32"/>
        <item x="31"/>
        <item x="12"/>
        <item x="123"/>
        <item x="213"/>
        <item x="76"/>
        <item x="34"/>
        <item x="90"/>
        <item x="170"/>
        <item x="21"/>
        <item x="157"/>
        <item x="200"/>
        <item x="57"/>
        <item x="74"/>
        <item x="96"/>
        <item x="180"/>
        <item x="72"/>
        <item x="65"/>
        <item x="8"/>
        <item x="199"/>
        <item x="155"/>
        <item x="37"/>
        <item x="50"/>
        <item x="228"/>
        <item x="95"/>
        <item x="56"/>
        <item x="11"/>
        <item x="156"/>
        <item x="214"/>
        <item x="127"/>
        <item x="126"/>
        <item x="141"/>
        <item x="187"/>
        <item x="129"/>
        <item x="209"/>
        <item x="106"/>
        <item x="87"/>
        <item x="69"/>
        <item x="210"/>
        <item x="112"/>
        <item x="54"/>
        <item x="53"/>
        <item x="136"/>
        <item x="103"/>
        <item x="55"/>
        <item t="default"/>
      </items>
    </pivotField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core de  Crédito" fld="7" subtotal="average" baseField="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4C2C1A8-2805-4386-A4BE-37DDBD505872}" autoFormatId="16" applyNumberFormats="0" applyBorderFormats="0" applyFontFormats="0" applyPatternFormats="0" applyAlignmentFormats="0" applyWidthHeightFormats="0">
  <queryTableRefresh nextId="13">
    <queryTableFields count="12">
      <queryTableField id="1" name="ID_Transacao" tableColumnId="1"/>
      <queryTableField id="2" name="ID_Cliente" tableColumnId="2"/>
      <queryTableField id="3" name="Nome_Cliente" tableColumnId="3"/>
      <queryTableField id="4" name="Tipo_Transacao" tableColumnId="4"/>
      <queryTableField id="5" name="Categoria" tableColumnId="5"/>
      <queryTableField id="6" name="Status_Pagamento" tableColumnId="6"/>
      <queryTableField id="7" name="Dias_Atraso" tableColumnId="7"/>
      <queryTableField id="8" name="Score_Credito" tableColumnId="8"/>
      <queryTableField id="9" name="Regiao" tableColumnId="9"/>
      <queryTableField id="10" name="Canal" tableColumnId="10"/>
      <queryTableField id="11" name="Valor_Transacao" tableColumnId="11"/>
      <queryTableField id="12" name="Data_Transacao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21B880-9CC1-4D3F-A062-A51F9D8812DE}" name="Dados_Brutos_treino" displayName="Dados_Brutos_treino" ref="A1:L2201" tableType="queryTable" totalsRowShown="0">
  <autoFilter ref="A1:L2201" xr:uid="{2521B880-9CC1-4D3F-A062-A51F9D8812DE}"/>
  <tableColumns count="12">
    <tableColumn id="1" xr3:uid="{7969F8D2-7088-4EAF-8EA7-C3C4B0B08441}" uniqueName="1" name="ID_Transacao" queryTableFieldId="1"/>
    <tableColumn id="2" xr3:uid="{D0821D39-6FA3-4D00-A6E8-124D6708911D}" uniqueName="2" name="ID_Cliente" queryTableFieldId="2" dataDxfId="22"/>
    <tableColumn id="3" xr3:uid="{39C81DD6-65E4-4C2F-931D-8B71CD29EECB}" uniqueName="3" name="Nome_Cliente" queryTableFieldId="3" dataDxfId="21"/>
    <tableColumn id="4" xr3:uid="{283BDEC1-9D22-49D6-B29C-1CAD9F2A76A4}" uniqueName="4" name="Tipo_Transacao" queryTableFieldId="4" dataDxfId="20"/>
    <tableColumn id="5" xr3:uid="{6176D392-73BD-4B95-B4DE-69DFFE1923F6}" uniqueName="5" name="Categoria" queryTableFieldId="5" dataDxfId="19"/>
    <tableColumn id="6" xr3:uid="{65C98CA6-9D70-41A8-8ED8-47CABB9E2C9A}" uniqueName="6" name="Status_Pagamento" queryTableFieldId="6" dataDxfId="18"/>
    <tableColumn id="7" xr3:uid="{26B39B15-D9F7-4967-899B-034D901F45BE}" uniqueName="7" name="Dias_Atraso" queryTableFieldId="7"/>
    <tableColumn id="8" xr3:uid="{A7146026-D1DA-4769-B783-56142C096637}" uniqueName="8" name="Score_Credito" queryTableFieldId="8"/>
    <tableColumn id="9" xr3:uid="{EA3CBA7A-CA25-4414-AF39-3F9B19F7ED8E}" uniqueName="9" name="Regiao" queryTableFieldId="9" dataDxfId="17"/>
    <tableColumn id="10" xr3:uid="{A48AB5D3-76A1-455D-873E-B12708FDEBF1}" uniqueName="10" name="Canal" queryTableFieldId="10" dataDxfId="16"/>
    <tableColumn id="11" xr3:uid="{FD1DAD1F-351B-4AEC-9BE3-1070E7E3CE7D}" uniqueName="11" name="Valor_Transacao" queryTableFieldId="11"/>
    <tableColumn id="12" xr3:uid="{9E91FB95-5EAF-47F9-ADE9-6DBD68509C50}" uniqueName="12" name="Data_Transacao" queryTableFieldId="12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D20AC-77F5-42AA-B7EC-2ACF298E5BE4}">
  <sheetPr codeName="Planilha1"/>
  <dimension ref="A1:M55"/>
  <sheetViews>
    <sheetView showGridLines="0" tabSelected="1" topLeftCell="A27" workbookViewId="0">
      <selection activeCell="E58" sqref="E58"/>
    </sheetView>
  </sheetViews>
  <sheetFormatPr defaultRowHeight="15" x14ac:dyDescent="0.25"/>
  <cols>
    <col min="5" max="5" width="13.42578125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3.25" x14ac:dyDescent="0.35">
      <c r="A2" s="46" t="s">
        <v>3857</v>
      </c>
      <c r="B2" s="46"/>
      <c r="C2" s="46"/>
      <c r="D2" s="46"/>
      <c r="E2" s="46"/>
      <c r="F2" s="46"/>
      <c r="G2" s="46"/>
      <c r="H2" s="46"/>
      <c r="I2" s="46"/>
      <c r="J2" s="46"/>
      <c r="K2" s="1"/>
      <c r="L2" s="1"/>
      <c r="M2" s="1"/>
    </row>
    <row r="3" spans="1:13" x14ac:dyDescent="0.25">
      <c r="A3" s="47" t="s">
        <v>3858</v>
      </c>
      <c r="B3" s="47"/>
      <c r="C3" s="47"/>
      <c r="D3" s="47"/>
      <c r="E3" s="47"/>
      <c r="F3" s="47"/>
      <c r="G3" s="47"/>
      <c r="H3" s="47"/>
      <c r="I3" s="47"/>
      <c r="J3" s="47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48"/>
      <c r="B5" s="48"/>
      <c r="C5" s="1"/>
      <c r="D5" s="49"/>
      <c r="E5" s="49"/>
      <c r="F5" s="1"/>
      <c r="G5" s="50"/>
      <c r="H5" s="50"/>
      <c r="I5" s="1"/>
      <c r="J5" s="51"/>
      <c r="K5" s="51"/>
      <c r="L5" s="1"/>
      <c r="M5" s="1"/>
    </row>
    <row r="6" spans="1:13" x14ac:dyDescent="0.25">
      <c r="A6" s="52" t="s">
        <v>3859</v>
      </c>
      <c r="B6" s="52"/>
      <c r="C6" s="1"/>
      <c r="D6" s="53" t="s">
        <v>3860</v>
      </c>
      <c r="E6" s="53"/>
      <c r="F6" s="1"/>
      <c r="G6" s="54" t="s">
        <v>3861</v>
      </c>
      <c r="H6" s="54"/>
      <c r="I6" s="1"/>
      <c r="J6" s="55" t="s">
        <v>3862</v>
      </c>
      <c r="K6" s="55"/>
      <c r="L6" s="1"/>
      <c r="M6" s="1"/>
    </row>
    <row r="7" spans="1:13" x14ac:dyDescent="0.25">
      <c r="A7" s="56">
        <f>COUNTA([1]!TabelaDados[ID_Transacao])</f>
        <v>2124</v>
      </c>
      <c r="B7" s="56"/>
      <c r="C7" s="1"/>
      <c r="D7" s="57">
        <f>SUM([1]!TabelaDados[Valor_Transacao])</f>
        <v>852838.09999999986</v>
      </c>
      <c r="E7" s="57"/>
      <c r="F7" s="1"/>
      <c r="G7" s="58">
        <f>COUNTIF([1]!TabelaDados[Status_Pagamento],"INADIMPLENTE")/COUNTA([1]!TabelaDados[Status_Pagamento])</f>
        <v>9.5574387947269301E-2</v>
      </c>
      <c r="H7" s="58"/>
      <c r="I7" s="1"/>
      <c r="J7" s="59">
        <f>AVERAGE([1]!TabelaDados[Score_Credito])</f>
        <v>587.30367231638422</v>
      </c>
      <c r="K7" s="59"/>
      <c r="L7" s="1"/>
      <c r="M7" s="1"/>
    </row>
    <row r="8" spans="1:13" x14ac:dyDescent="0.25">
      <c r="A8" s="56"/>
      <c r="B8" s="56"/>
      <c r="C8" s="1"/>
      <c r="D8" s="57"/>
      <c r="E8" s="57"/>
      <c r="F8" s="1"/>
      <c r="G8" s="58"/>
      <c r="H8" s="58"/>
      <c r="I8" s="1"/>
      <c r="J8" s="59"/>
      <c r="K8" s="59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.75" x14ac:dyDescent="0.25">
      <c r="A10" s="60" t="s">
        <v>3863</v>
      </c>
      <c r="B10" s="1"/>
      <c r="C10" s="1"/>
      <c r="D10" s="1"/>
      <c r="E10" s="1"/>
      <c r="F10" s="60" t="s">
        <v>3866</v>
      </c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.75" x14ac:dyDescent="0.25">
      <c r="A27" s="60" t="s">
        <v>3864</v>
      </c>
      <c r="B27" s="1"/>
      <c r="C27" s="1"/>
      <c r="D27" s="1"/>
      <c r="E27" s="1"/>
      <c r="F27" s="60" t="s">
        <v>3867</v>
      </c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61" t="s">
        <v>3865</v>
      </c>
      <c r="B45" s="61"/>
      <c r="C45" s="61"/>
      <c r="D45" s="61"/>
      <c r="E45" s="61"/>
      <c r="F45" s="61"/>
      <c r="G45" s="61"/>
      <c r="H45" s="61"/>
      <c r="I45" s="61"/>
      <c r="J45" s="61"/>
      <c r="K45" s="1"/>
      <c r="L45" s="1"/>
      <c r="M45" s="1"/>
    </row>
    <row r="46" spans="1:13" x14ac:dyDescent="0.25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1"/>
      <c r="L46" s="1"/>
      <c r="M46" s="1"/>
    </row>
    <row r="47" spans="1:13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1"/>
      <c r="L47" s="1"/>
      <c r="M47" s="1"/>
    </row>
    <row r="48" spans="1:13" x14ac:dyDescent="0.25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1"/>
      <c r="L48" s="1"/>
      <c r="M48" s="1"/>
    </row>
    <row r="49" spans="1:13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</sheetData>
  <mergeCells count="11">
    <mergeCell ref="A7:B8"/>
    <mergeCell ref="D7:E8"/>
    <mergeCell ref="G7:H8"/>
    <mergeCell ref="J7:K8"/>
    <mergeCell ref="A45:J48"/>
    <mergeCell ref="A2:J2"/>
    <mergeCell ref="A3:J3"/>
    <mergeCell ref="A6:B6"/>
    <mergeCell ref="D6:E6"/>
    <mergeCell ref="G6:H6"/>
    <mergeCell ref="J6:K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1A5F1-D34C-43D8-8B8D-609A775B4D4C}">
  <sheetPr codeName="Planilha2"/>
  <dimension ref="A2:T55"/>
  <sheetViews>
    <sheetView showGridLines="0" topLeftCell="A37" workbookViewId="0">
      <selection activeCell="H12" sqref="H12"/>
    </sheetView>
  </sheetViews>
  <sheetFormatPr defaultRowHeight="15" x14ac:dyDescent="0.25"/>
  <cols>
    <col min="1" max="1" width="28.7109375" customWidth="1"/>
    <col min="2" max="2" width="17.140625" customWidth="1"/>
    <col min="3" max="3" width="16" customWidth="1"/>
    <col min="4" max="4" width="13" customWidth="1"/>
    <col min="5" max="5" width="14.5703125" customWidth="1"/>
    <col min="7" max="7" width="26" customWidth="1"/>
    <col min="8" max="8" width="16.7109375" customWidth="1"/>
    <col min="9" max="9" width="15" customWidth="1"/>
    <col min="10" max="10" width="14.85546875" customWidth="1"/>
    <col min="11" max="11" width="13.85546875" customWidth="1"/>
    <col min="12" max="12" width="16" customWidth="1"/>
    <col min="13" max="13" width="14.85546875" customWidth="1"/>
    <col min="14" max="14" width="13.5703125" customWidth="1"/>
  </cols>
  <sheetData>
    <row r="2" spans="1:20" x14ac:dyDescent="0.25">
      <c r="A2" s="6"/>
      <c r="B2" s="6" t="s">
        <v>3849</v>
      </c>
      <c r="C2" s="6"/>
      <c r="D2" s="6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8" t="s">
        <v>3847</v>
      </c>
      <c r="B3" s="8" t="s">
        <v>25</v>
      </c>
      <c r="C3" s="8" t="s">
        <v>42</v>
      </c>
      <c r="D3" s="8" t="s">
        <v>18</v>
      </c>
      <c r="E3" s="8" t="s">
        <v>83</v>
      </c>
      <c r="F3" s="1"/>
      <c r="G3" s="19" t="s">
        <v>3850</v>
      </c>
      <c r="H3" s="19"/>
      <c r="I3" s="19"/>
      <c r="J3" s="19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9" t="s">
        <v>56</v>
      </c>
      <c r="B4" s="10">
        <v>0.15756302521008403</v>
      </c>
      <c r="C4" s="11">
        <v>9.0336134453781511E-2</v>
      </c>
      <c r="D4" s="12">
        <v>0.55882352941176472</v>
      </c>
      <c r="E4" s="13">
        <v>0.19327731092436976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9" t="s">
        <v>35</v>
      </c>
      <c r="B5" s="10">
        <v>7.575757575757576E-2</v>
      </c>
      <c r="C5" s="11">
        <v>7.575757575757576E-2</v>
      </c>
      <c r="D5" s="12">
        <v>0.59090909090909094</v>
      </c>
      <c r="E5" s="13">
        <v>0.25757575757575757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9" t="s">
        <v>32</v>
      </c>
      <c r="B6" s="10">
        <v>0.15136476426799009</v>
      </c>
      <c r="C6" s="11">
        <v>8.6848635235732011E-2</v>
      </c>
      <c r="D6" s="12">
        <v>0.5533498759305211</v>
      </c>
      <c r="E6" s="20">
        <v>0.20843672456575682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9" t="s">
        <v>37</v>
      </c>
      <c r="B7" s="10">
        <v>0.15402843601895735</v>
      </c>
      <c r="C7" s="20">
        <v>0.12559241706161137</v>
      </c>
      <c r="D7" s="12">
        <v>0.50710900473933651</v>
      </c>
      <c r="E7" s="13">
        <v>0.2132701421800948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9" t="s">
        <v>19</v>
      </c>
      <c r="B8" s="20">
        <v>0.17874396135265699</v>
      </c>
      <c r="C8" s="11">
        <v>9.6618357487922704E-2</v>
      </c>
      <c r="D8" s="12">
        <v>0.50966183574879231</v>
      </c>
      <c r="E8" s="13">
        <v>0.21497584541062803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9" t="s">
        <v>45</v>
      </c>
      <c r="B9" s="10">
        <v>0.16706443914081145</v>
      </c>
      <c r="C9" s="11">
        <v>7.8758949880668255E-2</v>
      </c>
      <c r="D9" s="20">
        <v>0.57279236276849643</v>
      </c>
      <c r="E9" s="13">
        <v>0.18138424821002386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4" t="s">
        <v>3846</v>
      </c>
      <c r="B10" s="15">
        <v>0.15909090909090909</v>
      </c>
      <c r="C10" s="16">
        <v>9.5000000000000001E-2</v>
      </c>
      <c r="D10" s="17">
        <v>0.54227272727272724</v>
      </c>
      <c r="E10" s="18">
        <v>0.20363636363636364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4" spans="1:20" x14ac:dyDescent="0.25">
      <c r="A14" s="6" t="s">
        <v>3853</v>
      </c>
      <c r="G14" s="6" t="s">
        <v>3854</v>
      </c>
    </row>
    <row r="15" spans="1:20" x14ac:dyDescent="0.25">
      <c r="G15" s="26"/>
      <c r="H15" s="26"/>
      <c r="I15" s="26"/>
      <c r="J15" s="26"/>
      <c r="K15" s="26"/>
      <c r="L15" s="26"/>
    </row>
    <row r="16" spans="1:20" x14ac:dyDescent="0.25">
      <c r="A16" s="6" t="s">
        <v>3852</v>
      </c>
      <c r="B16" s="6" t="s">
        <v>3848</v>
      </c>
      <c r="C16" s="27"/>
      <c r="D16" s="6"/>
      <c r="E16" s="6"/>
      <c r="G16" s="6" t="s">
        <v>3851</v>
      </c>
      <c r="H16" s="6" t="s">
        <v>3848</v>
      </c>
      <c r="I16" s="6"/>
      <c r="J16" s="6"/>
      <c r="K16" s="6"/>
      <c r="L16" s="32"/>
      <c r="M16" s="1"/>
    </row>
    <row r="17" spans="1:13" x14ac:dyDescent="0.25">
      <c r="A17" s="8" t="s">
        <v>3845</v>
      </c>
      <c r="B17" s="8" t="s">
        <v>25</v>
      </c>
      <c r="C17" s="28" t="s">
        <v>42</v>
      </c>
      <c r="D17" s="24" t="s">
        <v>18</v>
      </c>
      <c r="E17" s="24" t="s">
        <v>83</v>
      </c>
      <c r="G17" s="8" t="s">
        <v>3845</v>
      </c>
      <c r="H17" s="41" t="s">
        <v>25</v>
      </c>
      <c r="I17" s="36" t="s">
        <v>42</v>
      </c>
      <c r="J17" s="38" t="s">
        <v>18</v>
      </c>
      <c r="K17" s="24" t="s">
        <v>83</v>
      </c>
      <c r="L17" s="32"/>
      <c r="M17" s="1"/>
    </row>
    <row r="18" spans="1:13" x14ac:dyDescent="0.25">
      <c r="A18" s="5" t="s">
        <v>78</v>
      </c>
      <c r="B18" s="22">
        <v>467.31309999999996</v>
      </c>
      <c r="C18" s="22">
        <v>508.0023333333333</v>
      </c>
      <c r="D18" s="21">
        <v>390.29589403973512</v>
      </c>
      <c r="E18" s="21">
        <v>403.67409090909098</v>
      </c>
      <c r="G18" s="5" t="s">
        <v>78</v>
      </c>
      <c r="H18" s="42">
        <v>23365.654999999999</v>
      </c>
      <c r="I18" s="23">
        <v>15240.07</v>
      </c>
      <c r="J18" s="39">
        <v>58934.68</v>
      </c>
      <c r="K18" s="21">
        <v>26642.490000000005</v>
      </c>
      <c r="L18" s="33"/>
      <c r="M18" s="1"/>
    </row>
    <row r="19" spans="1:13" x14ac:dyDescent="0.25">
      <c r="A19" s="5" t="s">
        <v>70</v>
      </c>
      <c r="B19" s="21">
        <v>445.98418604651164</v>
      </c>
      <c r="C19" s="22">
        <v>344.78409090909082</v>
      </c>
      <c r="D19" s="21">
        <v>413.6064423076923</v>
      </c>
      <c r="E19" s="21">
        <v>348.33468085106387</v>
      </c>
      <c r="G19" s="5" t="s">
        <v>70</v>
      </c>
      <c r="H19" s="42">
        <v>19177.32</v>
      </c>
      <c r="I19" s="23">
        <v>7585.2499999999982</v>
      </c>
      <c r="J19" s="39">
        <v>64522.605000000003</v>
      </c>
      <c r="K19" s="21">
        <v>16371.730000000001</v>
      </c>
      <c r="L19" s="34"/>
      <c r="M19" s="1"/>
    </row>
    <row r="20" spans="1:13" x14ac:dyDescent="0.25">
      <c r="A20" s="5" t="s">
        <v>31</v>
      </c>
      <c r="B20" s="21">
        <v>349.78970000000004</v>
      </c>
      <c r="C20" s="22">
        <v>380.99464285714282</v>
      </c>
      <c r="D20" s="21">
        <v>383.22728758169933</v>
      </c>
      <c r="E20" s="22">
        <v>452.26381944444455</v>
      </c>
      <c r="G20" s="5" t="s">
        <v>31</v>
      </c>
      <c r="H20" s="42">
        <v>17489.485000000001</v>
      </c>
      <c r="I20" s="23">
        <v>10667.849999999999</v>
      </c>
      <c r="J20" s="39">
        <v>58633.774999999994</v>
      </c>
      <c r="K20" s="22">
        <v>32562.995000000006</v>
      </c>
      <c r="L20" s="35"/>
      <c r="M20" s="1"/>
    </row>
    <row r="21" spans="1:13" x14ac:dyDescent="0.25">
      <c r="A21" s="5" t="s">
        <v>60</v>
      </c>
      <c r="B21" s="21">
        <v>377.19152173913045</v>
      </c>
      <c r="C21" s="22">
        <v>322.3991666666667</v>
      </c>
      <c r="D21" s="21">
        <v>376.32514204545447</v>
      </c>
      <c r="E21" s="21">
        <v>396.0107692307692</v>
      </c>
      <c r="G21" s="5" t="s">
        <v>60</v>
      </c>
      <c r="H21" s="42">
        <v>17350.810000000001</v>
      </c>
      <c r="I21" s="23">
        <v>11606.37</v>
      </c>
      <c r="J21" s="39">
        <v>66233.225000000006</v>
      </c>
      <c r="K21" s="21">
        <v>25740.699999999997</v>
      </c>
      <c r="L21" s="35"/>
      <c r="M21" s="1"/>
    </row>
    <row r="22" spans="1:13" x14ac:dyDescent="0.25">
      <c r="A22" s="5" t="s">
        <v>35</v>
      </c>
      <c r="B22" s="21">
        <v>369.51071428571424</v>
      </c>
      <c r="C22" s="22">
        <v>348.50000000000006</v>
      </c>
      <c r="D22" s="21">
        <v>483.50021276595749</v>
      </c>
      <c r="E22" s="21">
        <v>415.22</v>
      </c>
      <c r="G22" s="5" t="s">
        <v>35</v>
      </c>
      <c r="H22" s="42">
        <v>5173.1499999999996</v>
      </c>
      <c r="I22" s="23">
        <v>2788.0000000000005</v>
      </c>
      <c r="J22" s="39">
        <v>22724.510000000002</v>
      </c>
      <c r="K22" s="21">
        <v>6228.3</v>
      </c>
      <c r="L22" s="35"/>
      <c r="M22" s="1"/>
    </row>
    <row r="23" spans="1:13" x14ac:dyDescent="0.25">
      <c r="A23" s="5" t="s">
        <v>17</v>
      </c>
      <c r="B23" s="21">
        <v>374.14137931034486</v>
      </c>
      <c r="C23" s="22">
        <v>477.02159999999998</v>
      </c>
      <c r="D23" s="22">
        <v>430.78381410256418</v>
      </c>
      <c r="E23" s="21">
        <v>415.03800000000012</v>
      </c>
      <c r="G23" s="5" t="s">
        <v>17</v>
      </c>
      <c r="H23" s="42">
        <v>21700.2</v>
      </c>
      <c r="I23" s="23">
        <v>11925.539999999999</v>
      </c>
      <c r="J23" s="39">
        <v>67202.275000000009</v>
      </c>
      <c r="K23" s="21">
        <v>24902.280000000006</v>
      </c>
      <c r="L23" s="35"/>
      <c r="M23" s="1"/>
    </row>
    <row r="24" spans="1:13" x14ac:dyDescent="0.25">
      <c r="A24" s="5" t="s">
        <v>55</v>
      </c>
      <c r="B24" s="21">
        <v>376.07928571428579</v>
      </c>
      <c r="C24" s="22">
        <v>462.14921874999993</v>
      </c>
      <c r="D24" s="21">
        <v>397.97624999999994</v>
      </c>
      <c r="E24" s="21">
        <v>447.0625423728813</v>
      </c>
      <c r="G24" s="5" t="s">
        <v>55</v>
      </c>
      <c r="H24" s="42">
        <v>15795.330000000004</v>
      </c>
      <c r="I24" s="23">
        <v>14788.774999999998</v>
      </c>
      <c r="J24" s="39">
        <v>63676.19999999999</v>
      </c>
      <c r="K24" s="21">
        <v>26376.689999999995</v>
      </c>
      <c r="L24" s="35"/>
      <c r="M24" s="1"/>
    </row>
    <row r="25" spans="1:13" x14ac:dyDescent="0.25">
      <c r="A25" s="5" t="s">
        <v>81</v>
      </c>
      <c r="B25" s="21">
        <v>458.72820512820527</v>
      </c>
      <c r="C25" s="22">
        <v>424.15199999999999</v>
      </c>
      <c r="D25" s="21">
        <v>367.2253846153846</v>
      </c>
      <c r="E25" s="21">
        <v>339.06830357142843</v>
      </c>
      <c r="G25" s="5" t="s">
        <v>81</v>
      </c>
      <c r="H25" s="42">
        <v>17890.400000000005</v>
      </c>
      <c r="I25" s="23">
        <v>10603.8</v>
      </c>
      <c r="J25" s="39">
        <v>62061.09</v>
      </c>
      <c r="K25" s="21">
        <v>18987.824999999993</v>
      </c>
      <c r="L25" s="35"/>
      <c r="M25" s="1"/>
    </row>
    <row r="26" spans="1:13" x14ac:dyDescent="0.25">
      <c r="A26" s="14" t="s">
        <v>3846</v>
      </c>
      <c r="B26" s="25">
        <v>403.34020467836234</v>
      </c>
      <c r="C26" s="31">
        <v>413.61968446601969</v>
      </c>
      <c r="D26" s="25">
        <v>397.2503082191779</v>
      </c>
      <c r="E26" s="25">
        <v>404.1204772727275</v>
      </c>
      <c r="G26" s="14" t="s">
        <v>3846</v>
      </c>
      <c r="H26" s="43">
        <v>137942.35</v>
      </c>
      <c r="I26" s="37">
        <v>85205.654999999999</v>
      </c>
      <c r="J26" s="40">
        <v>463988.36</v>
      </c>
      <c r="K26" s="25">
        <v>177813.01</v>
      </c>
      <c r="L26" s="35"/>
      <c r="M26" s="1"/>
    </row>
    <row r="27" spans="1:13" x14ac:dyDescent="0.25">
      <c r="C27" s="26"/>
      <c r="G27" s="26"/>
      <c r="H27" s="29"/>
      <c r="I27" s="22"/>
      <c r="J27" s="22"/>
      <c r="K27" s="22"/>
      <c r="L27" s="35"/>
      <c r="M27" s="1"/>
    </row>
    <row r="28" spans="1:13" x14ac:dyDescent="0.25">
      <c r="A28" s="5"/>
      <c r="G28" s="26"/>
      <c r="H28" s="30"/>
      <c r="I28" s="31"/>
      <c r="J28" s="31"/>
      <c r="K28" s="31"/>
      <c r="L28" s="35"/>
      <c r="M28" s="1"/>
    </row>
    <row r="29" spans="1:13" x14ac:dyDescent="0.25">
      <c r="G29" s="1"/>
      <c r="H29" s="26"/>
      <c r="I29" s="26"/>
      <c r="J29" s="26"/>
      <c r="K29" s="26"/>
      <c r="L29" s="32"/>
      <c r="M29" s="1"/>
    </row>
    <row r="39" spans="1:2" x14ac:dyDescent="0.25">
      <c r="A39" s="4" t="s">
        <v>3849</v>
      </c>
      <c r="B39" s="1" t="s">
        <v>3855</v>
      </c>
    </row>
    <row r="40" spans="1:2" x14ac:dyDescent="0.25">
      <c r="A40" s="5" t="s">
        <v>25</v>
      </c>
      <c r="B40" s="44">
        <v>600.54</v>
      </c>
    </row>
    <row r="41" spans="1:2" x14ac:dyDescent="0.25">
      <c r="A41" s="5" t="s">
        <v>42</v>
      </c>
      <c r="B41" s="44">
        <v>569.21531100478467</v>
      </c>
    </row>
    <row r="42" spans="1:2" x14ac:dyDescent="0.25">
      <c r="A42" s="5" t="s">
        <v>18</v>
      </c>
      <c r="B42" s="44">
        <v>585.11651299245602</v>
      </c>
    </row>
    <row r="43" spans="1:2" x14ac:dyDescent="0.25">
      <c r="A43" s="5" t="s">
        <v>83</v>
      </c>
      <c r="B43" s="44">
        <v>592.41964285714289</v>
      </c>
    </row>
    <row r="44" spans="1:2" x14ac:dyDescent="0.25">
      <c r="A44" s="5" t="s">
        <v>3846</v>
      </c>
      <c r="B44" s="44">
        <v>587.54681818181814</v>
      </c>
    </row>
    <row r="49" spans="1:5" x14ac:dyDescent="0.25">
      <c r="A49" s="6" t="s">
        <v>3856</v>
      </c>
      <c r="B49" s="6" t="s">
        <v>3848</v>
      </c>
      <c r="C49" s="6"/>
      <c r="D49" s="6"/>
      <c r="E49" s="6"/>
    </row>
    <row r="50" spans="1:5" x14ac:dyDescent="0.25">
      <c r="A50" s="8" t="s">
        <v>3845</v>
      </c>
      <c r="B50" s="8" t="s">
        <v>25</v>
      </c>
      <c r="C50" s="8" t="s">
        <v>42</v>
      </c>
      <c r="D50" s="8" t="s">
        <v>18</v>
      </c>
      <c r="E50" s="8" t="s">
        <v>83</v>
      </c>
    </row>
    <row r="51" spans="1:5" x14ac:dyDescent="0.25">
      <c r="A51" s="5" t="s">
        <v>33</v>
      </c>
      <c r="B51" s="7">
        <v>0.17675400687311463</v>
      </c>
      <c r="C51" s="7">
        <v>8.5435552965360817E-2</v>
      </c>
      <c r="D51" s="7">
        <v>0.53592412937504175</v>
      </c>
      <c r="E51" s="7">
        <v>0.20188631078648281</v>
      </c>
    </row>
    <row r="52" spans="1:5" x14ac:dyDescent="0.25">
      <c r="A52" s="5" t="s">
        <v>26</v>
      </c>
      <c r="B52" s="7">
        <v>0.15658952311638294</v>
      </c>
      <c r="C52" s="7">
        <v>8.33271143822851E-2</v>
      </c>
      <c r="D52" s="7">
        <v>0.54776496748408976</v>
      </c>
      <c r="E52" s="7">
        <v>0.21231839501724223</v>
      </c>
    </row>
    <row r="53" spans="1:5" x14ac:dyDescent="0.25">
      <c r="A53" s="5" t="s">
        <v>20</v>
      </c>
      <c r="B53" s="7">
        <v>0.15020301999168442</v>
      </c>
      <c r="C53" s="7">
        <v>0.10792443557444953</v>
      </c>
      <c r="D53" s="7">
        <v>0.54293624474888103</v>
      </c>
      <c r="E53" s="7">
        <v>0.19893629968498505</v>
      </c>
    </row>
    <row r="54" spans="1:5" x14ac:dyDescent="0.25">
      <c r="A54" s="5" t="s">
        <v>35</v>
      </c>
      <c r="B54" s="7">
        <v>0.20468260770697405</v>
      </c>
      <c r="C54" s="7">
        <v>4.5513504494770568E-2</v>
      </c>
      <c r="D54" s="7">
        <v>0.52218254379390661</v>
      </c>
      <c r="E54" s="7">
        <v>0.22762134400434877</v>
      </c>
    </row>
    <row r="55" spans="1:5" x14ac:dyDescent="0.25">
      <c r="A55" s="14" t="s">
        <v>3846</v>
      </c>
      <c r="B55" s="45">
        <v>0.15918025313245909</v>
      </c>
      <c r="C55" s="45">
        <v>9.4979864770024069E-2</v>
      </c>
      <c r="D55" s="45">
        <v>0.5421405073529445</v>
      </c>
      <c r="E55" s="45">
        <v>0.20369937474457234</v>
      </c>
    </row>
  </sheetData>
  <mergeCells count="1">
    <mergeCell ref="G3:J3"/>
  </mergeCells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608F-F708-49E5-9BC9-42E8A1682590}">
  <sheetPr codeName="Planilha3"/>
  <dimension ref="A1:L2201"/>
  <sheetViews>
    <sheetView workbookViewId="0">
      <selection activeCell="A3" sqref="A3"/>
    </sheetView>
  </sheetViews>
  <sheetFormatPr defaultRowHeight="15" x14ac:dyDescent="0.25"/>
  <cols>
    <col min="1" max="1" width="14.85546875" bestFit="1" customWidth="1"/>
    <col min="2" max="2" width="12.5703125" bestFit="1" customWidth="1"/>
    <col min="3" max="3" width="16.28515625" bestFit="1" customWidth="1"/>
    <col min="4" max="4" width="19.28515625" bestFit="1" customWidth="1"/>
    <col min="5" max="5" width="14.42578125" bestFit="1" customWidth="1"/>
    <col min="6" max="6" width="20" bestFit="1" customWidth="1"/>
    <col min="7" max="7" width="14.42578125" bestFit="1" customWidth="1"/>
    <col min="8" max="8" width="15.85546875" bestFit="1" customWidth="1"/>
    <col min="9" max="9" width="14.42578125" bestFit="1" customWidth="1"/>
    <col min="10" max="10" width="15.85546875" bestFit="1" customWidth="1"/>
    <col min="11" max="11" width="17.85546875" bestFit="1" customWidth="1"/>
    <col min="12" max="12" width="17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4</v>
      </c>
      <c r="L1" t="s">
        <v>3</v>
      </c>
    </row>
    <row r="2" spans="1:12" x14ac:dyDescent="0.25">
      <c r="A2" s="1">
        <v>100494</v>
      </c>
      <c r="B2" s="2" t="s">
        <v>515</v>
      </c>
      <c r="C2" s="2" t="s">
        <v>22</v>
      </c>
      <c r="D2" s="2" t="s">
        <v>106</v>
      </c>
      <c r="E2" s="2" t="s">
        <v>60</v>
      </c>
      <c r="F2" s="2" t="s">
        <v>25</v>
      </c>
      <c r="G2" s="1">
        <v>24</v>
      </c>
      <c r="H2" s="1">
        <v>826</v>
      </c>
      <c r="I2" s="2" t="s">
        <v>56</v>
      </c>
      <c r="J2" s="2" t="s">
        <v>33</v>
      </c>
      <c r="K2" s="1">
        <v>999.43</v>
      </c>
      <c r="L2" s="3">
        <v>45997</v>
      </c>
    </row>
    <row r="3" spans="1:12" x14ac:dyDescent="0.25">
      <c r="A3" s="1">
        <v>102094</v>
      </c>
      <c r="B3" s="2" t="s">
        <v>1163</v>
      </c>
      <c r="C3" s="2" t="s">
        <v>13</v>
      </c>
      <c r="D3" s="2" t="s">
        <v>50</v>
      </c>
      <c r="E3" s="2" t="s">
        <v>31</v>
      </c>
      <c r="F3" s="2" t="s">
        <v>18</v>
      </c>
      <c r="G3" s="1">
        <v>0</v>
      </c>
      <c r="H3" s="1">
        <v>850</v>
      </c>
      <c r="I3" s="2" t="s">
        <v>45</v>
      </c>
      <c r="J3" s="2" t="s">
        <v>20</v>
      </c>
      <c r="K3" s="1">
        <v>465.82</v>
      </c>
      <c r="L3" s="3">
        <v>45996</v>
      </c>
    </row>
    <row r="4" spans="1:12" x14ac:dyDescent="0.25">
      <c r="A4" s="1">
        <v>100344</v>
      </c>
      <c r="B4" s="2" t="s">
        <v>125</v>
      </c>
      <c r="C4" s="2" t="s">
        <v>126</v>
      </c>
      <c r="D4" s="2" t="s">
        <v>41</v>
      </c>
      <c r="E4" s="2" t="s">
        <v>55</v>
      </c>
      <c r="F4" s="2" t="s">
        <v>18</v>
      </c>
      <c r="G4" s="1">
        <v>0</v>
      </c>
      <c r="H4" s="1">
        <v>461</v>
      </c>
      <c r="I4" s="2" t="s">
        <v>32</v>
      </c>
      <c r="J4" s="2" t="s">
        <v>26</v>
      </c>
      <c r="K4" s="1">
        <v>661.2</v>
      </c>
      <c r="L4" s="3">
        <v>45993</v>
      </c>
    </row>
    <row r="5" spans="1:12" x14ac:dyDescent="0.25">
      <c r="A5" s="1">
        <v>100016</v>
      </c>
      <c r="B5" s="2" t="s">
        <v>230</v>
      </c>
      <c r="C5" s="2" t="s">
        <v>95</v>
      </c>
      <c r="D5" s="2" t="s">
        <v>16</v>
      </c>
      <c r="E5" s="2" t="s">
        <v>81</v>
      </c>
      <c r="F5" s="2" t="s">
        <v>18</v>
      </c>
      <c r="G5" s="1">
        <v>0</v>
      </c>
      <c r="H5" s="1">
        <v>818</v>
      </c>
      <c r="I5" s="2" t="s">
        <v>37</v>
      </c>
      <c r="J5" s="2" t="s">
        <v>33</v>
      </c>
      <c r="K5" s="1">
        <v>364.02</v>
      </c>
      <c r="L5" s="3">
        <v>45992</v>
      </c>
    </row>
    <row r="6" spans="1:12" x14ac:dyDescent="0.25">
      <c r="A6" s="1">
        <v>101822</v>
      </c>
      <c r="B6" s="2" t="s">
        <v>138</v>
      </c>
      <c r="C6" s="2" t="s">
        <v>85</v>
      </c>
      <c r="D6" s="2" t="s">
        <v>16</v>
      </c>
      <c r="E6" s="2" t="s">
        <v>78</v>
      </c>
      <c r="F6" s="2" t="s">
        <v>18</v>
      </c>
      <c r="G6" s="1">
        <v>0</v>
      </c>
      <c r="H6" s="1">
        <v>623</v>
      </c>
      <c r="I6" s="2" t="s">
        <v>56</v>
      </c>
      <c r="J6" s="2" t="s">
        <v>33</v>
      </c>
      <c r="K6" s="1">
        <v>79.7</v>
      </c>
      <c r="L6" s="3">
        <v>45967</v>
      </c>
    </row>
    <row r="7" spans="1:12" x14ac:dyDescent="0.25">
      <c r="A7" s="1">
        <v>100999</v>
      </c>
      <c r="B7" s="2" t="s">
        <v>286</v>
      </c>
      <c r="C7" s="2" t="s">
        <v>168</v>
      </c>
      <c r="D7" s="2" t="s">
        <v>16</v>
      </c>
      <c r="E7" s="2" t="s">
        <v>31</v>
      </c>
      <c r="F7" s="2" t="s">
        <v>25</v>
      </c>
      <c r="G7" s="1">
        <v>25</v>
      </c>
      <c r="H7" s="1">
        <v>434</v>
      </c>
      <c r="I7" s="2" t="s">
        <v>35</v>
      </c>
      <c r="J7" s="2" t="s">
        <v>20</v>
      </c>
      <c r="K7" s="1">
        <v>184.49</v>
      </c>
      <c r="L7" s="3">
        <v>45966</v>
      </c>
    </row>
    <row r="8" spans="1:12" x14ac:dyDescent="0.25">
      <c r="A8" s="1">
        <v>101844</v>
      </c>
      <c r="B8" s="2" t="s">
        <v>955</v>
      </c>
      <c r="C8" s="2" t="s">
        <v>39</v>
      </c>
      <c r="D8" s="2" t="s">
        <v>64</v>
      </c>
      <c r="E8" s="2" t="s">
        <v>70</v>
      </c>
      <c r="F8" s="2" t="s">
        <v>18</v>
      </c>
      <c r="G8" s="1">
        <v>0</v>
      </c>
      <c r="H8" s="1">
        <v>406</v>
      </c>
      <c r="I8" s="2" t="s">
        <v>19</v>
      </c>
      <c r="J8" s="2" t="s">
        <v>20</v>
      </c>
      <c r="K8" s="1">
        <v>466.93</v>
      </c>
      <c r="L8" s="3">
        <v>45965</v>
      </c>
    </row>
    <row r="9" spans="1:12" x14ac:dyDescent="0.25">
      <c r="A9" s="1">
        <v>100455</v>
      </c>
      <c r="B9" s="2" t="s">
        <v>504</v>
      </c>
      <c r="C9" s="2" t="s">
        <v>187</v>
      </c>
      <c r="D9" s="2" t="s">
        <v>106</v>
      </c>
      <c r="E9" s="2" t="s">
        <v>55</v>
      </c>
      <c r="F9" s="2" t="s">
        <v>18</v>
      </c>
      <c r="G9" s="1">
        <v>0</v>
      </c>
      <c r="H9" s="1">
        <v>494</v>
      </c>
      <c r="I9" s="2" t="s">
        <v>19</v>
      </c>
      <c r="J9" s="2" t="s">
        <v>20</v>
      </c>
      <c r="K9" s="1">
        <v>667.25</v>
      </c>
      <c r="L9" s="3">
        <v>45964</v>
      </c>
    </row>
    <row r="10" spans="1:12" x14ac:dyDescent="0.25">
      <c r="A10" s="1">
        <v>100877</v>
      </c>
      <c r="B10" s="2" t="s">
        <v>371</v>
      </c>
      <c r="C10" s="2" t="s">
        <v>52</v>
      </c>
      <c r="D10" s="2" t="s">
        <v>64</v>
      </c>
      <c r="E10" s="2" t="s">
        <v>31</v>
      </c>
      <c r="F10" s="2" t="s">
        <v>83</v>
      </c>
      <c r="G10" s="1">
        <v>0</v>
      </c>
      <c r="H10" s="1">
        <v>339</v>
      </c>
      <c r="I10" s="2" t="s">
        <v>19</v>
      </c>
      <c r="J10" s="2" t="s">
        <v>20</v>
      </c>
      <c r="K10" s="1">
        <v>288.36</v>
      </c>
      <c r="L10" s="3">
        <v>45963</v>
      </c>
    </row>
    <row r="11" spans="1:12" x14ac:dyDescent="0.25">
      <c r="A11" s="1">
        <v>100076</v>
      </c>
      <c r="B11" s="2" t="s">
        <v>875</v>
      </c>
      <c r="C11" s="2" t="s">
        <v>72</v>
      </c>
      <c r="D11" s="2" t="s">
        <v>50</v>
      </c>
      <c r="E11" s="2" t="s">
        <v>31</v>
      </c>
      <c r="F11" s="2" t="s">
        <v>25</v>
      </c>
      <c r="G11" s="1">
        <v>29</v>
      </c>
      <c r="H11" s="1">
        <v>678</v>
      </c>
      <c r="I11" s="2" t="s">
        <v>56</v>
      </c>
      <c r="J11" s="2" t="s">
        <v>26</v>
      </c>
      <c r="K11" s="1">
        <v>95.72</v>
      </c>
      <c r="L11" s="3">
        <v>45962</v>
      </c>
    </row>
    <row r="12" spans="1:12" x14ac:dyDescent="0.25">
      <c r="A12" s="1">
        <v>100230</v>
      </c>
      <c r="B12" s="2" t="s">
        <v>1554</v>
      </c>
      <c r="C12" s="2" t="s">
        <v>28</v>
      </c>
      <c r="D12" s="2" t="s">
        <v>50</v>
      </c>
      <c r="E12" s="2" t="s">
        <v>81</v>
      </c>
      <c r="F12" s="2" t="s">
        <v>18</v>
      </c>
      <c r="G12" s="1">
        <v>0</v>
      </c>
      <c r="H12" s="1">
        <v>571</v>
      </c>
      <c r="I12" s="2" t="s">
        <v>56</v>
      </c>
      <c r="J12" s="2" t="s">
        <v>20</v>
      </c>
      <c r="K12" s="1">
        <v>104.67</v>
      </c>
      <c r="L12" s="3">
        <v>45936</v>
      </c>
    </row>
    <row r="13" spans="1:12" x14ac:dyDescent="0.25">
      <c r="A13" s="1">
        <v>101595</v>
      </c>
      <c r="B13" s="2" t="s">
        <v>409</v>
      </c>
      <c r="C13" s="2" t="s">
        <v>187</v>
      </c>
      <c r="D13" s="2" t="s">
        <v>41</v>
      </c>
      <c r="E13" s="2" t="s">
        <v>60</v>
      </c>
      <c r="F13" s="2" t="s">
        <v>83</v>
      </c>
      <c r="G13" s="1">
        <v>0</v>
      </c>
      <c r="H13" s="1">
        <v>694</v>
      </c>
      <c r="I13" s="2" t="s">
        <v>56</v>
      </c>
      <c r="J13" s="2" t="s">
        <v>26</v>
      </c>
      <c r="K13" s="1">
        <v>737.92</v>
      </c>
      <c r="L13" s="3">
        <v>45935</v>
      </c>
    </row>
    <row r="14" spans="1:12" x14ac:dyDescent="0.25">
      <c r="A14" s="1">
        <v>100695</v>
      </c>
      <c r="B14" s="2" t="s">
        <v>349</v>
      </c>
      <c r="C14" s="2" t="s">
        <v>28</v>
      </c>
      <c r="D14" s="2" t="s">
        <v>50</v>
      </c>
      <c r="E14" s="2" t="s">
        <v>35</v>
      </c>
      <c r="F14" s="2" t="s">
        <v>83</v>
      </c>
      <c r="G14" s="1" t="s">
        <v>35</v>
      </c>
      <c r="H14" s="1">
        <v>708</v>
      </c>
      <c r="I14" s="2" t="s">
        <v>37</v>
      </c>
      <c r="J14" s="2" t="s">
        <v>26</v>
      </c>
      <c r="K14" s="1">
        <v>448.38</v>
      </c>
      <c r="L14" s="3">
        <v>45935</v>
      </c>
    </row>
    <row r="15" spans="1:12" x14ac:dyDescent="0.25">
      <c r="A15" s="1">
        <v>101640</v>
      </c>
      <c r="B15" s="2" t="s">
        <v>303</v>
      </c>
      <c r="C15" s="2" t="s">
        <v>187</v>
      </c>
      <c r="D15" s="2" t="s">
        <v>41</v>
      </c>
      <c r="E15" s="2" t="s">
        <v>70</v>
      </c>
      <c r="F15" s="2" t="s">
        <v>18</v>
      </c>
      <c r="G15" s="1">
        <v>0</v>
      </c>
      <c r="H15" s="1">
        <v>800</v>
      </c>
      <c r="I15" s="2" t="s">
        <v>19</v>
      </c>
      <c r="J15" s="2" t="s">
        <v>20</v>
      </c>
      <c r="K15" s="1">
        <v>357.39</v>
      </c>
      <c r="L15" s="3">
        <v>45935</v>
      </c>
    </row>
    <row r="16" spans="1:12" x14ac:dyDescent="0.25">
      <c r="A16" s="1">
        <v>101597</v>
      </c>
      <c r="B16" s="2" t="s">
        <v>596</v>
      </c>
      <c r="C16" s="2" t="s">
        <v>22</v>
      </c>
      <c r="D16" s="2" t="s">
        <v>16</v>
      </c>
      <c r="E16" s="2" t="s">
        <v>17</v>
      </c>
      <c r="F16" s="2" t="s">
        <v>83</v>
      </c>
      <c r="G16" s="1">
        <v>0</v>
      </c>
      <c r="H16" s="1">
        <v>603</v>
      </c>
      <c r="I16" s="2" t="s">
        <v>56</v>
      </c>
      <c r="J16" s="2" t="s">
        <v>20</v>
      </c>
      <c r="K16" s="1">
        <v>211.76</v>
      </c>
      <c r="L16" s="3">
        <v>45935</v>
      </c>
    </row>
    <row r="17" spans="1:12" x14ac:dyDescent="0.25">
      <c r="A17" s="1">
        <v>100436</v>
      </c>
      <c r="B17" s="2" t="s">
        <v>79</v>
      </c>
      <c r="C17" s="2" t="s">
        <v>47</v>
      </c>
      <c r="D17" s="2" t="s">
        <v>50</v>
      </c>
      <c r="E17" s="2" t="s">
        <v>17</v>
      </c>
      <c r="F17" s="2" t="s">
        <v>25</v>
      </c>
      <c r="G17" s="1">
        <v>20</v>
      </c>
      <c r="H17" s="1">
        <v>585</v>
      </c>
      <c r="I17" s="2" t="s">
        <v>35</v>
      </c>
      <c r="J17" s="2" t="s">
        <v>33</v>
      </c>
      <c r="K17" s="1">
        <v>213.39</v>
      </c>
      <c r="L17" s="3">
        <v>45934</v>
      </c>
    </row>
    <row r="18" spans="1:12" x14ac:dyDescent="0.25">
      <c r="A18" s="1">
        <v>100540</v>
      </c>
      <c r="B18" s="2" t="s">
        <v>352</v>
      </c>
      <c r="C18" s="2" t="s">
        <v>85</v>
      </c>
      <c r="D18" s="2" t="s">
        <v>50</v>
      </c>
      <c r="E18" s="2" t="s">
        <v>70</v>
      </c>
      <c r="F18" s="2" t="s">
        <v>42</v>
      </c>
      <c r="G18" s="1">
        <v>108</v>
      </c>
      <c r="H18" s="1">
        <v>778</v>
      </c>
      <c r="I18" s="2" t="s">
        <v>37</v>
      </c>
      <c r="J18" s="2" t="s">
        <v>20</v>
      </c>
      <c r="K18" s="1">
        <v>599.47</v>
      </c>
      <c r="L18" s="3">
        <v>45932</v>
      </c>
    </row>
    <row r="19" spans="1:12" x14ac:dyDescent="0.25">
      <c r="A19" s="1">
        <v>101249</v>
      </c>
      <c r="B19" s="2" t="s">
        <v>174</v>
      </c>
      <c r="C19" s="2" t="s">
        <v>134</v>
      </c>
      <c r="D19" s="2" t="s">
        <v>50</v>
      </c>
      <c r="E19" s="2" t="s">
        <v>17</v>
      </c>
      <c r="F19" s="2" t="s">
        <v>25</v>
      </c>
      <c r="G19" s="1">
        <v>10</v>
      </c>
      <c r="H19" s="1">
        <v>554</v>
      </c>
      <c r="I19" s="2" t="s">
        <v>37</v>
      </c>
      <c r="J19" s="2" t="s">
        <v>20</v>
      </c>
      <c r="K19" s="1">
        <v>151.76</v>
      </c>
      <c r="L19" s="3">
        <v>45932</v>
      </c>
    </row>
    <row r="20" spans="1:12" x14ac:dyDescent="0.25">
      <c r="A20" s="1">
        <v>101965</v>
      </c>
      <c r="B20" s="2" t="s">
        <v>292</v>
      </c>
      <c r="C20" s="2" t="s">
        <v>149</v>
      </c>
      <c r="D20" s="2" t="s">
        <v>41</v>
      </c>
      <c r="E20" s="2" t="s">
        <v>81</v>
      </c>
      <c r="F20" s="2" t="s">
        <v>25</v>
      </c>
      <c r="G20" s="1">
        <v>22</v>
      </c>
      <c r="H20" s="1">
        <v>466</v>
      </c>
      <c r="I20" s="2" t="s">
        <v>37</v>
      </c>
      <c r="J20" s="2" t="s">
        <v>20</v>
      </c>
      <c r="K20" s="1">
        <v>130.07</v>
      </c>
      <c r="L20" s="3">
        <v>45932</v>
      </c>
    </row>
    <row r="21" spans="1:12" x14ac:dyDescent="0.25">
      <c r="A21" s="1">
        <v>101127</v>
      </c>
      <c r="B21" s="2" t="s">
        <v>936</v>
      </c>
      <c r="C21" s="2" t="s">
        <v>110</v>
      </c>
      <c r="D21" s="2" t="s">
        <v>16</v>
      </c>
      <c r="E21" s="2" t="s">
        <v>60</v>
      </c>
      <c r="F21" s="2" t="s">
        <v>18</v>
      </c>
      <c r="G21" s="1" t="s">
        <v>35</v>
      </c>
      <c r="H21" s="1">
        <v>508</v>
      </c>
      <c r="I21" s="2" t="s">
        <v>19</v>
      </c>
      <c r="J21" s="2" t="s">
        <v>20</v>
      </c>
      <c r="K21" s="1">
        <v>290.55</v>
      </c>
      <c r="L21" s="3">
        <v>45931</v>
      </c>
    </row>
    <row r="22" spans="1:12" x14ac:dyDescent="0.25">
      <c r="A22" s="1">
        <v>101372</v>
      </c>
      <c r="B22" s="2" t="s">
        <v>109</v>
      </c>
      <c r="C22" s="2" t="s">
        <v>110</v>
      </c>
      <c r="D22" s="2" t="s">
        <v>16</v>
      </c>
      <c r="E22" s="2" t="s">
        <v>60</v>
      </c>
      <c r="F22" s="2" t="s">
        <v>83</v>
      </c>
      <c r="G22" s="1">
        <v>0</v>
      </c>
      <c r="H22" s="1">
        <v>591</v>
      </c>
      <c r="I22" s="2" t="s">
        <v>19</v>
      </c>
      <c r="J22" s="2" t="s">
        <v>26</v>
      </c>
      <c r="K22" s="1">
        <v>232.98</v>
      </c>
      <c r="L22" s="3">
        <v>45905</v>
      </c>
    </row>
    <row r="23" spans="1:12" x14ac:dyDescent="0.25">
      <c r="A23" s="1">
        <v>100213</v>
      </c>
      <c r="B23" s="2" t="s">
        <v>186</v>
      </c>
      <c r="C23" s="2" t="s">
        <v>187</v>
      </c>
      <c r="D23" s="2" t="s">
        <v>41</v>
      </c>
      <c r="E23" s="2" t="s">
        <v>81</v>
      </c>
      <c r="F23" s="2" t="s">
        <v>83</v>
      </c>
      <c r="G23" s="1">
        <v>0</v>
      </c>
      <c r="H23" s="1">
        <v>709</v>
      </c>
      <c r="I23" s="2" t="s">
        <v>19</v>
      </c>
      <c r="J23" s="2" t="s">
        <v>26</v>
      </c>
      <c r="K23" s="1">
        <v>170.86</v>
      </c>
      <c r="L23" s="3">
        <v>45905</v>
      </c>
    </row>
    <row r="24" spans="1:12" x14ac:dyDescent="0.25">
      <c r="A24" s="1">
        <v>100807</v>
      </c>
      <c r="B24" s="2" t="s">
        <v>1069</v>
      </c>
      <c r="C24" s="2" t="s">
        <v>22</v>
      </c>
      <c r="D24" s="2" t="s">
        <v>41</v>
      </c>
      <c r="E24" s="2" t="s">
        <v>81</v>
      </c>
      <c r="F24" s="2" t="s">
        <v>25</v>
      </c>
      <c r="G24" s="1">
        <v>14</v>
      </c>
      <c r="H24" s="1">
        <v>607</v>
      </c>
      <c r="I24" s="2" t="s">
        <v>37</v>
      </c>
      <c r="J24" s="2" t="s">
        <v>20</v>
      </c>
      <c r="K24" s="1">
        <v>138.99</v>
      </c>
      <c r="L24" s="3">
        <v>45905</v>
      </c>
    </row>
    <row r="25" spans="1:12" x14ac:dyDescent="0.25">
      <c r="A25" s="1">
        <v>100587</v>
      </c>
      <c r="B25" s="2" t="s">
        <v>515</v>
      </c>
      <c r="C25" s="2" t="s">
        <v>22</v>
      </c>
      <c r="D25" s="2" t="s">
        <v>16</v>
      </c>
      <c r="E25" s="2" t="s">
        <v>17</v>
      </c>
      <c r="F25" s="2" t="s">
        <v>25</v>
      </c>
      <c r="G25" s="1">
        <v>22</v>
      </c>
      <c r="H25" s="1">
        <v>826</v>
      </c>
      <c r="I25" s="2" t="s">
        <v>56</v>
      </c>
      <c r="J25" s="2" t="s">
        <v>33</v>
      </c>
      <c r="K25" s="1">
        <v>230.5</v>
      </c>
      <c r="L25" s="3">
        <v>45902</v>
      </c>
    </row>
    <row r="26" spans="1:12" x14ac:dyDescent="0.25">
      <c r="A26" s="1">
        <v>101589</v>
      </c>
      <c r="B26" s="2" t="s">
        <v>684</v>
      </c>
      <c r="C26" s="2" t="s">
        <v>149</v>
      </c>
      <c r="D26" s="2" t="s">
        <v>41</v>
      </c>
      <c r="E26" s="2" t="s">
        <v>60</v>
      </c>
      <c r="F26" s="2" t="s">
        <v>18</v>
      </c>
      <c r="G26" s="1">
        <v>0</v>
      </c>
      <c r="H26" s="1">
        <v>494</v>
      </c>
      <c r="I26" s="2" t="s">
        <v>56</v>
      </c>
      <c r="J26" s="2" t="s">
        <v>26</v>
      </c>
      <c r="K26" s="1">
        <v>282.44</v>
      </c>
      <c r="L26" s="3">
        <v>45901</v>
      </c>
    </row>
    <row r="27" spans="1:12" x14ac:dyDescent="0.25">
      <c r="A27" s="1">
        <v>101003</v>
      </c>
      <c r="B27" s="2" t="s">
        <v>607</v>
      </c>
      <c r="C27" s="2" t="s">
        <v>134</v>
      </c>
      <c r="D27" s="2" t="s">
        <v>16</v>
      </c>
      <c r="E27" s="2" t="s">
        <v>55</v>
      </c>
      <c r="F27" s="2" t="s">
        <v>25</v>
      </c>
      <c r="G27" s="1">
        <v>21</v>
      </c>
      <c r="H27" s="1">
        <v>458</v>
      </c>
      <c r="I27" s="2" t="s">
        <v>37</v>
      </c>
      <c r="J27" s="2" t="s">
        <v>20</v>
      </c>
      <c r="K27" s="1">
        <v>95.24</v>
      </c>
      <c r="L27" s="3">
        <v>45901</v>
      </c>
    </row>
    <row r="28" spans="1:12" x14ac:dyDescent="0.25">
      <c r="A28" s="1">
        <v>101895</v>
      </c>
      <c r="B28" s="2" t="s">
        <v>68</v>
      </c>
      <c r="C28" s="2" t="s">
        <v>52</v>
      </c>
      <c r="D28" s="2" t="s">
        <v>50</v>
      </c>
      <c r="E28" s="2" t="s">
        <v>70</v>
      </c>
      <c r="F28" s="2" t="s">
        <v>18</v>
      </c>
      <c r="G28" s="1">
        <v>0</v>
      </c>
      <c r="H28" s="1">
        <v>309</v>
      </c>
      <c r="I28" s="2" t="s">
        <v>19</v>
      </c>
      <c r="J28" s="2" t="s">
        <v>33</v>
      </c>
      <c r="K28" s="1">
        <v>107.82</v>
      </c>
      <c r="L28" s="3">
        <v>45874</v>
      </c>
    </row>
    <row r="29" spans="1:12" x14ac:dyDescent="0.25">
      <c r="A29" s="1">
        <v>101874</v>
      </c>
      <c r="B29" s="2" t="s">
        <v>220</v>
      </c>
      <c r="C29" s="2" t="s">
        <v>152</v>
      </c>
      <c r="D29" s="2" t="s">
        <v>106</v>
      </c>
      <c r="E29" s="2" t="s">
        <v>17</v>
      </c>
      <c r="F29" s="2" t="s">
        <v>25</v>
      </c>
      <c r="G29" s="1">
        <v>20</v>
      </c>
      <c r="H29" s="1">
        <v>710</v>
      </c>
      <c r="I29" s="2" t="s">
        <v>56</v>
      </c>
      <c r="J29" s="2" t="s">
        <v>26</v>
      </c>
      <c r="K29" s="1">
        <v>150.24</v>
      </c>
      <c r="L29" s="3">
        <v>45872</v>
      </c>
    </row>
    <row r="30" spans="1:12" x14ac:dyDescent="0.25">
      <c r="A30" s="1">
        <v>101726</v>
      </c>
      <c r="B30" s="2" t="s">
        <v>460</v>
      </c>
      <c r="C30" s="2" t="s">
        <v>95</v>
      </c>
      <c r="D30" s="2" t="s">
        <v>41</v>
      </c>
      <c r="E30" s="2" t="s">
        <v>81</v>
      </c>
      <c r="F30" s="2" t="s">
        <v>18</v>
      </c>
      <c r="G30" s="1">
        <v>0</v>
      </c>
      <c r="H30" s="1">
        <v>716</v>
      </c>
      <c r="I30" s="2" t="s">
        <v>56</v>
      </c>
      <c r="J30" s="2" t="s">
        <v>35</v>
      </c>
      <c r="K30" s="1">
        <v>123.62</v>
      </c>
      <c r="L30" s="3">
        <v>45872</v>
      </c>
    </row>
    <row r="31" spans="1:12" x14ac:dyDescent="0.25">
      <c r="A31" s="1">
        <v>100883</v>
      </c>
      <c r="B31" s="2" t="s">
        <v>489</v>
      </c>
      <c r="C31" s="2" t="s">
        <v>35</v>
      </c>
      <c r="D31" s="2" t="s">
        <v>41</v>
      </c>
      <c r="E31" s="2" t="s">
        <v>55</v>
      </c>
      <c r="F31" s="2" t="s">
        <v>18</v>
      </c>
      <c r="G31" s="1">
        <v>0</v>
      </c>
      <c r="H31" s="1">
        <v>843</v>
      </c>
      <c r="I31" s="2" t="s">
        <v>45</v>
      </c>
      <c r="J31" s="2" t="s">
        <v>33</v>
      </c>
      <c r="K31" s="1">
        <v>603.66999999999996</v>
      </c>
      <c r="L31" s="3">
        <v>45871</v>
      </c>
    </row>
    <row r="32" spans="1:12" x14ac:dyDescent="0.25">
      <c r="A32" s="1">
        <v>100904</v>
      </c>
      <c r="B32" s="2" t="s">
        <v>174</v>
      </c>
      <c r="C32" s="2" t="s">
        <v>134</v>
      </c>
      <c r="D32" s="2" t="s">
        <v>50</v>
      </c>
      <c r="E32" s="2" t="s">
        <v>17</v>
      </c>
      <c r="F32" s="2" t="s">
        <v>42</v>
      </c>
      <c r="G32" s="1">
        <v>81</v>
      </c>
      <c r="H32" s="1">
        <v>554</v>
      </c>
      <c r="I32" s="2" t="s">
        <v>32</v>
      </c>
      <c r="J32" s="2" t="s">
        <v>20</v>
      </c>
      <c r="K32" s="1">
        <v>800.22</v>
      </c>
      <c r="L32" s="3">
        <v>45844</v>
      </c>
    </row>
    <row r="33" spans="1:12" x14ac:dyDescent="0.25">
      <c r="A33" s="1">
        <v>101804</v>
      </c>
      <c r="B33" s="2" t="s">
        <v>506</v>
      </c>
      <c r="C33" s="2" t="s">
        <v>58</v>
      </c>
      <c r="D33" s="2" t="s">
        <v>41</v>
      </c>
      <c r="E33" s="2" t="s">
        <v>70</v>
      </c>
      <c r="F33" s="2" t="s">
        <v>83</v>
      </c>
      <c r="G33" s="1">
        <v>0</v>
      </c>
      <c r="H33" s="1">
        <v>394</v>
      </c>
      <c r="I33" s="2" t="s">
        <v>19</v>
      </c>
      <c r="J33" s="2" t="s">
        <v>33</v>
      </c>
      <c r="K33" s="1">
        <v>434.76</v>
      </c>
      <c r="L33" s="3">
        <v>45843</v>
      </c>
    </row>
    <row r="34" spans="1:12" x14ac:dyDescent="0.25">
      <c r="A34" s="1">
        <v>101116</v>
      </c>
      <c r="B34" s="2" t="s">
        <v>905</v>
      </c>
      <c r="C34" s="2" t="s">
        <v>100</v>
      </c>
      <c r="D34" s="2" t="s">
        <v>16</v>
      </c>
      <c r="E34" s="2" t="s">
        <v>81</v>
      </c>
      <c r="F34" s="2" t="s">
        <v>18</v>
      </c>
      <c r="G34" s="1">
        <v>0</v>
      </c>
      <c r="H34" s="1">
        <v>325</v>
      </c>
      <c r="I34" s="2" t="s">
        <v>19</v>
      </c>
      <c r="J34" s="2" t="s">
        <v>20</v>
      </c>
      <c r="K34" s="1">
        <v>297.47000000000003</v>
      </c>
      <c r="L34" s="3">
        <v>45843</v>
      </c>
    </row>
    <row r="35" spans="1:12" x14ac:dyDescent="0.25">
      <c r="A35" s="1">
        <v>100601</v>
      </c>
      <c r="B35" s="2" t="s">
        <v>238</v>
      </c>
      <c r="C35" s="2" t="s">
        <v>47</v>
      </c>
      <c r="D35" s="2" t="s">
        <v>16</v>
      </c>
      <c r="E35" s="2" t="s">
        <v>55</v>
      </c>
      <c r="F35" s="2" t="s">
        <v>18</v>
      </c>
      <c r="G35" s="1">
        <v>0</v>
      </c>
      <c r="H35" s="1">
        <v>497</v>
      </c>
      <c r="I35" s="2" t="s">
        <v>37</v>
      </c>
      <c r="J35" s="2" t="s">
        <v>20</v>
      </c>
      <c r="K35" s="1">
        <v>326.62</v>
      </c>
      <c r="L35" s="3">
        <v>45842</v>
      </c>
    </row>
    <row r="36" spans="1:12" x14ac:dyDescent="0.25">
      <c r="A36" s="1">
        <v>101444</v>
      </c>
      <c r="B36" s="2" t="s">
        <v>213</v>
      </c>
      <c r="C36" s="2" t="s">
        <v>58</v>
      </c>
      <c r="D36" s="2" t="s">
        <v>41</v>
      </c>
      <c r="E36" s="2" t="s">
        <v>70</v>
      </c>
      <c r="F36" s="2" t="s">
        <v>18</v>
      </c>
      <c r="G36" s="1">
        <v>0</v>
      </c>
      <c r="H36" s="1">
        <v>324</v>
      </c>
      <c r="I36" s="2" t="s">
        <v>19</v>
      </c>
      <c r="J36" s="2" t="s">
        <v>20</v>
      </c>
      <c r="K36" s="1">
        <v>325.58</v>
      </c>
      <c r="L36" s="3">
        <v>45841</v>
      </c>
    </row>
    <row r="37" spans="1:12" x14ac:dyDescent="0.25">
      <c r="A37" s="1">
        <v>101761</v>
      </c>
      <c r="B37" s="2" t="s">
        <v>94</v>
      </c>
      <c r="C37" s="2" t="s">
        <v>95</v>
      </c>
      <c r="D37" s="2" t="s">
        <v>64</v>
      </c>
      <c r="E37" s="2" t="s">
        <v>35</v>
      </c>
      <c r="F37" s="2" t="s">
        <v>42</v>
      </c>
      <c r="G37" s="1">
        <v>142</v>
      </c>
      <c r="H37" s="1">
        <v>360</v>
      </c>
      <c r="I37" s="2" t="s">
        <v>19</v>
      </c>
      <c r="J37" s="2" t="s">
        <v>20</v>
      </c>
      <c r="K37" s="1">
        <v>182.85</v>
      </c>
      <c r="L37" s="3">
        <v>45841</v>
      </c>
    </row>
    <row r="38" spans="1:12" x14ac:dyDescent="0.25">
      <c r="A38" s="1">
        <v>102079</v>
      </c>
      <c r="B38" s="2" t="s">
        <v>222</v>
      </c>
      <c r="C38" s="2" t="s">
        <v>100</v>
      </c>
      <c r="D38" s="2" t="s">
        <v>41</v>
      </c>
      <c r="E38" s="2" t="s">
        <v>31</v>
      </c>
      <c r="F38" s="2" t="s">
        <v>18</v>
      </c>
      <c r="G38" s="1">
        <v>0</v>
      </c>
      <c r="H38" s="1">
        <v>585</v>
      </c>
      <c r="I38" s="2" t="s">
        <v>19</v>
      </c>
      <c r="J38" s="2" t="s">
        <v>20</v>
      </c>
      <c r="K38" s="1">
        <v>747.88</v>
      </c>
      <c r="L38" s="3">
        <v>45840</v>
      </c>
    </row>
    <row r="39" spans="1:12" x14ac:dyDescent="0.25">
      <c r="A39" s="1">
        <v>101754</v>
      </c>
      <c r="B39" s="2" t="s">
        <v>628</v>
      </c>
      <c r="C39" s="2" t="s">
        <v>47</v>
      </c>
      <c r="D39" s="2" t="s">
        <v>41</v>
      </c>
      <c r="E39" s="2" t="s">
        <v>60</v>
      </c>
      <c r="F39" s="2" t="s">
        <v>18</v>
      </c>
      <c r="G39" s="1" t="s">
        <v>35</v>
      </c>
      <c r="H39" s="1">
        <v>852</v>
      </c>
      <c r="I39" s="2" t="s">
        <v>32</v>
      </c>
      <c r="J39" s="2" t="s">
        <v>20</v>
      </c>
      <c r="K39" s="1">
        <v>124.56</v>
      </c>
      <c r="L39" s="3">
        <v>45839</v>
      </c>
    </row>
    <row r="40" spans="1:12" x14ac:dyDescent="0.25">
      <c r="A40" s="1">
        <v>100522</v>
      </c>
      <c r="B40" s="2" t="s">
        <v>118</v>
      </c>
      <c r="C40" s="2" t="s">
        <v>62</v>
      </c>
      <c r="D40" s="2" t="s">
        <v>64</v>
      </c>
      <c r="E40" s="2" t="s">
        <v>70</v>
      </c>
      <c r="F40" s="2" t="s">
        <v>25</v>
      </c>
      <c r="G40" s="1">
        <v>19</v>
      </c>
      <c r="H40" s="1">
        <v>463</v>
      </c>
      <c r="I40" s="2" t="s">
        <v>32</v>
      </c>
      <c r="J40" s="2" t="s">
        <v>26</v>
      </c>
      <c r="K40" s="1">
        <v>1198.18</v>
      </c>
      <c r="L40" s="3">
        <v>45837</v>
      </c>
    </row>
    <row r="41" spans="1:12" x14ac:dyDescent="0.25">
      <c r="A41" s="1">
        <v>101834</v>
      </c>
      <c r="B41" s="2" t="s">
        <v>728</v>
      </c>
      <c r="C41" s="2" t="s">
        <v>85</v>
      </c>
      <c r="D41" s="2" t="s">
        <v>41</v>
      </c>
      <c r="E41" s="2" t="s">
        <v>78</v>
      </c>
      <c r="F41" s="2" t="s">
        <v>18</v>
      </c>
      <c r="G41" s="1">
        <v>0</v>
      </c>
      <c r="H41" s="1">
        <v>653</v>
      </c>
      <c r="I41" s="2" t="s">
        <v>45</v>
      </c>
      <c r="J41" s="2" t="s">
        <v>26</v>
      </c>
      <c r="K41" s="1">
        <v>670.44</v>
      </c>
      <c r="L41" s="3">
        <v>45837</v>
      </c>
    </row>
    <row r="42" spans="1:12" x14ac:dyDescent="0.25">
      <c r="A42" s="1">
        <v>102193</v>
      </c>
      <c r="B42" s="2" t="s">
        <v>212</v>
      </c>
      <c r="C42" s="2" t="s">
        <v>95</v>
      </c>
      <c r="D42" s="2" t="s">
        <v>50</v>
      </c>
      <c r="E42" s="2" t="s">
        <v>70</v>
      </c>
      <c r="F42" s="2" t="s">
        <v>18</v>
      </c>
      <c r="G42" s="1">
        <v>0</v>
      </c>
      <c r="H42" s="1">
        <v>662</v>
      </c>
      <c r="I42" s="2" t="s">
        <v>37</v>
      </c>
      <c r="J42" s="2" t="s">
        <v>26</v>
      </c>
      <c r="K42" s="1">
        <v>348.27</v>
      </c>
      <c r="L42" s="3">
        <v>45837</v>
      </c>
    </row>
    <row r="43" spans="1:12" x14ac:dyDescent="0.25">
      <c r="A43" s="1">
        <v>101937</v>
      </c>
      <c r="B43" s="2" t="s">
        <v>955</v>
      </c>
      <c r="C43" s="2" t="s">
        <v>39</v>
      </c>
      <c r="D43" s="2" t="s">
        <v>106</v>
      </c>
      <c r="E43" s="2" t="s">
        <v>55</v>
      </c>
      <c r="F43" s="2" t="s">
        <v>18</v>
      </c>
      <c r="G43" s="1" t="s">
        <v>35</v>
      </c>
      <c r="H43" s="1">
        <v>406</v>
      </c>
      <c r="I43" s="2" t="s">
        <v>56</v>
      </c>
      <c r="J43" s="2" t="s">
        <v>20</v>
      </c>
      <c r="K43" s="1">
        <v>292.94</v>
      </c>
      <c r="L43" s="3">
        <v>45837</v>
      </c>
    </row>
    <row r="44" spans="1:12" x14ac:dyDescent="0.25">
      <c r="A44" s="1">
        <v>101369</v>
      </c>
      <c r="B44" s="2" t="s">
        <v>596</v>
      </c>
      <c r="C44" s="2" t="s">
        <v>22</v>
      </c>
      <c r="D44" s="2" t="s">
        <v>50</v>
      </c>
      <c r="E44" s="2" t="s">
        <v>78</v>
      </c>
      <c r="F44" s="2" t="s">
        <v>25</v>
      </c>
      <c r="G44" s="1">
        <v>11</v>
      </c>
      <c r="H44" s="1">
        <v>603</v>
      </c>
      <c r="I44" s="2" t="s">
        <v>45</v>
      </c>
      <c r="J44" s="2" t="s">
        <v>33</v>
      </c>
      <c r="K44" s="1">
        <v>212.58</v>
      </c>
      <c r="L44" s="3">
        <v>45837</v>
      </c>
    </row>
    <row r="45" spans="1:12" x14ac:dyDescent="0.25">
      <c r="A45" s="1">
        <v>100791</v>
      </c>
      <c r="B45" s="2" t="s">
        <v>79</v>
      </c>
      <c r="C45" s="2" t="s">
        <v>47</v>
      </c>
      <c r="D45" s="2" t="s">
        <v>41</v>
      </c>
      <c r="E45" s="2" t="s">
        <v>55</v>
      </c>
      <c r="F45" s="2" t="s">
        <v>18</v>
      </c>
      <c r="G45" s="1">
        <v>0</v>
      </c>
      <c r="H45" s="1">
        <v>585</v>
      </c>
      <c r="I45" s="2" t="s">
        <v>37</v>
      </c>
      <c r="J45" s="2" t="s">
        <v>20</v>
      </c>
      <c r="K45" s="1">
        <v>149.22</v>
      </c>
      <c r="L45" s="3">
        <v>45837</v>
      </c>
    </row>
    <row r="46" spans="1:12" x14ac:dyDescent="0.25">
      <c r="A46" s="1">
        <v>100550</v>
      </c>
      <c r="B46" s="2" t="s">
        <v>1168</v>
      </c>
      <c r="C46" s="2" t="s">
        <v>218</v>
      </c>
      <c r="D46" s="2" t="s">
        <v>64</v>
      </c>
      <c r="E46" s="2" t="s">
        <v>78</v>
      </c>
      <c r="F46" s="2" t="s">
        <v>18</v>
      </c>
      <c r="G46" s="1">
        <v>0</v>
      </c>
      <c r="H46" s="1">
        <v>606</v>
      </c>
      <c r="I46" s="2" t="s">
        <v>56</v>
      </c>
      <c r="J46" s="2" t="s">
        <v>20</v>
      </c>
      <c r="K46" s="1">
        <v>520.14</v>
      </c>
      <c r="L46" s="3">
        <v>45836</v>
      </c>
    </row>
    <row r="47" spans="1:12" x14ac:dyDescent="0.25">
      <c r="A47" s="1">
        <v>101071</v>
      </c>
      <c r="B47" s="2" t="s">
        <v>325</v>
      </c>
      <c r="C47" s="2" t="s">
        <v>126</v>
      </c>
      <c r="D47" s="2" t="s">
        <v>106</v>
      </c>
      <c r="E47" s="2" t="s">
        <v>17</v>
      </c>
      <c r="F47" s="2" t="s">
        <v>18</v>
      </c>
      <c r="G47" s="1">
        <v>0</v>
      </c>
      <c r="H47" s="1">
        <v>570</v>
      </c>
      <c r="I47" s="2" t="s">
        <v>56</v>
      </c>
      <c r="J47" s="2" t="s">
        <v>26</v>
      </c>
      <c r="K47" s="1">
        <v>518.61</v>
      </c>
      <c r="L47" s="3">
        <v>45836</v>
      </c>
    </row>
    <row r="48" spans="1:12" x14ac:dyDescent="0.25">
      <c r="A48" s="1">
        <v>101027</v>
      </c>
      <c r="B48" s="2" t="s">
        <v>678</v>
      </c>
      <c r="C48" s="2" t="s">
        <v>270</v>
      </c>
      <c r="D48" s="2" t="s">
        <v>50</v>
      </c>
      <c r="E48" s="2" t="s">
        <v>31</v>
      </c>
      <c r="F48" s="2" t="s">
        <v>25</v>
      </c>
      <c r="G48" s="1">
        <v>13</v>
      </c>
      <c r="H48" s="1">
        <v>883</v>
      </c>
      <c r="I48" s="2" t="s">
        <v>37</v>
      </c>
      <c r="J48" s="2" t="s">
        <v>20</v>
      </c>
      <c r="K48" s="1">
        <v>456.82</v>
      </c>
      <c r="L48" s="3">
        <v>45836</v>
      </c>
    </row>
    <row r="49" spans="1:12" x14ac:dyDescent="0.25">
      <c r="A49" s="1">
        <v>100762</v>
      </c>
      <c r="B49" s="2" t="s">
        <v>247</v>
      </c>
      <c r="C49" s="2" t="s">
        <v>126</v>
      </c>
      <c r="D49" s="2" t="s">
        <v>64</v>
      </c>
      <c r="E49" s="2" t="s">
        <v>81</v>
      </c>
      <c r="F49" s="2" t="s">
        <v>18</v>
      </c>
      <c r="G49" s="1">
        <v>0</v>
      </c>
      <c r="H49" s="1">
        <v>527</v>
      </c>
      <c r="I49" s="2" t="s">
        <v>32</v>
      </c>
      <c r="J49" s="2" t="s">
        <v>33</v>
      </c>
      <c r="K49" s="1">
        <v>99.49</v>
      </c>
      <c r="L49" s="3">
        <v>45836</v>
      </c>
    </row>
    <row r="50" spans="1:12" x14ac:dyDescent="0.25">
      <c r="A50" s="1">
        <v>101463</v>
      </c>
      <c r="B50" s="2" t="s">
        <v>278</v>
      </c>
      <c r="C50" s="2" t="s">
        <v>62</v>
      </c>
      <c r="D50" s="2" t="s">
        <v>16</v>
      </c>
      <c r="E50" s="2" t="s">
        <v>55</v>
      </c>
      <c r="F50" s="2" t="s">
        <v>42</v>
      </c>
      <c r="G50" s="1">
        <v>158</v>
      </c>
      <c r="H50" s="1">
        <v>713</v>
      </c>
      <c r="I50" s="2" t="s">
        <v>32</v>
      </c>
      <c r="J50" s="2" t="s">
        <v>20</v>
      </c>
      <c r="K50" s="1">
        <v>815.93</v>
      </c>
      <c r="L50" s="3">
        <v>45835</v>
      </c>
    </row>
    <row r="51" spans="1:12" x14ac:dyDescent="0.25">
      <c r="A51" s="1">
        <v>101637</v>
      </c>
      <c r="B51" s="2" t="s">
        <v>176</v>
      </c>
      <c r="C51" s="2" t="s">
        <v>58</v>
      </c>
      <c r="D51" s="2" t="s">
        <v>106</v>
      </c>
      <c r="E51" s="2" t="s">
        <v>55</v>
      </c>
      <c r="F51" s="2" t="s">
        <v>42</v>
      </c>
      <c r="G51" s="1">
        <v>109</v>
      </c>
      <c r="H51" s="1">
        <v>528</v>
      </c>
      <c r="I51" s="2" t="s">
        <v>37</v>
      </c>
      <c r="J51" s="2" t="s">
        <v>33</v>
      </c>
      <c r="K51" s="1">
        <v>291.29000000000002</v>
      </c>
      <c r="L51" s="3">
        <v>45835</v>
      </c>
    </row>
    <row r="52" spans="1:12" x14ac:dyDescent="0.25">
      <c r="A52" s="1">
        <v>101406</v>
      </c>
      <c r="B52" s="2" t="s">
        <v>657</v>
      </c>
      <c r="C52" s="2" t="s">
        <v>52</v>
      </c>
      <c r="D52" s="2" t="s">
        <v>64</v>
      </c>
      <c r="E52" s="2" t="s">
        <v>60</v>
      </c>
      <c r="F52" s="2" t="s">
        <v>18</v>
      </c>
      <c r="G52" s="1">
        <v>0</v>
      </c>
      <c r="H52" s="1">
        <v>518</v>
      </c>
      <c r="I52" s="2" t="s">
        <v>19</v>
      </c>
      <c r="J52" s="2" t="s">
        <v>20</v>
      </c>
      <c r="K52" s="1">
        <v>264.64</v>
      </c>
      <c r="L52" s="3">
        <v>45835</v>
      </c>
    </row>
    <row r="53" spans="1:12" x14ac:dyDescent="0.25">
      <c r="A53" s="1">
        <v>101277</v>
      </c>
      <c r="B53" s="2" t="s">
        <v>262</v>
      </c>
      <c r="C53" s="2" t="s">
        <v>134</v>
      </c>
      <c r="D53" s="2" t="s">
        <v>16</v>
      </c>
      <c r="E53" s="2" t="s">
        <v>78</v>
      </c>
      <c r="F53" s="2" t="s">
        <v>18</v>
      </c>
      <c r="G53" s="1">
        <v>0</v>
      </c>
      <c r="H53" s="1">
        <v>399</v>
      </c>
      <c r="I53" s="2" t="s">
        <v>45</v>
      </c>
      <c r="J53" s="2" t="s">
        <v>26</v>
      </c>
      <c r="K53" s="1">
        <v>234.24</v>
      </c>
      <c r="L53" s="3">
        <v>45835</v>
      </c>
    </row>
    <row r="54" spans="1:12" x14ac:dyDescent="0.25">
      <c r="A54" s="1">
        <v>100039</v>
      </c>
      <c r="B54" s="2" t="s">
        <v>890</v>
      </c>
      <c r="C54" s="2" t="s">
        <v>149</v>
      </c>
      <c r="D54" s="2" t="s">
        <v>50</v>
      </c>
      <c r="E54" s="2" t="s">
        <v>31</v>
      </c>
      <c r="F54" s="2" t="s">
        <v>18</v>
      </c>
      <c r="G54" s="1">
        <v>0</v>
      </c>
      <c r="H54" s="1">
        <v>733</v>
      </c>
      <c r="I54" s="2" t="s">
        <v>45</v>
      </c>
      <c r="J54" s="2" t="s">
        <v>33</v>
      </c>
      <c r="K54" s="1">
        <v>231.4</v>
      </c>
      <c r="L54" s="3">
        <v>45835</v>
      </c>
    </row>
    <row r="55" spans="1:12" x14ac:dyDescent="0.25">
      <c r="A55" s="1">
        <v>101276</v>
      </c>
      <c r="B55" s="2" t="s">
        <v>102</v>
      </c>
      <c r="C55" s="2" t="s">
        <v>103</v>
      </c>
      <c r="D55" s="2" t="s">
        <v>41</v>
      </c>
      <c r="E55" s="2" t="s">
        <v>60</v>
      </c>
      <c r="F55" s="2" t="s">
        <v>18</v>
      </c>
      <c r="G55" s="1">
        <v>0</v>
      </c>
      <c r="H55" s="1">
        <v>733</v>
      </c>
      <c r="I55" s="2" t="s">
        <v>37</v>
      </c>
      <c r="J55" s="2" t="s">
        <v>20</v>
      </c>
      <c r="K55" s="1">
        <v>195.4</v>
      </c>
      <c r="L55" s="3">
        <v>45835</v>
      </c>
    </row>
    <row r="56" spans="1:12" x14ac:dyDescent="0.25">
      <c r="A56" s="1">
        <v>100406</v>
      </c>
      <c r="B56" s="2" t="s">
        <v>431</v>
      </c>
      <c r="C56" s="2" t="s">
        <v>35</v>
      </c>
      <c r="D56" s="2" t="s">
        <v>41</v>
      </c>
      <c r="E56" s="2" t="s">
        <v>55</v>
      </c>
      <c r="F56" s="2" t="s">
        <v>83</v>
      </c>
      <c r="G56" s="1">
        <v>0</v>
      </c>
      <c r="H56" s="1">
        <v>691</v>
      </c>
      <c r="I56" s="2" t="s">
        <v>56</v>
      </c>
      <c r="J56" s="2" t="s">
        <v>20</v>
      </c>
      <c r="K56" s="1">
        <v>80.16</v>
      </c>
      <c r="L56" s="3">
        <v>45835</v>
      </c>
    </row>
    <row r="57" spans="1:12" x14ac:dyDescent="0.25">
      <c r="A57" s="1">
        <v>100988</v>
      </c>
      <c r="B57" s="2" t="s">
        <v>628</v>
      </c>
      <c r="C57" s="2" t="s">
        <v>47</v>
      </c>
      <c r="D57" s="2" t="s">
        <v>50</v>
      </c>
      <c r="E57" s="2" t="s">
        <v>81</v>
      </c>
      <c r="F57" s="2" t="s">
        <v>18</v>
      </c>
      <c r="G57" s="1">
        <v>0</v>
      </c>
      <c r="H57" s="1">
        <v>852</v>
      </c>
      <c r="I57" s="2" t="s">
        <v>45</v>
      </c>
      <c r="J57" s="2" t="s">
        <v>20</v>
      </c>
      <c r="K57" s="1">
        <v>13.26</v>
      </c>
      <c r="L57" s="3">
        <v>45835</v>
      </c>
    </row>
    <row r="58" spans="1:12" x14ac:dyDescent="0.25">
      <c r="A58" s="1">
        <v>101579</v>
      </c>
      <c r="B58" s="2" t="s">
        <v>360</v>
      </c>
      <c r="C58" s="2" t="s">
        <v>149</v>
      </c>
      <c r="D58" s="2" t="s">
        <v>41</v>
      </c>
      <c r="E58" s="2" t="s">
        <v>78</v>
      </c>
      <c r="F58" s="2" t="s">
        <v>83</v>
      </c>
      <c r="G58" s="1">
        <v>0</v>
      </c>
      <c r="H58" s="1">
        <v>621</v>
      </c>
      <c r="I58" s="2" t="s">
        <v>19</v>
      </c>
      <c r="J58" s="2" t="s">
        <v>33</v>
      </c>
      <c r="K58" s="1">
        <v>915.47</v>
      </c>
      <c r="L58" s="3">
        <v>45834</v>
      </c>
    </row>
    <row r="59" spans="1:12" x14ac:dyDescent="0.25">
      <c r="A59" s="1">
        <v>101730</v>
      </c>
      <c r="B59" s="2" t="s">
        <v>247</v>
      </c>
      <c r="C59" s="2" t="s">
        <v>126</v>
      </c>
      <c r="D59" s="2" t="s">
        <v>16</v>
      </c>
      <c r="E59" s="2" t="s">
        <v>78</v>
      </c>
      <c r="F59" s="2" t="s">
        <v>25</v>
      </c>
      <c r="G59" s="1">
        <v>8</v>
      </c>
      <c r="H59" s="1">
        <v>527</v>
      </c>
      <c r="I59" s="2" t="s">
        <v>19</v>
      </c>
      <c r="J59" s="2" t="s">
        <v>20</v>
      </c>
      <c r="K59" s="1">
        <v>665.52</v>
      </c>
      <c r="L59" s="3">
        <v>45834</v>
      </c>
    </row>
    <row r="60" spans="1:12" x14ac:dyDescent="0.25">
      <c r="A60" s="1">
        <v>100448</v>
      </c>
      <c r="B60" s="2" t="s">
        <v>470</v>
      </c>
      <c r="C60" s="2" t="s">
        <v>187</v>
      </c>
      <c r="D60" s="2" t="s">
        <v>50</v>
      </c>
      <c r="E60" s="2" t="s">
        <v>31</v>
      </c>
      <c r="F60" s="2" t="s">
        <v>25</v>
      </c>
      <c r="G60" s="1">
        <v>26</v>
      </c>
      <c r="H60" s="1">
        <v>820</v>
      </c>
      <c r="I60" s="2" t="s">
        <v>45</v>
      </c>
      <c r="J60" s="2" t="s">
        <v>20</v>
      </c>
      <c r="K60" s="1">
        <v>438.44</v>
      </c>
      <c r="L60" s="3">
        <v>45834</v>
      </c>
    </row>
    <row r="61" spans="1:12" x14ac:dyDescent="0.25">
      <c r="A61" s="1">
        <v>101952</v>
      </c>
      <c r="B61" s="2" t="s">
        <v>636</v>
      </c>
      <c r="C61" s="2" t="s">
        <v>244</v>
      </c>
      <c r="D61" s="2" t="s">
        <v>41</v>
      </c>
      <c r="E61" s="2" t="s">
        <v>60</v>
      </c>
      <c r="F61" s="2" t="s">
        <v>25</v>
      </c>
      <c r="G61" s="1">
        <v>25</v>
      </c>
      <c r="H61" s="1">
        <v>303</v>
      </c>
      <c r="I61" s="2" t="s">
        <v>19</v>
      </c>
      <c r="J61" s="2" t="s">
        <v>26</v>
      </c>
      <c r="K61" s="1"/>
      <c r="L61" s="3">
        <v>45834</v>
      </c>
    </row>
    <row r="62" spans="1:12" x14ac:dyDescent="0.25">
      <c r="A62" s="1">
        <v>101380</v>
      </c>
      <c r="B62" s="2" t="s">
        <v>360</v>
      </c>
      <c r="C62" s="2" t="s">
        <v>149</v>
      </c>
      <c r="D62" s="2" t="s">
        <v>50</v>
      </c>
      <c r="E62" s="2" t="s">
        <v>70</v>
      </c>
      <c r="F62" s="2" t="s">
        <v>18</v>
      </c>
      <c r="G62" s="1">
        <v>0</v>
      </c>
      <c r="H62" s="1">
        <v>621</v>
      </c>
      <c r="I62" s="2" t="s">
        <v>56</v>
      </c>
      <c r="J62" s="2" t="s">
        <v>26</v>
      </c>
      <c r="K62" s="1">
        <v>546.52</v>
      </c>
      <c r="L62" s="3">
        <v>45833</v>
      </c>
    </row>
    <row r="63" spans="1:12" x14ac:dyDescent="0.25">
      <c r="A63" s="1">
        <v>100941</v>
      </c>
      <c r="B63" s="2" t="s">
        <v>863</v>
      </c>
      <c r="C63" s="2" t="s">
        <v>39</v>
      </c>
      <c r="D63" s="2" t="s">
        <v>41</v>
      </c>
      <c r="E63" s="2" t="s">
        <v>17</v>
      </c>
      <c r="F63" s="2" t="s">
        <v>83</v>
      </c>
      <c r="G63" s="1">
        <v>0</v>
      </c>
      <c r="H63" s="1">
        <v>427</v>
      </c>
      <c r="I63" s="2" t="s">
        <v>56</v>
      </c>
      <c r="J63" s="2" t="s">
        <v>20</v>
      </c>
      <c r="K63" s="1">
        <v>489.19</v>
      </c>
      <c r="L63" s="3">
        <v>45833</v>
      </c>
    </row>
    <row r="64" spans="1:12" x14ac:dyDescent="0.25">
      <c r="A64" s="1">
        <v>101177</v>
      </c>
      <c r="B64" s="2" t="s">
        <v>820</v>
      </c>
      <c r="C64" s="2" t="s">
        <v>22</v>
      </c>
      <c r="D64" s="2" t="s">
        <v>50</v>
      </c>
      <c r="E64" s="2" t="s">
        <v>81</v>
      </c>
      <c r="F64" s="2" t="s">
        <v>83</v>
      </c>
      <c r="G64" s="1">
        <v>0</v>
      </c>
      <c r="H64" s="1">
        <v>621</v>
      </c>
      <c r="I64" s="2" t="s">
        <v>32</v>
      </c>
      <c r="J64" s="2" t="s">
        <v>20</v>
      </c>
      <c r="K64" s="1">
        <v>346.16</v>
      </c>
      <c r="L64" s="3">
        <v>45833</v>
      </c>
    </row>
    <row r="65" spans="1:12" x14ac:dyDescent="0.25">
      <c r="A65" s="1">
        <v>101777</v>
      </c>
      <c r="B65" s="2" t="s">
        <v>307</v>
      </c>
      <c r="C65" s="2" t="s">
        <v>58</v>
      </c>
      <c r="D65" s="2" t="s">
        <v>16</v>
      </c>
      <c r="E65" s="2" t="s">
        <v>55</v>
      </c>
      <c r="F65" s="2" t="s">
        <v>25</v>
      </c>
      <c r="G65" s="1">
        <v>24</v>
      </c>
      <c r="H65" s="1">
        <v>616</v>
      </c>
      <c r="I65" s="2" t="s">
        <v>56</v>
      </c>
      <c r="J65" s="2" t="s">
        <v>20</v>
      </c>
      <c r="K65" s="1">
        <v>195.49</v>
      </c>
      <c r="L65" s="3">
        <v>45833</v>
      </c>
    </row>
    <row r="66" spans="1:12" x14ac:dyDescent="0.25">
      <c r="A66" s="1">
        <v>100071</v>
      </c>
      <c r="B66" s="2" t="s">
        <v>451</v>
      </c>
      <c r="C66" s="2" t="s">
        <v>103</v>
      </c>
      <c r="D66" s="2" t="s">
        <v>106</v>
      </c>
      <c r="E66" s="2" t="s">
        <v>78</v>
      </c>
      <c r="F66" s="2" t="s">
        <v>18</v>
      </c>
      <c r="G66" s="1">
        <v>0</v>
      </c>
      <c r="H66" s="1">
        <v>418</v>
      </c>
      <c r="I66" s="2" t="s">
        <v>19</v>
      </c>
      <c r="J66" s="2" t="s">
        <v>33</v>
      </c>
      <c r="K66" s="1">
        <v>290.88</v>
      </c>
      <c r="L66" s="3">
        <v>45832</v>
      </c>
    </row>
    <row r="67" spans="1:12" x14ac:dyDescent="0.25">
      <c r="A67" s="1">
        <v>100658</v>
      </c>
      <c r="B67" s="2" t="s">
        <v>138</v>
      </c>
      <c r="C67" s="2" t="s">
        <v>35</v>
      </c>
      <c r="D67" s="2" t="s">
        <v>50</v>
      </c>
      <c r="E67" s="2" t="s">
        <v>78</v>
      </c>
      <c r="F67" s="2" t="s">
        <v>25</v>
      </c>
      <c r="G67" s="1">
        <v>7</v>
      </c>
      <c r="H67" s="1">
        <v>623</v>
      </c>
      <c r="I67" s="2" t="s">
        <v>45</v>
      </c>
      <c r="J67" s="2" t="s">
        <v>26</v>
      </c>
      <c r="K67" s="1">
        <v>167.79</v>
      </c>
      <c r="L67" s="3">
        <v>45832</v>
      </c>
    </row>
    <row r="68" spans="1:12" x14ac:dyDescent="0.25">
      <c r="A68" s="1">
        <v>100463</v>
      </c>
      <c r="B68" s="2" t="s">
        <v>329</v>
      </c>
      <c r="C68" s="2" t="s">
        <v>270</v>
      </c>
      <c r="D68" s="2" t="s">
        <v>50</v>
      </c>
      <c r="E68" s="2" t="s">
        <v>81</v>
      </c>
      <c r="F68" s="2" t="s">
        <v>18</v>
      </c>
      <c r="G68" s="1">
        <v>0</v>
      </c>
      <c r="H68" s="1">
        <v>328</v>
      </c>
      <c r="I68" s="2" t="s">
        <v>56</v>
      </c>
      <c r="J68" s="2" t="s">
        <v>33</v>
      </c>
      <c r="K68" s="1">
        <v>160.52000000000001</v>
      </c>
      <c r="L68" s="3">
        <v>45832</v>
      </c>
    </row>
    <row r="69" spans="1:12" x14ac:dyDescent="0.25">
      <c r="A69" s="1">
        <v>100537</v>
      </c>
      <c r="B69" s="2" t="s">
        <v>303</v>
      </c>
      <c r="C69" s="2" t="s">
        <v>187</v>
      </c>
      <c r="D69" s="2" t="s">
        <v>41</v>
      </c>
      <c r="E69" s="2" t="s">
        <v>70</v>
      </c>
      <c r="F69" s="2" t="s">
        <v>18</v>
      </c>
      <c r="G69" s="1">
        <v>0</v>
      </c>
      <c r="H69" s="1">
        <v>800</v>
      </c>
      <c r="I69" s="2" t="s">
        <v>32</v>
      </c>
      <c r="J69" s="2" t="s">
        <v>20</v>
      </c>
      <c r="K69" s="1">
        <v>142.22999999999999</v>
      </c>
      <c r="L69" s="3">
        <v>45832</v>
      </c>
    </row>
    <row r="70" spans="1:12" x14ac:dyDescent="0.25">
      <c r="A70" s="1">
        <v>100316</v>
      </c>
      <c r="B70" s="2" t="s">
        <v>292</v>
      </c>
      <c r="C70" s="2" t="s">
        <v>149</v>
      </c>
      <c r="D70" s="2" t="s">
        <v>50</v>
      </c>
      <c r="E70" s="2" t="s">
        <v>60</v>
      </c>
      <c r="F70" s="2" t="s">
        <v>18</v>
      </c>
      <c r="G70" s="1">
        <v>0</v>
      </c>
      <c r="H70" s="1">
        <v>466</v>
      </c>
      <c r="I70" s="2" t="s">
        <v>37</v>
      </c>
      <c r="J70" s="2" t="s">
        <v>20</v>
      </c>
      <c r="K70" s="1">
        <v>483.86</v>
      </c>
      <c r="L70" s="3">
        <v>45831</v>
      </c>
    </row>
    <row r="71" spans="1:12" x14ac:dyDescent="0.25">
      <c r="A71" s="1">
        <v>100298</v>
      </c>
      <c r="B71" s="2" t="s">
        <v>631</v>
      </c>
      <c r="C71" s="2" t="s">
        <v>13</v>
      </c>
      <c r="D71" s="2" t="s">
        <v>41</v>
      </c>
      <c r="E71" s="2" t="s">
        <v>70</v>
      </c>
      <c r="F71" s="2" t="s">
        <v>18</v>
      </c>
      <c r="G71" s="1">
        <v>0</v>
      </c>
      <c r="H71" s="1">
        <v>544</v>
      </c>
      <c r="I71" s="2" t="s">
        <v>32</v>
      </c>
      <c r="J71" s="2" t="s">
        <v>20</v>
      </c>
      <c r="K71" s="1">
        <v>348.07</v>
      </c>
      <c r="L71" s="3">
        <v>45831</v>
      </c>
    </row>
    <row r="72" spans="1:12" x14ac:dyDescent="0.25">
      <c r="A72" s="1">
        <v>100621</v>
      </c>
      <c r="B72" s="2" t="s">
        <v>595</v>
      </c>
      <c r="C72" s="2" t="s">
        <v>22</v>
      </c>
      <c r="D72" s="2" t="s">
        <v>16</v>
      </c>
      <c r="E72" s="2" t="s">
        <v>81</v>
      </c>
      <c r="F72" s="2" t="s">
        <v>25</v>
      </c>
      <c r="G72" s="1">
        <v>4</v>
      </c>
      <c r="H72" s="1">
        <v>372</v>
      </c>
      <c r="I72" s="2" t="s">
        <v>37</v>
      </c>
      <c r="J72" s="2" t="s">
        <v>33</v>
      </c>
      <c r="K72" s="1">
        <v>257.33999999999997</v>
      </c>
      <c r="L72" s="3">
        <v>45831</v>
      </c>
    </row>
    <row r="73" spans="1:12" x14ac:dyDescent="0.25">
      <c r="A73" s="1">
        <v>101088</v>
      </c>
      <c r="B73" s="2" t="s">
        <v>162</v>
      </c>
      <c r="C73" s="2" t="s">
        <v>13</v>
      </c>
      <c r="D73" s="2" t="s">
        <v>64</v>
      </c>
      <c r="E73" s="2" t="s">
        <v>70</v>
      </c>
      <c r="F73" s="2" t="s">
        <v>25</v>
      </c>
      <c r="G73" s="1">
        <v>20</v>
      </c>
      <c r="H73" s="1">
        <v>410</v>
      </c>
      <c r="I73" s="2" t="s">
        <v>37</v>
      </c>
      <c r="J73" s="2" t="s">
        <v>20</v>
      </c>
      <c r="K73" s="1">
        <v>253.05</v>
      </c>
      <c r="L73" s="3">
        <v>45831</v>
      </c>
    </row>
    <row r="74" spans="1:12" x14ac:dyDescent="0.25">
      <c r="A74" s="1">
        <v>100317</v>
      </c>
      <c r="B74" s="2" t="s">
        <v>236</v>
      </c>
      <c r="C74" s="2" t="s">
        <v>47</v>
      </c>
      <c r="D74" s="2" t="s">
        <v>64</v>
      </c>
      <c r="E74" s="2" t="s">
        <v>81</v>
      </c>
      <c r="F74" s="2" t="s">
        <v>83</v>
      </c>
      <c r="G74" s="1">
        <v>0</v>
      </c>
      <c r="H74" s="1">
        <v>797</v>
      </c>
      <c r="I74" s="2" t="s">
        <v>35</v>
      </c>
      <c r="J74" s="2" t="s">
        <v>26</v>
      </c>
      <c r="K74" s="1">
        <v>829.83</v>
      </c>
      <c r="L74" s="3">
        <v>45830</v>
      </c>
    </row>
    <row r="75" spans="1:12" x14ac:dyDescent="0.25">
      <c r="A75" s="1">
        <v>101464</v>
      </c>
      <c r="B75" s="2" t="s">
        <v>1303</v>
      </c>
      <c r="C75" s="2" t="s">
        <v>126</v>
      </c>
      <c r="D75" s="2" t="s">
        <v>16</v>
      </c>
      <c r="E75" s="2" t="s">
        <v>55</v>
      </c>
      <c r="F75" s="2" t="s">
        <v>83</v>
      </c>
      <c r="G75" s="1">
        <v>0</v>
      </c>
      <c r="H75" s="1">
        <v>788</v>
      </c>
      <c r="I75" s="2" t="s">
        <v>45</v>
      </c>
      <c r="J75" s="2" t="s">
        <v>20</v>
      </c>
      <c r="K75" s="1">
        <v>812.78</v>
      </c>
      <c r="L75" s="3">
        <v>45830</v>
      </c>
    </row>
    <row r="76" spans="1:12" x14ac:dyDescent="0.25">
      <c r="A76" s="1">
        <v>100983</v>
      </c>
      <c r="B76" s="2" t="s">
        <v>315</v>
      </c>
      <c r="C76" s="2" t="s">
        <v>22</v>
      </c>
      <c r="D76" s="2" t="s">
        <v>41</v>
      </c>
      <c r="E76" s="2" t="s">
        <v>70</v>
      </c>
      <c r="F76" s="2" t="s">
        <v>83</v>
      </c>
      <c r="G76" s="1">
        <v>0</v>
      </c>
      <c r="H76" s="1">
        <v>509</v>
      </c>
      <c r="I76" s="2" t="s">
        <v>45</v>
      </c>
      <c r="J76" s="2" t="s">
        <v>20</v>
      </c>
      <c r="K76" s="1">
        <v>710.39</v>
      </c>
      <c r="L76" s="3">
        <v>45830</v>
      </c>
    </row>
    <row r="77" spans="1:12" x14ac:dyDescent="0.25">
      <c r="A77" s="1">
        <v>100992</v>
      </c>
      <c r="B77" s="2" t="s">
        <v>259</v>
      </c>
      <c r="C77" s="2" t="s">
        <v>218</v>
      </c>
      <c r="D77" s="2" t="s">
        <v>50</v>
      </c>
      <c r="E77" s="2" t="s">
        <v>60</v>
      </c>
      <c r="F77" s="2" t="s">
        <v>42</v>
      </c>
      <c r="G77" s="1">
        <v>33</v>
      </c>
      <c r="H77" s="1">
        <v>732</v>
      </c>
      <c r="I77" s="2" t="s">
        <v>45</v>
      </c>
      <c r="J77" s="2" t="s">
        <v>35</v>
      </c>
      <c r="K77" s="1">
        <v>908.92</v>
      </c>
      <c r="L77" s="3">
        <v>45829</v>
      </c>
    </row>
    <row r="78" spans="1:12" x14ac:dyDescent="0.25">
      <c r="A78" s="1">
        <v>101840</v>
      </c>
      <c r="B78" s="2" t="s">
        <v>1059</v>
      </c>
      <c r="C78" s="2" t="s">
        <v>149</v>
      </c>
      <c r="D78" s="2" t="s">
        <v>16</v>
      </c>
      <c r="E78" s="2" t="s">
        <v>17</v>
      </c>
      <c r="F78" s="2" t="s">
        <v>25</v>
      </c>
      <c r="G78" s="1">
        <v>1</v>
      </c>
      <c r="H78" s="1">
        <v>571</v>
      </c>
      <c r="I78" s="2" t="s">
        <v>37</v>
      </c>
      <c r="J78" s="2" t="s">
        <v>20</v>
      </c>
      <c r="K78" s="1">
        <v>147.69999999999999</v>
      </c>
      <c r="L78" s="3">
        <v>45829</v>
      </c>
    </row>
    <row r="79" spans="1:12" x14ac:dyDescent="0.25">
      <c r="A79" s="1">
        <v>100738</v>
      </c>
      <c r="B79" s="2" t="s">
        <v>364</v>
      </c>
      <c r="C79" s="2" t="s">
        <v>103</v>
      </c>
      <c r="D79" s="2" t="s">
        <v>41</v>
      </c>
      <c r="E79" s="2" t="s">
        <v>17</v>
      </c>
      <c r="F79" s="2" t="s">
        <v>18</v>
      </c>
      <c r="G79" s="1" t="s">
        <v>35</v>
      </c>
      <c r="H79" s="1">
        <v>351</v>
      </c>
      <c r="I79" s="2" t="s">
        <v>19</v>
      </c>
      <c r="J79" s="2" t="s">
        <v>20</v>
      </c>
      <c r="K79" s="1">
        <v>182.3</v>
      </c>
      <c r="L79" s="3">
        <v>45828</v>
      </c>
    </row>
    <row r="80" spans="1:12" x14ac:dyDescent="0.25">
      <c r="A80" s="1">
        <v>101037</v>
      </c>
      <c r="B80" s="2" t="s">
        <v>236</v>
      </c>
      <c r="C80" s="2" t="s">
        <v>47</v>
      </c>
      <c r="D80" s="2" t="s">
        <v>16</v>
      </c>
      <c r="E80" s="2" t="s">
        <v>78</v>
      </c>
      <c r="F80" s="2" t="s">
        <v>18</v>
      </c>
      <c r="G80" s="1">
        <v>0</v>
      </c>
      <c r="H80" s="1">
        <v>797</v>
      </c>
      <c r="I80" s="2" t="s">
        <v>37</v>
      </c>
      <c r="J80" s="2" t="s">
        <v>20</v>
      </c>
      <c r="K80" s="1">
        <v>141.34</v>
      </c>
      <c r="L80" s="3">
        <v>45828</v>
      </c>
    </row>
    <row r="81" spans="1:12" x14ac:dyDescent="0.25">
      <c r="A81" s="1">
        <v>102075</v>
      </c>
      <c r="B81" s="2" t="s">
        <v>269</v>
      </c>
      <c r="C81" s="2" t="s">
        <v>270</v>
      </c>
      <c r="D81" s="2" t="s">
        <v>41</v>
      </c>
      <c r="E81" s="2" t="s">
        <v>81</v>
      </c>
      <c r="F81" s="2" t="s">
        <v>83</v>
      </c>
      <c r="G81" s="1">
        <v>0</v>
      </c>
      <c r="H81" s="1">
        <v>515</v>
      </c>
      <c r="I81" s="2" t="s">
        <v>32</v>
      </c>
      <c r="J81" s="2" t="s">
        <v>20</v>
      </c>
      <c r="K81" s="1">
        <v>34.630000000000003</v>
      </c>
      <c r="L81" s="3">
        <v>45828</v>
      </c>
    </row>
    <row r="82" spans="1:12" x14ac:dyDescent="0.25">
      <c r="A82" s="1">
        <v>101706</v>
      </c>
      <c r="B82" s="2" t="s">
        <v>269</v>
      </c>
      <c r="C82" s="2" t="s">
        <v>270</v>
      </c>
      <c r="D82" s="2" t="s">
        <v>41</v>
      </c>
      <c r="E82" s="2" t="s">
        <v>78</v>
      </c>
      <c r="F82" s="2" t="s">
        <v>83</v>
      </c>
      <c r="G82" s="1">
        <v>0</v>
      </c>
      <c r="H82" s="1">
        <v>515</v>
      </c>
      <c r="I82" s="2" t="s">
        <v>19</v>
      </c>
      <c r="J82" s="2" t="s">
        <v>20</v>
      </c>
      <c r="K82" s="1">
        <v>388.25</v>
      </c>
      <c r="L82" s="3">
        <v>45827</v>
      </c>
    </row>
    <row r="83" spans="1:12" x14ac:dyDescent="0.25">
      <c r="A83" s="1">
        <v>100593</v>
      </c>
      <c r="B83" s="2" t="s">
        <v>1009</v>
      </c>
      <c r="C83" s="2" t="s">
        <v>58</v>
      </c>
      <c r="D83" s="2" t="s">
        <v>41</v>
      </c>
      <c r="E83" s="2" t="s">
        <v>60</v>
      </c>
      <c r="F83" s="2" t="s">
        <v>83</v>
      </c>
      <c r="G83" s="1">
        <v>0</v>
      </c>
      <c r="H83" s="1">
        <v>400</v>
      </c>
      <c r="I83" s="2" t="s">
        <v>56</v>
      </c>
      <c r="J83" s="2" t="s">
        <v>20</v>
      </c>
      <c r="K83" s="1">
        <v>366.39</v>
      </c>
      <c r="L83" s="3">
        <v>45827</v>
      </c>
    </row>
    <row r="84" spans="1:12" x14ac:dyDescent="0.25">
      <c r="A84" s="1">
        <v>100756</v>
      </c>
      <c r="B84" s="2" t="s">
        <v>269</v>
      </c>
      <c r="C84" s="2" t="s">
        <v>270</v>
      </c>
      <c r="D84" s="2" t="s">
        <v>64</v>
      </c>
      <c r="E84" s="2" t="s">
        <v>81</v>
      </c>
      <c r="F84" s="2" t="s">
        <v>42</v>
      </c>
      <c r="G84" s="1">
        <v>127</v>
      </c>
      <c r="H84" s="1">
        <v>515</v>
      </c>
      <c r="I84" s="2" t="s">
        <v>56</v>
      </c>
      <c r="J84" s="2" t="s">
        <v>20</v>
      </c>
      <c r="K84" s="1">
        <v>206.6</v>
      </c>
      <c r="L84" s="3">
        <v>45827</v>
      </c>
    </row>
    <row r="85" spans="1:12" x14ac:dyDescent="0.25">
      <c r="A85" s="1">
        <v>101242</v>
      </c>
      <c r="B85" s="2" t="s">
        <v>225</v>
      </c>
      <c r="C85" s="2" t="s">
        <v>142</v>
      </c>
      <c r="D85" s="2" t="s">
        <v>106</v>
      </c>
      <c r="E85" s="2" t="s">
        <v>55</v>
      </c>
      <c r="F85" s="2" t="s">
        <v>18</v>
      </c>
      <c r="G85" s="1">
        <v>0</v>
      </c>
      <c r="H85" s="1">
        <v>741</v>
      </c>
      <c r="I85" s="2" t="s">
        <v>32</v>
      </c>
      <c r="J85" s="2" t="s">
        <v>20</v>
      </c>
      <c r="K85" s="1">
        <v>200.27</v>
      </c>
      <c r="L85" s="3">
        <v>45827</v>
      </c>
    </row>
    <row r="86" spans="1:12" x14ac:dyDescent="0.25">
      <c r="A86" s="1">
        <v>101023</v>
      </c>
      <c r="B86" s="2" t="s">
        <v>198</v>
      </c>
      <c r="C86" s="2" t="s">
        <v>134</v>
      </c>
      <c r="D86" s="2" t="s">
        <v>50</v>
      </c>
      <c r="E86" s="2" t="s">
        <v>70</v>
      </c>
      <c r="F86" s="2" t="s">
        <v>42</v>
      </c>
      <c r="G86" s="1">
        <v>49</v>
      </c>
      <c r="H86" s="1">
        <v>555</v>
      </c>
      <c r="I86" s="2" t="s">
        <v>37</v>
      </c>
      <c r="J86" s="2" t="s">
        <v>20</v>
      </c>
      <c r="K86" s="1">
        <v>188.36</v>
      </c>
      <c r="L86" s="3">
        <v>45827</v>
      </c>
    </row>
    <row r="87" spans="1:12" x14ac:dyDescent="0.25">
      <c r="A87" s="1">
        <v>101884</v>
      </c>
      <c r="B87" s="2" t="s">
        <v>46</v>
      </c>
      <c r="C87" s="2" t="s">
        <v>47</v>
      </c>
      <c r="D87" s="2" t="s">
        <v>64</v>
      </c>
      <c r="E87" s="2" t="s">
        <v>78</v>
      </c>
      <c r="F87" s="2" t="s">
        <v>25</v>
      </c>
      <c r="G87" s="1">
        <v>2</v>
      </c>
      <c r="H87" s="1">
        <v>615</v>
      </c>
      <c r="I87" s="2" t="s">
        <v>19</v>
      </c>
      <c r="J87" s="2" t="s">
        <v>20</v>
      </c>
      <c r="K87" s="1">
        <v>851.37</v>
      </c>
      <c r="L87" s="3">
        <v>45826</v>
      </c>
    </row>
    <row r="88" spans="1:12" x14ac:dyDescent="0.25">
      <c r="A88" s="1">
        <v>100218</v>
      </c>
      <c r="B88" s="2" t="s">
        <v>217</v>
      </c>
      <c r="C88" s="2" t="s">
        <v>218</v>
      </c>
      <c r="D88" s="2" t="s">
        <v>50</v>
      </c>
      <c r="E88" s="2" t="s">
        <v>60</v>
      </c>
      <c r="F88" s="2" t="s">
        <v>18</v>
      </c>
      <c r="G88" s="1">
        <v>0</v>
      </c>
      <c r="H88" s="1">
        <v>894</v>
      </c>
      <c r="I88" s="2" t="s">
        <v>19</v>
      </c>
      <c r="J88" s="2" t="s">
        <v>20</v>
      </c>
      <c r="K88" s="1">
        <v>342.06</v>
      </c>
      <c r="L88" s="3">
        <v>45826</v>
      </c>
    </row>
    <row r="89" spans="1:12" x14ac:dyDescent="0.25">
      <c r="A89" s="1">
        <v>101478</v>
      </c>
      <c r="B89" s="2" t="s">
        <v>528</v>
      </c>
      <c r="C89" s="2" t="s">
        <v>103</v>
      </c>
      <c r="D89" s="2" t="s">
        <v>50</v>
      </c>
      <c r="E89" s="2" t="s">
        <v>55</v>
      </c>
      <c r="F89" s="2" t="s">
        <v>42</v>
      </c>
      <c r="G89" s="1">
        <v>112</v>
      </c>
      <c r="H89" s="1">
        <v>583</v>
      </c>
      <c r="I89" s="2" t="s">
        <v>37</v>
      </c>
      <c r="J89" s="2" t="s">
        <v>26</v>
      </c>
      <c r="K89" s="1">
        <v>198.8</v>
      </c>
      <c r="L89" s="3">
        <v>45826</v>
      </c>
    </row>
    <row r="90" spans="1:12" x14ac:dyDescent="0.25">
      <c r="A90" s="1">
        <v>100324</v>
      </c>
      <c r="B90" s="2" t="s">
        <v>528</v>
      </c>
      <c r="C90" s="2" t="s">
        <v>103</v>
      </c>
      <c r="D90" s="2" t="s">
        <v>16</v>
      </c>
      <c r="E90" s="2" t="s">
        <v>60</v>
      </c>
      <c r="F90" s="2" t="s">
        <v>25</v>
      </c>
      <c r="G90" s="1">
        <v>1</v>
      </c>
      <c r="H90" s="1">
        <v>583</v>
      </c>
      <c r="I90" s="2" t="s">
        <v>32</v>
      </c>
      <c r="J90" s="2" t="s">
        <v>20</v>
      </c>
      <c r="K90" s="1"/>
      <c r="L90" s="3">
        <v>45826</v>
      </c>
    </row>
    <row r="91" spans="1:12" x14ac:dyDescent="0.25">
      <c r="A91" s="1">
        <v>101722</v>
      </c>
      <c r="B91" s="2" t="s">
        <v>420</v>
      </c>
      <c r="C91" s="2" t="s">
        <v>72</v>
      </c>
      <c r="D91" s="2" t="s">
        <v>50</v>
      </c>
      <c r="E91" s="2" t="s">
        <v>17</v>
      </c>
      <c r="F91" s="2" t="s">
        <v>18</v>
      </c>
      <c r="G91" s="1">
        <v>0</v>
      </c>
      <c r="H91" s="1">
        <v>418</v>
      </c>
      <c r="I91" s="2" t="s">
        <v>45</v>
      </c>
      <c r="J91" s="2" t="s">
        <v>35</v>
      </c>
      <c r="K91" s="1">
        <v>926.8</v>
      </c>
      <c r="L91" s="3">
        <v>45825</v>
      </c>
    </row>
    <row r="92" spans="1:12" x14ac:dyDescent="0.25">
      <c r="A92" s="1">
        <v>101537</v>
      </c>
      <c r="B92" s="2" t="s">
        <v>57</v>
      </c>
      <c r="C92" s="2" t="s">
        <v>58</v>
      </c>
      <c r="D92" s="2" t="s">
        <v>50</v>
      </c>
      <c r="E92" s="2" t="s">
        <v>60</v>
      </c>
      <c r="F92" s="2" t="s">
        <v>42</v>
      </c>
      <c r="G92" s="1">
        <v>105</v>
      </c>
      <c r="H92" s="1">
        <v>798</v>
      </c>
      <c r="I92" s="2" t="s">
        <v>19</v>
      </c>
      <c r="J92" s="2" t="s">
        <v>20</v>
      </c>
      <c r="K92" s="1">
        <v>515.80999999999995</v>
      </c>
      <c r="L92" s="3">
        <v>45825</v>
      </c>
    </row>
    <row r="93" spans="1:12" x14ac:dyDescent="0.25">
      <c r="A93" s="1">
        <v>101060</v>
      </c>
      <c r="B93" s="2" t="s">
        <v>418</v>
      </c>
      <c r="C93" s="2" t="s">
        <v>35</v>
      </c>
      <c r="D93" s="2" t="s">
        <v>106</v>
      </c>
      <c r="E93" s="2" t="s">
        <v>17</v>
      </c>
      <c r="F93" s="2" t="s">
        <v>83</v>
      </c>
      <c r="G93" s="1">
        <v>0</v>
      </c>
      <c r="H93" s="1">
        <v>371</v>
      </c>
      <c r="I93" s="2" t="s">
        <v>45</v>
      </c>
      <c r="J93" s="2" t="s">
        <v>33</v>
      </c>
      <c r="K93" s="1">
        <v>337.58</v>
      </c>
      <c r="L93" s="3">
        <v>45825</v>
      </c>
    </row>
    <row r="94" spans="1:12" x14ac:dyDescent="0.25">
      <c r="A94" s="1">
        <v>102117</v>
      </c>
      <c r="B94" s="2" t="s">
        <v>1168</v>
      </c>
      <c r="C94" s="2" t="s">
        <v>218</v>
      </c>
      <c r="D94" s="2" t="s">
        <v>50</v>
      </c>
      <c r="E94" s="2" t="s">
        <v>55</v>
      </c>
      <c r="F94" s="2" t="s">
        <v>18</v>
      </c>
      <c r="G94" s="1">
        <v>0</v>
      </c>
      <c r="H94" s="1">
        <v>606</v>
      </c>
      <c r="I94" s="2" t="s">
        <v>56</v>
      </c>
      <c r="J94" s="2" t="s">
        <v>20</v>
      </c>
      <c r="K94" s="1">
        <v>250.37</v>
      </c>
      <c r="L94" s="3">
        <v>45825</v>
      </c>
    </row>
    <row r="95" spans="1:12" x14ac:dyDescent="0.25">
      <c r="A95" s="1">
        <v>101609</v>
      </c>
      <c r="B95" s="2" t="s">
        <v>174</v>
      </c>
      <c r="C95" s="2" t="s">
        <v>134</v>
      </c>
      <c r="D95" s="2" t="s">
        <v>41</v>
      </c>
      <c r="E95" s="2" t="s">
        <v>55</v>
      </c>
      <c r="F95" s="2" t="s">
        <v>18</v>
      </c>
      <c r="G95" s="1">
        <v>0</v>
      </c>
      <c r="H95" s="1">
        <v>554</v>
      </c>
      <c r="I95" s="2" t="s">
        <v>32</v>
      </c>
      <c r="J95" s="2" t="s">
        <v>33</v>
      </c>
      <c r="K95" s="1">
        <v>963.66</v>
      </c>
      <c r="L95" s="3">
        <v>45824</v>
      </c>
    </row>
    <row r="96" spans="1:12" x14ac:dyDescent="0.25">
      <c r="A96" s="1">
        <v>100399</v>
      </c>
      <c r="B96" s="2" t="s">
        <v>107</v>
      </c>
      <c r="C96" s="2" t="s">
        <v>58</v>
      </c>
      <c r="D96" s="2" t="s">
        <v>41</v>
      </c>
      <c r="E96" s="2" t="s">
        <v>70</v>
      </c>
      <c r="F96" s="2" t="s">
        <v>18</v>
      </c>
      <c r="G96" s="1">
        <v>0</v>
      </c>
      <c r="H96" s="1">
        <v>884</v>
      </c>
      <c r="I96" s="2" t="s">
        <v>56</v>
      </c>
      <c r="J96" s="2" t="s">
        <v>20</v>
      </c>
      <c r="K96" s="1">
        <v>709.36</v>
      </c>
      <c r="L96" s="3">
        <v>45824</v>
      </c>
    </row>
    <row r="97" spans="1:12" x14ac:dyDescent="0.25">
      <c r="A97" s="1">
        <v>100450</v>
      </c>
      <c r="B97" s="2" t="s">
        <v>489</v>
      </c>
      <c r="C97" s="2" t="s">
        <v>126</v>
      </c>
      <c r="D97" s="2" t="s">
        <v>106</v>
      </c>
      <c r="E97" s="2" t="s">
        <v>81</v>
      </c>
      <c r="F97" s="2" t="s">
        <v>83</v>
      </c>
      <c r="G97" s="1">
        <v>0</v>
      </c>
      <c r="H97" s="1">
        <v>843</v>
      </c>
      <c r="I97" s="2" t="s">
        <v>56</v>
      </c>
      <c r="J97" s="2" t="s">
        <v>26</v>
      </c>
      <c r="K97" s="1">
        <v>585.64</v>
      </c>
      <c r="L97" s="3">
        <v>45824</v>
      </c>
    </row>
    <row r="98" spans="1:12" x14ac:dyDescent="0.25">
      <c r="A98" s="1">
        <v>101732</v>
      </c>
      <c r="B98" s="2" t="s">
        <v>928</v>
      </c>
      <c r="C98" s="2" t="s">
        <v>110</v>
      </c>
      <c r="D98" s="2" t="s">
        <v>64</v>
      </c>
      <c r="E98" s="2" t="s">
        <v>31</v>
      </c>
      <c r="F98" s="2" t="s">
        <v>83</v>
      </c>
      <c r="G98" s="1">
        <v>0</v>
      </c>
      <c r="H98" s="1">
        <v>409</v>
      </c>
      <c r="I98" s="2" t="s">
        <v>56</v>
      </c>
      <c r="J98" s="2" t="s">
        <v>20</v>
      </c>
      <c r="K98" s="1">
        <v>471.86</v>
      </c>
      <c r="L98" s="3">
        <v>45824</v>
      </c>
    </row>
    <row r="99" spans="1:12" x14ac:dyDescent="0.25">
      <c r="A99" s="1">
        <v>101581</v>
      </c>
      <c r="B99" s="2" t="s">
        <v>329</v>
      </c>
      <c r="C99" s="2" t="s">
        <v>270</v>
      </c>
      <c r="D99" s="2" t="s">
        <v>50</v>
      </c>
      <c r="E99" s="2" t="s">
        <v>17</v>
      </c>
      <c r="F99" s="2" t="s">
        <v>83</v>
      </c>
      <c r="G99" s="1">
        <v>0</v>
      </c>
      <c r="H99" s="1">
        <v>328</v>
      </c>
      <c r="I99" s="2" t="s">
        <v>45</v>
      </c>
      <c r="J99" s="2" t="s">
        <v>20</v>
      </c>
      <c r="K99" s="1">
        <v>84.01</v>
      </c>
      <c r="L99" s="3">
        <v>45824</v>
      </c>
    </row>
    <row r="100" spans="1:12" x14ac:dyDescent="0.25">
      <c r="A100" s="1">
        <v>101033</v>
      </c>
      <c r="B100" s="2" t="s">
        <v>212</v>
      </c>
      <c r="C100" s="2" t="s">
        <v>95</v>
      </c>
      <c r="D100" s="2" t="s">
        <v>50</v>
      </c>
      <c r="E100" s="2" t="s">
        <v>60</v>
      </c>
      <c r="F100" s="2" t="s">
        <v>18</v>
      </c>
      <c r="G100" s="1">
        <v>0</v>
      </c>
      <c r="H100" s="1">
        <v>662</v>
      </c>
      <c r="I100" s="2" t="s">
        <v>56</v>
      </c>
      <c r="J100" s="2" t="s">
        <v>33</v>
      </c>
      <c r="K100" s="1">
        <v>363.41</v>
      </c>
      <c r="L100" s="3">
        <v>45823</v>
      </c>
    </row>
    <row r="101" spans="1:12" x14ac:dyDescent="0.25">
      <c r="A101" s="1">
        <v>101969</v>
      </c>
      <c r="B101" s="2" t="s">
        <v>657</v>
      </c>
      <c r="C101" s="2" t="s">
        <v>52</v>
      </c>
      <c r="D101" s="2" t="s">
        <v>41</v>
      </c>
      <c r="E101" s="2" t="s">
        <v>60</v>
      </c>
      <c r="F101" s="2" t="s">
        <v>25</v>
      </c>
      <c r="G101" s="1">
        <v>25</v>
      </c>
      <c r="H101" s="1">
        <v>518</v>
      </c>
      <c r="I101" s="2" t="s">
        <v>45</v>
      </c>
      <c r="J101" s="2" t="s">
        <v>26</v>
      </c>
      <c r="K101" s="1">
        <v>56.23</v>
      </c>
      <c r="L101" s="3">
        <v>45823</v>
      </c>
    </row>
    <row r="102" spans="1:12" x14ac:dyDescent="0.25">
      <c r="A102" s="1">
        <v>101906</v>
      </c>
      <c r="B102" s="2" t="s">
        <v>1203</v>
      </c>
      <c r="C102" s="2" t="s">
        <v>187</v>
      </c>
      <c r="D102" s="2" t="s">
        <v>106</v>
      </c>
      <c r="E102" s="2" t="s">
        <v>70</v>
      </c>
      <c r="F102" s="2" t="s">
        <v>25</v>
      </c>
      <c r="G102" s="1">
        <v>3</v>
      </c>
      <c r="H102" s="1">
        <v>752</v>
      </c>
      <c r="I102" s="2" t="s">
        <v>45</v>
      </c>
      <c r="J102" s="2" t="s">
        <v>26</v>
      </c>
      <c r="K102" s="1">
        <v>413.25</v>
      </c>
      <c r="L102" s="3">
        <v>45822</v>
      </c>
    </row>
    <row r="103" spans="1:12" x14ac:dyDescent="0.25">
      <c r="A103" s="1">
        <v>101923</v>
      </c>
      <c r="B103" s="2" t="s">
        <v>392</v>
      </c>
      <c r="C103" s="2" t="s">
        <v>72</v>
      </c>
      <c r="D103" s="2" t="s">
        <v>41</v>
      </c>
      <c r="E103" s="2" t="s">
        <v>55</v>
      </c>
      <c r="F103" s="2" t="s">
        <v>18</v>
      </c>
      <c r="G103" s="1">
        <v>0</v>
      </c>
      <c r="H103" s="1">
        <v>433</v>
      </c>
      <c r="I103" s="2" t="s">
        <v>19</v>
      </c>
      <c r="J103" s="2" t="s">
        <v>33</v>
      </c>
      <c r="K103" s="1">
        <v>349.02</v>
      </c>
      <c r="L103" s="3">
        <v>45822</v>
      </c>
    </row>
    <row r="104" spans="1:12" x14ac:dyDescent="0.25">
      <c r="A104" s="1">
        <v>100004</v>
      </c>
      <c r="B104" s="2" t="s">
        <v>162</v>
      </c>
      <c r="C104" s="2" t="s">
        <v>13</v>
      </c>
      <c r="D104" s="2" t="s">
        <v>41</v>
      </c>
      <c r="E104" s="2" t="s">
        <v>55</v>
      </c>
      <c r="F104" s="2" t="s">
        <v>18</v>
      </c>
      <c r="G104" s="1">
        <v>0</v>
      </c>
      <c r="H104" s="1">
        <v>410</v>
      </c>
      <c r="I104" s="2" t="s">
        <v>19</v>
      </c>
      <c r="J104" s="2" t="s">
        <v>20</v>
      </c>
      <c r="K104" s="1">
        <v>281.64999999999998</v>
      </c>
      <c r="L104" s="3">
        <v>45822</v>
      </c>
    </row>
    <row r="105" spans="1:12" x14ac:dyDescent="0.25">
      <c r="A105" s="1">
        <v>100449</v>
      </c>
      <c r="B105" s="2" t="s">
        <v>167</v>
      </c>
      <c r="C105" s="2" t="s">
        <v>168</v>
      </c>
      <c r="D105" s="2" t="s">
        <v>16</v>
      </c>
      <c r="E105" s="2" t="s">
        <v>60</v>
      </c>
      <c r="F105" s="2" t="s">
        <v>25</v>
      </c>
      <c r="G105" s="1">
        <v>3</v>
      </c>
      <c r="H105" s="1">
        <v>658</v>
      </c>
      <c r="I105" s="2" t="s">
        <v>32</v>
      </c>
      <c r="J105" s="2" t="s">
        <v>33</v>
      </c>
      <c r="K105" s="1">
        <v>509.64</v>
      </c>
      <c r="L105" s="3">
        <v>45821</v>
      </c>
    </row>
    <row r="106" spans="1:12" x14ac:dyDescent="0.25">
      <c r="A106" s="1">
        <v>102045</v>
      </c>
      <c r="B106" s="2" t="s">
        <v>805</v>
      </c>
      <c r="C106" s="2" t="s">
        <v>62</v>
      </c>
      <c r="D106" s="2" t="s">
        <v>50</v>
      </c>
      <c r="E106" s="2" t="s">
        <v>78</v>
      </c>
      <c r="F106" s="2" t="s">
        <v>18</v>
      </c>
      <c r="G106" s="1">
        <v>0</v>
      </c>
      <c r="H106" s="1">
        <v>352</v>
      </c>
      <c r="I106" s="2" t="s">
        <v>37</v>
      </c>
      <c r="J106" s="2" t="s">
        <v>20</v>
      </c>
      <c r="K106" s="1">
        <v>484.98</v>
      </c>
      <c r="L106" s="3">
        <v>45821</v>
      </c>
    </row>
    <row r="107" spans="1:12" x14ac:dyDescent="0.25">
      <c r="A107" s="1">
        <v>100659</v>
      </c>
      <c r="B107" s="2" t="s">
        <v>46</v>
      </c>
      <c r="C107" s="2" t="s">
        <v>47</v>
      </c>
      <c r="D107" s="2" t="s">
        <v>64</v>
      </c>
      <c r="E107" s="2" t="s">
        <v>60</v>
      </c>
      <c r="F107" s="2" t="s">
        <v>18</v>
      </c>
      <c r="G107" s="1">
        <v>0</v>
      </c>
      <c r="H107" s="1">
        <v>615</v>
      </c>
      <c r="I107" s="2" t="s">
        <v>19</v>
      </c>
      <c r="J107" s="2" t="s">
        <v>20</v>
      </c>
      <c r="K107" s="1">
        <v>202.09</v>
      </c>
      <c r="L107" s="3">
        <v>45821</v>
      </c>
    </row>
    <row r="108" spans="1:12" x14ac:dyDescent="0.25">
      <c r="A108" s="1">
        <v>100159</v>
      </c>
      <c r="B108" s="2" t="s">
        <v>84</v>
      </c>
      <c r="C108" s="2" t="s">
        <v>85</v>
      </c>
      <c r="D108" s="2" t="s">
        <v>16</v>
      </c>
      <c r="E108" s="2" t="s">
        <v>78</v>
      </c>
      <c r="F108" s="2" t="s">
        <v>83</v>
      </c>
      <c r="G108" s="1">
        <v>0</v>
      </c>
      <c r="H108" s="1">
        <v>400</v>
      </c>
      <c r="I108" s="2" t="s">
        <v>45</v>
      </c>
      <c r="J108" s="2" t="s">
        <v>33</v>
      </c>
      <c r="K108" s="1">
        <v>141.79</v>
      </c>
      <c r="L108" s="3">
        <v>45821</v>
      </c>
    </row>
    <row r="109" spans="1:12" x14ac:dyDescent="0.25">
      <c r="A109" s="1">
        <v>100243</v>
      </c>
      <c r="B109" s="2" t="s">
        <v>396</v>
      </c>
      <c r="C109" s="2" t="s">
        <v>103</v>
      </c>
      <c r="D109" s="2" t="s">
        <v>16</v>
      </c>
      <c r="E109" s="2" t="s">
        <v>70</v>
      </c>
      <c r="F109" s="2" t="s">
        <v>18</v>
      </c>
      <c r="G109" s="1">
        <v>0</v>
      </c>
      <c r="H109" s="1">
        <v>437</v>
      </c>
      <c r="I109" s="2" t="s">
        <v>56</v>
      </c>
      <c r="J109" s="2" t="s">
        <v>20</v>
      </c>
      <c r="K109" s="1">
        <v>82.31</v>
      </c>
      <c r="L109" s="3">
        <v>45821</v>
      </c>
    </row>
    <row r="110" spans="1:12" x14ac:dyDescent="0.25">
      <c r="A110" s="1">
        <v>100192</v>
      </c>
      <c r="B110" s="2" t="s">
        <v>497</v>
      </c>
      <c r="C110" s="2" t="s">
        <v>142</v>
      </c>
      <c r="D110" s="2" t="s">
        <v>16</v>
      </c>
      <c r="E110" s="2" t="s">
        <v>70</v>
      </c>
      <c r="F110" s="2" t="s">
        <v>18</v>
      </c>
      <c r="G110" s="1">
        <v>0</v>
      </c>
      <c r="H110" s="1">
        <v>465</v>
      </c>
      <c r="I110" s="2" t="s">
        <v>19</v>
      </c>
      <c r="J110" s="2" t="s">
        <v>20</v>
      </c>
      <c r="K110" s="1">
        <v>708.86</v>
      </c>
      <c r="L110" s="3">
        <v>45820</v>
      </c>
    </row>
    <row r="111" spans="1:12" x14ac:dyDescent="0.25">
      <c r="A111" s="1">
        <v>100981</v>
      </c>
      <c r="B111" s="2" t="s">
        <v>107</v>
      </c>
      <c r="C111" s="2" t="s">
        <v>58</v>
      </c>
      <c r="D111" s="2" t="s">
        <v>50</v>
      </c>
      <c r="E111" s="2" t="s">
        <v>78</v>
      </c>
      <c r="F111" s="2" t="s">
        <v>25</v>
      </c>
      <c r="G111" s="1">
        <v>17</v>
      </c>
      <c r="H111" s="1">
        <v>884</v>
      </c>
      <c r="I111" s="2" t="s">
        <v>45</v>
      </c>
      <c r="J111" s="2" t="s">
        <v>26</v>
      </c>
      <c r="K111" s="1">
        <v>296.17</v>
      </c>
      <c r="L111" s="3">
        <v>45820</v>
      </c>
    </row>
    <row r="112" spans="1:12" x14ac:dyDescent="0.25">
      <c r="A112" s="1">
        <v>101890</v>
      </c>
      <c r="B112" s="2" t="s">
        <v>236</v>
      </c>
      <c r="C112" s="2" t="s">
        <v>47</v>
      </c>
      <c r="D112" s="2" t="s">
        <v>106</v>
      </c>
      <c r="E112" s="2" t="s">
        <v>60</v>
      </c>
      <c r="F112" s="2" t="s">
        <v>18</v>
      </c>
      <c r="G112" s="1">
        <v>0</v>
      </c>
      <c r="H112" s="1">
        <v>797</v>
      </c>
      <c r="I112" s="2" t="s">
        <v>37</v>
      </c>
      <c r="J112" s="2" t="s">
        <v>20</v>
      </c>
      <c r="K112" s="1">
        <v>284.2</v>
      </c>
      <c r="L112" s="3">
        <v>45820</v>
      </c>
    </row>
    <row r="113" spans="1:12" x14ac:dyDescent="0.25">
      <c r="A113" s="1">
        <v>101346</v>
      </c>
      <c r="B113" s="2" t="s">
        <v>706</v>
      </c>
      <c r="C113" s="2" t="s">
        <v>72</v>
      </c>
      <c r="D113" s="2" t="s">
        <v>16</v>
      </c>
      <c r="E113" s="2" t="s">
        <v>60</v>
      </c>
      <c r="F113" s="2" t="s">
        <v>83</v>
      </c>
      <c r="G113" s="1">
        <v>0</v>
      </c>
      <c r="H113" s="1">
        <v>382</v>
      </c>
      <c r="I113" s="2" t="s">
        <v>19</v>
      </c>
      <c r="J113" s="2" t="s">
        <v>26</v>
      </c>
      <c r="K113" s="1">
        <v>125.33</v>
      </c>
      <c r="L113" s="3">
        <v>45820</v>
      </c>
    </row>
    <row r="114" spans="1:12" x14ac:dyDescent="0.25">
      <c r="A114" s="1">
        <v>101020</v>
      </c>
      <c r="B114" s="2" t="s">
        <v>34</v>
      </c>
      <c r="C114" s="2" t="s">
        <v>13</v>
      </c>
      <c r="D114" s="2" t="s">
        <v>64</v>
      </c>
      <c r="E114" s="2" t="s">
        <v>17</v>
      </c>
      <c r="F114" s="2" t="s">
        <v>25</v>
      </c>
      <c r="G114" s="1">
        <v>18</v>
      </c>
      <c r="H114" s="1">
        <v>672</v>
      </c>
      <c r="I114" s="2" t="s">
        <v>32</v>
      </c>
      <c r="J114" s="2" t="s">
        <v>26</v>
      </c>
      <c r="K114" s="1">
        <v>908.89</v>
      </c>
      <c r="L114" s="3">
        <v>45819</v>
      </c>
    </row>
    <row r="115" spans="1:12" x14ac:dyDescent="0.25">
      <c r="A115" s="1">
        <v>101133</v>
      </c>
      <c r="B115" s="2" t="s">
        <v>890</v>
      </c>
      <c r="C115" s="2" t="s">
        <v>149</v>
      </c>
      <c r="D115" s="2" t="s">
        <v>64</v>
      </c>
      <c r="E115" s="2" t="s">
        <v>31</v>
      </c>
      <c r="F115" s="2" t="s">
        <v>25</v>
      </c>
      <c r="G115" s="1">
        <v>16</v>
      </c>
      <c r="H115" s="1">
        <v>733</v>
      </c>
      <c r="I115" s="2" t="s">
        <v>45</v>
      </c>
      <c r="J115" s="2" t="s">
        <v>33</v>
      </c>
      <c r="K115" s="1">
        <v>390.24</v>
      </c>
      <c r="L115" s="3">
        <v>45819</v>
      </c>
    </row>
    <row r="116" spans="1:12" x14ac:dyDescent="0.25">
      <c r="A116" s="1">
        <v>101309</v>
      </c>
      <c r="B116" s="2" t="s">
        <v>390</v>
      </c>
      <c r="C116" s="2" t="s">
        <v>110</v>
      </c>
      <c r="D116" s="2" t="s">
        <v>64</v>
      </c>
      <c r="E116" s="2" t="s">
        <v>81</v>
      </c>
      <c r="F116" s="2" t="s">
        <v>18</v>
      </c>
      <c r="G116" s="1">
        <v>0</v>
      </c>
      <c r="H116" s="1">
        <v>773</v>
      </c>
      <c r="I116" s="2" t="s">
        <v>45</v>
      </c>
      <c r="J116" s="2" t="s">
        <v>20</v>
      </c>
      <c r="K116" s="1"/>
      <c r="L116" s="3">
        <v>45819</v>
      </c>
    </row>
    <row r="117" spans="1:12" x14ac:dyDescent="0.25">
      <c r="A117" s="1">
        <v>101972</v>
      </c>
      <c r="B117" s="2" t="s">
        <v>99</v>
      </c>
      <c r="C117" s="2" t="s">
        <v>100</v>
      </c>
      <c r="D117" s="2" t="s">
        <v>16</v>
      </c>
      <c r="E117" s="2" t="s">
        <v>70</v>
      </c>
      <c r="F117" s="2" t="s">
        <v>18</v>
      </c>
      <c r="G117" s="1">
        <v>0</v>
      </c>
      <c r="H117" s="1">
        <v>414</v>
      </c>
      <c r="I117" s="2" t="s">
        <v>19</v>
      </c>
      <c r="J117" s="2" t="s">
        <v>33</v>
      </c>
      <c r="K117" s="1">
        <v>367.19</v>
      </c>
      <c r="L117" s="3">
        <v>45817</v>
      </c>
    </row>
    <row r="118" spans="1:12" x14ac:dyDescent="0.25">
      <c r="A118" s="1">
        <v>100724</v>
      </c>
      <c r="B118" s="2" t="s">
        <v>342</v>
      </c>
      <c r="C118" s="2" t="s">
        <v>110</v>
      </c>
      <c r="D118" s="2" t="s">
        <v>16</v>
      </c>
      <c r="E118" s="2" t="s">
        <v>35</v>
      </c>
      <c r="F118" s="2" t="s">
        <v>83</v>
      </c>
      <c r="G118" s="1" t="s">
        <v>35</v>
      </c>
      <c r="H118" s="1">
        <v>659</v>
      </c>
      <c r="I118" s="2" t="s">
        <v>32</v>
      </c>
      <c r="J118" s="2" t="s">
        <v>20</v>
      </c>
      <c r="K118" s="1">
        <v>265.57</v>
      </c>
      <c r="L118" s="3">
        <v>45817</v>
      </c>
    </row>
    <row r="119" spans="1:12" x14ac:dyDescent="0.25">
      <c r="A119" s="1">
        <v>101677</v>
      </c>
      <c r="B119" s="2" t="s">
        <v>79</v>
      </c>
      <c r="C119" s="2" t="s">
        <v>47</v>
      </c>
      <c r="D119" s="2" t="s">
        <v>64</v>
      </c>
      <c r="E119" s="2" t="s">
        <v>60</v>
      </c>
      <c r="F119" s="2" t="s">
        <v>18</v>
      </c>
      <c r="G119" s="1">
        <v>0</v>
      </c>
      <c r="H119" s="1">
        <v>585</v>
      </c>
      <c r="I119" s="2" t="s">
        <v>32</v>
      </c>
      <c r="J119" s="2" t="s">
        <v>26</v>
      </c>
      <c r="K119" s="1">
        <v>83.74</v>
      </c>
      <c r="L119" s="3">
        <v>45816</v>
      </c>
    </row>
    <row r="120" spans="1:12" x14ac:dyDescent="0.25">
      <c r="A120" s="1">
        <v>100678</v>
      </c>
      <c r="B120" s="2" t="s">
        <v>558</v>
      </c>
      <c r="C120" s="2" t="s">
        <v>218</v>
      </c>
      <c r="D120" s="2" t="s">
        <v>41</v>
      </c>
      <c r="E120" s="2" t="s">
        <v>35</v>
      </c>
      <c r="F120" s="2" t="s">
        <v>42</v>
      </c>
      <c r="G120" s="1">
        <v>86</v>
      </c>
      <c r="H120" s="1">
        <v>784</v>
      </c>
      <c r="I120" s="2" t="s">
        <v>56</v>
      </c>
      <c r="J120" s="2" t="s">
        <v>20</v>
      </c>
      <c r="K120" s="1">
        <v>283.73</v>
      </c>
      <c r="L120" s="3">
        <v>45815</v>
      </c>
    </row>
    <row r="121" spans="1:12" x14ac:dyDescent="0.25">
      <c r="A121" s="1">
        <v>101086</v>
      </c>
      <c r="B121" s="2" t="s">
        <v>995</v>
      </c>
      <c r="C121" s="2" t="s">
        <v>134</v>
      </c>
      <c r="D121" s="2" t="s">
        <v>64</v>
      </c>
      <c r="E121" s="2" t="s">
        <v>81</v>
      </c>
      <c r="F121" s="2" t="s">
        <v>18</v>
      </c>
      <c r="G121" s="1">
        <v>0</v>
      </c>
      <c r="H121" s="1">
        <v>866</v>
      </c>
      <c r="I121" s="2" t="s">
        <v>45</v>
      </c>
      <c r="J121" s="2" t="s">
        <v>20</v>
      </c>
      <c r="K121" s="1">
        <v>248.59</v>
      </c>
      <c r="L121" s="3">
        <v>45815</v>
      </c>
    </row>
    <row r="122" spans="1:12" x14ac:dyDescent="0.25">
      <c r="A122" s="1">
        <v>101758</v>
      </c>
      <c r="B122" s="2" t="s">
        <v>928</v>
      </c>
      <c r="C122" s="2" t="s">
        <v>110</v>
      </c>
      <c r="D122" s="2" t="s">
        <v>16</v>
      </c>
      <c r="E122" s="2" t="s">
        <v>78</v>
      </c>
      <c r="F122" s="2" t="s">
        <v>25</v>
      </c>
      <c r="G122" s="1">
        <v>22</v>
      </c>
      <c r="H122" s="1">
        <v>409</v>
      </c>
      <c r="I122" s="2" t="s">
        <v>32</v>
      </c>
      <c r="J122" s="2" t="s">
        <v>20</v>
      </c>
      <c r="K122" s="1">
        <v>105.02</v>
      </c>
      <c r="L122" s="3">
        <v>45815</v>
      </c>
    </row>
    <row r="123" spans="1:12" x14ac:dyDescent="0.25">
      <c r="A123" s="1">
        <v>100311</v>
      </c>
      <c r="B123" s="2" t="s">
        <v>585</v>
      </c>
      <c r="C123" s="2" t="s">
        <v>270</v>
      </c>
      <c r="D123" s="2" t="s">
        <v>50</v>
      </c>
      <c r="E123" s="2" t="s">
        <v>78</v>
      </c>
      <c r="F123" s="2" t="s">
        <v>83</v>
      </c>
      <c r="G123" s="1">
        <v>0</v>
      </c>
      <c r="H123" s="1">
        <v>814</v>
      </c>
      <c r="I123" s="2" t="s">
        <v>56</v>
      </c>
      <c r="J123" s="2" t="s">
        <v>26</v>
      </c>
      <c r="K123" s="1">
        <v>70.64</v>
      </c>
      <c r="L123" s="3">
        <v>45815</v>
      </c>
    </row>
    <row r="124" spans="1:12" x14ac:dyDescent="0.25">
      <c r="A124" s="1">
        <v>100452</v>
      </c>
      <c r="B124" s="2" t="s">
        <v>798</v>
      </c>
      <c r="C124" s="2" t="s">
        <v>149</v>
      </c>
      <c r="D124" s="2" t="s">
        <v>50</v>
      </c>
      <c r="E124" s="2" t="s">
        <v>81</v>
      </c>
      <c r="F124" s="2" t="s">
        <v>83</v>
      </c>
      <c r="G124" s="1">
        <v>0</v>
      </c>
      <c r="H124" s="1">
        <v>555</v>
      </c>
      <c r="I124" s="2" t="s">
        <v>37</v>
      </c>
      <c r="J124" s="2" t="s">
        <v>33</v>
      </c>
      <c r="K124" s="1"/>
      <c r="L124" s="3">
        <v>45815</v>
      </c>
    </row>
    <row r="125" spans="1:12" x14ac:dyDescent="0.25">
      <c r="A125" s="1">
        <v>101322</v>
      </c>
      <c r="B125" s="2" t="s">
        <v>121</v>
      </c>
      <c r="C125" s="2" t="s">
        <v>122</v>
      </c>
      <c r="D125" s="2" t="s">
        <v>50</v>
      </c>
      <c r="E125" s="2" t="s">
        <v>70</v>
      </c>
      <c r="F125" s="2" t="s">
        <v>83</v>
      </c>
      <c r="G125" s="1">
        <v>0</v>
      </c>
      <c r="H125" s="1">
        <v>823</v>
      </c>
      <c r="I125" s="2" t="s">
        <v>37</v>
      </c>
      <c r="J125" s="2" t="s">
        <v>26</v>
      </c>
      <c r="K125" s="1">
        <v>871.93</v>
      </c>
      <c r="L125" s="3">
        <v>45814</v>
      </c>
    </row>
    <row r="126" spans="1:12" x14ac:dyDescent="0.25">
      <c r="A126" s="1">
        <v>100545</v>
      </c>
      <c r="B126" s="2" t="s">
        <v>936</v>
      </c>
      <c r="C126" s="2" t="s">
        <v>110</v>
      </c>
      <c r="D126" s="2" t="s">
        <v>64</v>
      </c>
      <c r="E126" s="2" t="s">
        <v>17</v>
      </c>
      <c r="F126" s="2" t="s">
        <v>83</v>
      </c>
      <c r="G126" s="1">
        <v>0</v>
      </c>
      <c r="H126" s="1">
        <v>508</v>
      </c>
      <c r="I126" s="2" t="s">
        <v>19</v>
      </c>
      <c r="J126" s="2" t="s">
        <v>20</v>
      </c>
      <c r="K126" s="1">
        <v>430.23</v>
      </c>
      <c r="L126" s="3">
        <v>45814</v>
      </c>
    </row>
    <row r="127" spans="1:12" x14ac:dyDescent="0.25">
      <c r="A127" s="1">
        <v>100468</v>
      </c>
      <c r="B127" s="2" t="s">
        <v>125</v>
      </c>
      <c r="C127" s="2" t="s">
        <v>126</v>
      </c>
      <c r="D127" s="2" t="s">
        <v>50</v>
      </c>
      <c r="E127" s="2" t="s">
        <v>81</v>
      </c>
      <c r="F127" s="2" t="s">
        <v>83</v>
      </c>
      <c r="G127" s="1">
        <v>0</v>
      </c>
      <c r="H127" s="1">
        <v>461</v>
      </c>
      <c r="I127" s="2" t="s">
        <v>19</v>
      </c>
      <c r="J127" s="2" t="s">
        <v>20</v>
      </c>
      <c r="K127" s="1">
        <v>356.64</v>
      </c>
      <c r="L127" s="3">
        <v>45814</v>
      </c>
    </row>
    <row r="128" spans="1:12" x14ac:dyDescent="0.25">
      <c r="A128" s="1">
        <v>101724</v>
      </c>
      <c r="B128" s="2" t="s">
        <v>84</v>
      </c>
      <c r="C128" s="2" t="s">
        <v>85</v>
      </c>
      <c r="D128" s="2" t="s">
        <v>64</v>
      </c>
      <c r="E128" s="2" t="s">
        <v>55</v>
      </c>
      <c r="F128" s="2" t="s">
        <v>18</v>
      </c>
      <c r="G128" s="1">
        <v>0</v>
      </c>
      <c r="H128" s="1">
        <v>400</v>
      </c>
      <c r="I128" s="2" t="s">
        <v>35</v>
      </c>
      <c r="J128" s="2" t="s">
        <v>26</v>
      </c>
      <c r="K128" s="1">
        <v>107.76</v>
      </c>
      <c r="L128" s="3">
        <v>45814</v>
      </c>
    </row>
    <row r="129" spans="1:12" x14ac:dyDescent="0.25">
      <c r="A129" s="1">
        <v>100685</v>
      </c>
      <c r="B129" s="2" t="s">
        <v>812</v>
      </c>
      <c r="C129" s="2" t="s">
        <v>134</v>
      </c>
      <c r="D129" s="2" t="s">
        <v>16</v>
      </c>
      <c r="E129" s="2" t="s">
        <v>55</v>
      </c>
      <c r="F129" s="2" t="s">
        <v>18</v>
      </c>
      <c r="G129" s="1">
        <v>0</v>
      </c>
      <c r="H129" s="1">
        <v>567</v>
      </c>
      <c r="I129" s="2" t="s">
        <v>45</v>
      </c>
      <c r="J129" s="2" t="s">
        <v>20</v>
      </c>
      <c r="K129" s="1">
        <v>488.1</v>
      </c>
      <c r="L129" s="3">
        <v>45813</v>
      </c>
    </row>
    <row r="130" spans="1:12" x14ac:dyDescent="0.25">
      <c r="A130" s="1">
        <v>101009</v>
      </c>
      <c r="B130" s="2" t="s">
        <v>444</v>
      </c>
      <c r="C130" s="2" t="s">
        <v>52</v>
      </c>
      <c r="D130" s="2" t="s">
        <v>16</v>
      </c>
      <c r="E130" s="2" t="s">
        <v>60</v>
      </c>
      <c r="F130" s="2" t="s">
        <v>18</v>
      </c>
      <c r="G130" s="1">
        <v>0</v>
      </c>
      <c r="H130" s="1">
        <v>688</v>
      </c>
      <c r="I130" s="2" t="s">
        <v>19</v>
      </c>
      <c r="J130" s="2" t="s">
        <v>20</v>
      </c>
      <c r="K130" s="1">
        <v>365.09</v>
      </c>
      <c r="L130" s="3">
        <v>45813</v>
      </c>
    </row>
    <row r="131" spans="1:12" x14ac:dyDescent="0.25">
      <c r="A131" s="1">
        <v>100126</v>
      </c>
      <c r="B131" s="2" t="s">
        <v>807</v>
      </c>
      <c r="C131" s="2" t="s">
        <v>85</v>
      </c>
      <c r="D131" s="2" t="s">
        <v>16</v>
      </c>
      <c r="E131" s="2" t="s">
        <v>60</v>
      </c>
      <c r="F131" s="2" t="s">
        <v>42</v>
      </c>
      <c r="G131" s="1">
        <v>89</v>
      </c>
      <c r="H131" s="1">
        <v>443</v>
      </c>
      <c r="I131" s="2" t="s">
        <v>32</v>
      </c>
      <c r="J131" s="2" t="s">
        <v>26</v>
      </c>
      <c r="K131" s="1">
        <v>667.5</v>
      </c>
      <c r="L131" s="3">
        <v>45812</v>
      </c>
    </row>
    <row r="132" spans="1:12" x14ac:dyDescent="0.25">
      <c r="A132" s="1">
        <v>101625</v>
      </c>
      <c r="B132" s="2" t="s">
        <v>303</v>
      </c>
      <c r="C132" s="2" t="s">
        <v>187</v>
      </c>
      <c r="D132" s="2" t="s">
        <v>64</v>
      </c>
      <c r="E132" s="2" t="s">
        <v>17</v>
      </c>
      <c r="F132" s="2" t="s">
        <v>18</v>
      </c>
      <c r="G132" s="1">
        <v>0</v>
      </c>
      <c r="H132" s="1">
        <v>800</v>
      </c>
      <c r="I132" s="2" t="s">
        <v>45</v>
      </c>
      <c r="J132" s="2" t="s">
        <v>20</v>
      </c>
      <c r="K132" s="1">
        <v>391.62</v>
      </c>
      <c r="L132" s="3">
        <v>45812</v>
      </c>
    </row>
    <row r="133" spans="1:12" x14ac:dyDescent="0.25">
      <c r="A133" s="1">
        <v>101868</v>
      </c>
      <c r="B133" s="2" t="s">
        <v>860</v>
      </c>
      <c r="C133" s="2" t="s">
        <v>152</v>
      </c>
      <c r="D133" s="2" t="s">
        <v>41</v>
      </c>
      <c r="E133" s="2" t="s">
        <v>17</v>
      </c>
      <c r="F133" s="2" t="s">
        <v>25</v>
      </c>
      <c r="G133" s="1">
        <v>19</v>
      </c>
      <c r="H133" s="1">
        <v>651</v>
      </c>
      <c r="I133" s="2" t="s">
        <v>45</v>
      </c>
      <c r="J133" s="2" t="s">
        <v>33</v>
      </c>
      <c r="K133" s="1">
        <v>381.64</v>
      </c>
      <c r="L133" s="3">
        <v>45812</v>
      </c>
    </row>
    <row r="134" spans="1:12" x14ac:dyDescent="0.25">
      <c r="A134" s="1">
        <v>101493</v>
      </c>
      <c r="B134" s="2" t="s">
        <v>329</v>
      </c>
      <c r="C134" s="2" t="s">
        <v>270</v>
      </c>
      <c r="D134" s="2" t="s">
        <v>50</v>
      </c>
      <c r="E134" s="2" t="s">
        <v>55</v>
      </c>
      <c r="F134" s="2" t="s">
        <v>25</v>
      </c>
      <c r="G134" s="1">
        <v>18</v>
      </c>
      <c r="H134" s="1">
        <v>328</v>
      </c>
      <c r="I134" s="2" t="s">
        <v>19</v>
      </c>
      <c r="J134" s="2" t="s">
        <v>20</v>
      </c>
      <c r="K134" s="1">
        <v>267.06</v>
      </c>
      <c r="L134" s="3">
        <v>45812</v>
      </c>
    </row>
    <row r="135" spans="1:12" x14ac:dyDescent="0.25">
      <c r="A135" s="1">
        <v>100029</v>
      </c>
      <c r="B135" s="2" t="s">
        <v>860</v>
      </c>
      <c r="C135" s="2" t="s">
        <v>152</v>
      </c>
      <c r="D135" s="2" t="s">
        <v>64</v>
      </c>
      <c r="E135" s="2" t="s">
        <v>81</v>
      </c>
      <c r="F135" s="2" t="s">
        <v>42</v>
      </c>
      <c r="G135" s="1">
        <v>48</v>
      </c>
      <c r="H135" s="1">
        <v>651</v>
      </c>
      <c r="I135" s="2" t="s">
        <v>35</v>
      </c>
      <c r="J135" s="2" t="s">
        <v>26</v>
      </c>
      <c r="K135" s="1">
        <v>234.97</v>
      </c>
      <c r="L135" s="3">
        <v>45812</v>
      </c>
    </row>
    <row r="136" spans="1:12" x14ac:dyDescent="0.25">
      <c r="A136" s="1">
        <v>100378</v>
      </c>
      <c r="B136" s="2" t="s">
        <v>1155</v>
      </c>
      <c r="C136" s="2" t="s">
        <v>218</v>
      </c>
      <c r="D136" s="2" t="s">
        <v>50</v>
      </c>
      <c r="E136" s="2" t="s">
        <v>81</v>
      </c>
      <c r="F136" s="2" t="s">
        <v>25</v>
      </c>
      <c r="G136" s="1">
        <v>21</v>
      </c>
      <c r="H136" s="1">
        <v>557</v>
      </c>
      <c r="I136" s="2" t="s">
        <v>32</v>
      </c>
      <c r="J136" s="2" t="s">
        <v>26</v>
      </c>
      <c r="K136" s="1">
        <v>1449.34</v>
      </c>
      <c r="L136" s="3">
        <v>45811</v>
      </c>
    </row>
    <row r="137" spans="1:12" x14ac:dyDescent="0.25">
      <c r="A137" s="1">
        <v>100073</v>
      </c>
      <c r="B137" s="2" t="s">
        <v>38</v>
      </c>
      <c r="C137" s="2" t="s">
        <v>39</v>
      </c>
      <c r="D137" s="2" t="s">
        <v>41</v>
      </c>
      <c r="E137" s="2" t="s">
        <v>55</v>
      </c>
      <c r="F137" s="2" t="s">
        <v>18</v>
      </c>
      <c r="G137" s="1">
        <v>0</v>
      </c>
      <c r="H137" s="1">
        <v>533</v>
      </c>
      <c r="I137" s="2" t="s">
        <v>56</v>
      </c>
      <c r="J137" s="2" t="s">
        <v>35</v>
      </c>
      <c r="K137" s="1">
        <v>702.7</v>
      </c>
      <c r="L137" s="3">
        <v>45811</v>
      </c>
    </row>
    <row r="138" spans="1:12" x14ac:dyDescent="0.25">
      <c r="A138" s="1">
        <v>101662</v>
      </c>
      <c r="B138" s="2" t="s">
        <v>141</v>
      </c>
      <c r="C138" s="2" t="s">
        <v>142</v>
      </c>
      <c r="D138" s="2" t="s">
        <v>106</v>
      </c>
      <c r="E138" s="2" t="s">
        <v>55</v>
      </c>
      <c r="F138" s="2" t="s">
        <v>18</v>
      </c>
      <c r="G138" s="1">
        <v>0</v>
      </c>
      <c r="H138" s="1">
        <v>430</v>
      </c>
      <c r="I138" s="2" t="s">
        <v>19</v>
      </c>
      <c r="J138" s="2" t="s">
        <v>20</v>
      </c>
      <c r="K138" s="1">
        <v>506.9</v>
      </c>
      <c r="L138" s="3">
        <v>45811</v>
      </c>
    </row>
    <row r="139" spans="1:12" x14ac:dyDescent="0.25">
      <c r="A139" s="1">
        <v>100215</v>
      </c>
      <c r="B139" s="2" t="s">
        <v>530</v>
      </c>
      <c r="C139" s="2" t="s">
        <v>142</v>
      </c>
      <c r="D139" s="2" t="s">
        <v>16</v>
      </c>
      <c r="E139" s="2" t="s">
        <v>60</v>
      </c>
      <c r="F139" s="2" t="s">
        <v>18</v>
      </c>
      <c r="G139" s="1">
        <v>0</v>
      </c>
      <c r="H139" s="1">
        <v>819</v>
      </c>
      <c r="I139" s="2" t="s">
        <v>37</v>
      </c>
      <c r="J139" s="2" t="s">
        <v>26</v>
      </c>
      <c r="K139" s="1">
        <v>444.79</v>
      </c>
      <c r="L139" s="3">
        <v>45811</v>
      </c>
    </row>
    <row r="140" spans="1:12" x14ac:dyDescent="0.25">
      <c r="A140" s="1">
        <v>101394</v>
      </c>
      <c r="B140" s="2" t="s">
        <v>631</v>
      </c>
      <c r="C140" s="2" t="s">
        <v>13</v>
      </c>
      <c r="D140" s="2" t="s">
        <v>50</v>
      </c>
      <c r="E140" s="2" t="s">
        <v>81</v>
      </c>
      <c r="F140" s="2" t="s">
        <v>25</v>
      </c>
      <c r="G140" s="1">
        <v>29</v>
      </c>
      <c r="H140" s="1">
        <v>544</v>
      </c>
      <c r="I140" s="2" t="s">
        <v>56</v>
      </c>
      <c r="J140" s="2" t="s">
        <v>33</v>
      </c>
      <c r="K140" s="1">
        <v>426.76</v>
      </c>
      <c r="L140" s="3">
        <v>45811</v>
      </c>
    </row>
    <row r="141" spans="1:12" x14ac:dyDescent="0.25">
      <c r="A141" s="1">
        <v>100293</v>
      </c>
      <c r="B141" s="2" t="s">
        <v>595</v>
      </c>
      <c r="C141" s="2" t="s">
        <v>22</v>
      </c>
      <c r="D141" s="2" t="s">
        <v>106</v>
      </c>
      <c r="E141" s="2" t="s">
        <v>31</v>
      </c>
      <c r="F141" s="2" t="s">
        <v>18</v>
      </c>
      <c r="G141" s="1">
        <v>0</v>
      </c>
      <c r="H141" s="1">
        <v>372</v>
      </c>
      <c r="I141" s="2" t="s">
        <v>37</v>
      </c>
      <c r="J141" s="2" t="s">
        <v>20</v>
      </c>
      <c r="K141" s="1">
        <v>619.12</v>
      </c>
      <c r="L141" s="3">
        <v>45810</v>
      </c>
    </row>
    <row r="142" spans="1:12" x14ac:dyDescent="0.25">
      <c r="A142" s="1">
        <v>100924</v>
      </c>
      <c r="B142" s="2" t="s">
        <v>196</v>
      </c>
      <c r="C142" s="2" t="s">
        <v>152</v>
      </c>
      <c r="D142" s="2" t="s">
        <v>50</v>
      </c>
      <c r="E142" s="2" t="s">
        <v>81</v>
      </c>
      <c r="F142" s="2" t="s">
        <v>18</v>
      </c>
      <c r="G142" s="1">
        <v>0</v>
      </c>
      <c r="H142" s="1">
        <v>405</v>
      </c>
      <c r="I142" s="2" t="s">
        <v>45</v>
      </c>
      <c r="J142" s="2" t="s">
        <v>26</v>
      </c>
      <c r="K142" s="1">
        <v>246.19</v>
      </c>
      <c r="L142" s="3">
        <v>45810</v>
      </c>
    </row>
    <row r="143" spans="1:12" x14ac:dyDescent="0.25">
      <c r="A143" s="1">
        <v>101859</v>
      </c>
      <c r="B143" s="2" t="s">
        <v>322</v>
      </c>
      <c r="C143" s="2" t="s">
        <v>13</v>
      </c>
      <c r="D143" s="2" t="s">
        <v>50</v>
      </c>
      <c r="E143" s="2" t="s">
        <v>17</v>
      </c>
      <c r="F143" s="2" t="s">
        <v>18</v>
      </c>
      <c r="G143" s="1">
        <v>0</v>
      </c>
      <c r="H143" s="1">
        <v>623</v>
      </c>
      <c r="I143" s="2" t="s">
        <v>32</v>
      </c>
      <c r="J143" s="2" t="s">
        <v>20</v>
      </c>
      <c r="K143" s="1">
        <v>210.1</v>
      </c>
      <c r="L143" s="3">
        <v>45810</v>
      </c>
    </row>
    <row r="144" spans="1:12" x14ac:dyDescent="0.25">
      <c r="A144" s="1">
        <v>102123</v>
      </c>
      <c r="B144" s="2" t="s">
        <v>525</v>
      </c>
      <c r="C144" s="2" t="s">
        <v>58</v>
      </c>
      <c r="D144" s="2" t="s">
        <v>64</v>
      </c>
      <c r="E144" s="2" t="s">
        <v>60</v>
      </c>
      <c r="F144" s="2" t="s">
        <v>18</v>
      </c>
      <c r="G144" s="1">
        <v>0</v>
      </c>
      <c r="H144" s="1">
        <v>501</v>
      </c>
      <c r="I144" s="2" t="s">
        <v>56</v>
      </c>
      <c r="J144" s="2" t="s">
        <v>20</v>
      </c>
      <c r="K144" s="1">
        <v>359.26499999999999</v>
      </c>
      <c r="L144" s="3">
        <v>45809</v>
      </c>
    </row>
    <row r="145" spans="1:12" x14ac:dyDescent="0.25">
      <c r="A145" s="1">
        <v>100929</v>
      </c>
      <c r="B145" s="2" t="s">
        <v>563</v>
      </c>
      <c r="C145" s="2" t="s">
        <v>58</v>
      </c>
      <c r="D145" s="2" t="s">
        <v>64</v>
      </c>
      <c r="E145" s="2" t="s">
        <v>60</v>
      </c>
      <c r="F145" s="2" t="s">
        <v>25</v>
      </c>
      <c r="G145" s="1">
        <v>14</v>
      </c>
      <c r="H145" s="1">
        <v>893</v>
      </c>
      <c r="I145" s="2" t="s">
        <v>56</v>
      </c>
      <c r="J145" s="2" t="s">
        <v>26</v>
      </c>
      <c r="K145" s="1">
        <v>136.6</v>
      </c>
      <c r="L145" s="3">
        <v>45809</v>
      </c>
    </row>
    <row r="146" spans="1:12" x14ac:dyDescent="0.25">
      <c r="A146" s="1">
        <v>100367</v>
      </c>
      <c r="B146" s="2" t="s">
        <v>342</v>
      </c>
      <c r="C146" s="2" t="s">
        <v>110</v>
      </c>
      <c r="D146" s="2" t="s">
        <v>64</v>
      </c>
      <c r="E146" s="2" t="s">
        <v>70</v>
      </c>
      <c r="F146" s="2" t="s">
        <v>42</v>
      </c>
      <c r="G146" s="1">
        <v>139</v>
      </c>
      <c r="H146" s="1">
        <v>659</v>
      </c>
      <c r="I146" s="2" t="s">
        <v>37</v>
      </c>
      <c r="J146" s="2" t="s">
        <v>26</v>
      </c>
      <c r="K146" s="1">
        <v>241.57</v>
      </c>
      <c r="L146" s="3">
        <v>45808</v>
      </c>
    </row>
    <row r="147" spans="1:12" x14ac:dyDescent="0.25">
      <c r="A147" s="1">
        <v>101274</v>
      </c>
      <c r="B147" s="2" t="s">
        <v>563</v>
      </c>
      <c r="C147" s="2" t="s">
        <v>58</v>
      </c>
      <c r="D147" s="2" t="s">
        <v>64</v>
      </c>
      <c r="E147" s="2" t="s">
        <v>35</v>
      </c>
      <c r="F147" s="2" t="s">
        <v>18</v>
      </c>
      <c r="G147" s="1">
        <v>0</v>
      </c>
      <c r="H147" s="1">
        <v>893</v>
      </c>
      <c r="I147" s="2" t="s">
        <v>56</v>
      </c>
      <c r="J147" s="2" t="s">
        <v>20</v>
      </c>
      <c r="K147" s="1">
        <v>125.27</v>
      </c>
      <c r="L147" s="3">
        <v>45808</v>
      </c>
    </row>
    <row r="148" spans="1:12" x14ac:dyDescent="0.25">
      <c r="A148" s="1">
        <v>100790</v>
      </c>
      <c r="B148" s="2" t="s">
        <v>344</v>
      </c>
      <c r="C148" s="2" t="s">
        <v>244</v>
      </c>
      <c r="D148" s="2" t="s">
        <v>50</v>
      </c>
      <c r="E148" s="2" t="s">
        <v>17</v>
      </c>
      <c r="F148" s="2" t="s">
        <v>18</v>
      </c>
      <c r="G148" s="1">
        <v>0</v>
      </c>
      <c r="H148" s="1">
        <v>792</v>
      </c>
      <c r="I148" s="2" t="s">
        <v>56</v>
      </c>
      <c r="J148" s="2" t="s">
        <v>20</v>
      </c>
      <c r="K148" s="1">
        <v>101.66</v>
      </c>
      <c r="L148" s="3">
        <v>45808</v>
      </c>
    </row>
    <row r="149" spans="1:12" x14ac:dyDescent="0.25">
      <c r="A149" s="1">
        <v>101928</v>
      </c>
      <c r="B149" s="2" t="s">
        <v>794</v>
      </c>
      <c r="C149" s="2" t="s">
        <v>52</v>
      </c>
      <c r="D149" s="2" t="s">
        <v>16</v>
      </c>
      <c r="E149" s="2" t="s">
        <v>60</v>
      </c>
      <c r="F149" s="2" t="s">
        <v>83</v>
      </c>
      <c r="G149" s="1">
        <v>0</v>
      </c>
      <c r="H149" s="1">
        <v>733</v>
      </c>
      <c r="I149" s="2" t="s">
        <v>35</v>
      </c>
      <c r="J149" s="2" t="s">
        <v>26</v>
      </c>
      <c r="K149" s="1">
        <v>805.26</v>
      </c>
      <c r="L149" s="3">
        <v>45807</v>
      </c>
    </row>
    <row r="150" spans="1:12" x14ac:dyDescent="0.25">
      <c r="A150" s="1">
        <v>102125</v>
      </c>
      <c r="B150" s="2" t="s">
        <v>136</v>
      </c>
      <c r="C150" s="2" t="s">
        <v>58</v>
      </c>
      <c r="D150" s="2" t="s">
        <v>16</v>
      </c>
      <c r="E150" s="2" t="s">
        <v>70</v>
      </c>
      <c r="F150" s="2" t="s">
        <v>18</v>
      </c>
      <c r="G150" s="1" t="s">
        <v>35</v>
      </c>
      <c r="H150" s="1">
        <v>540</v>
      </c>
      <c r="I150" s="2" t="s">
        <v>19</v>
      </c>
      <c r="J150" s="2" t="s">
        <v>33</v>
      </c>
      <c r="K150" s="1">
        <v>660.64</v>
      </c>
      <c r="L150" s="3">
        <v>45807</v>
      </c>
    </row>
    <row r="151" spans="1:12" x14ac:dyDescent="0.25">
      <c r="A151" s="1">
        <v>100444</v>
      </c>
      <c r="B151" s="2" t="s">
        <v>225</v>
      </c>
      <c r="C151" s="2" t="s">
        <v>142</v>
      </c>
      <c r="D151" s="2" t="s">
        <v>16</v>
      </c>
      <c r="E151" s="2" t="s">
        <v>17</v>
      </c>
      <c r="F151" s="2" t="s">
        <v>42</v>
      </c>
      <c r="G151" s="1">
        <v>47</v>
      </c>
      <c r="H151" s="1">
        <v>741</v>
      </c>
      <c r="I151" s="2" t="s">
        <v>32</v>
      </c>
      <c r="J151" s="2" t="s">
        <v>26</v>
      </c>
      <c r="K151" s="1">
        <v>513.29</v>
      </c>
      <c r="L151" s="3">
        <v>45807</v>
      </c>
    </row>
    <row r="152" spans="1:12" x14ac:dyDescent="0.25">
      <c r="A152" s="1">
        <v>101514</v>
      </c>
      <c r="B152" s="2" t="s">
        <v>601</v>
      </c>
      <c r="C152" s="2" t="s">
        <v>100</v>
      </c>
      <c r="D152" s="2" t="s">
        <v>16</v>
      </c>
      <c r="E152" s="2" t="s">
        <v>17</v>
      </c>
      <c r="F152" s="2" t="s">
        <v>18</v>
      </c>
      <c r="G152" s="1" t="s">
        <v>35</v>
      </c>
      <c r="H152" s="1">
        <v>849</v>
      </c>
      <c r="I152" s="2" t="s">
        <v>32</v>
      </c>
      <c r="J152" s="2" t="s">
        <v>35</v>
      </c>
      <c r="K152" s="1">
        <v>604.11</v>
      </c>
      <c r="L152" s="3">
        <v>45806</v>
      </c>
    </row>
    <row r="153" spans="1:12" x14ac:dyDescent="0.25">
      <c r="A153" s="1">
        <v>101272</v>
      </c>
      <c r="B153" s="2" t="s">
        <v>276</v>
      </c>
      <c r="C153" s="2" t="s">
        <v>52</v>
      </c>
      <c r="D153" s="2" t="s">
        <v>41</v>
      </c>
      <c r="E153" s="2" t="s">
        <v>81</v>
      </c>
      <c r="F153" s="2" t="s">
        <v>18</v>
      </c>
      <c r="G153" s="1">
        <v>0</v>
      </c>
      <c r="H153" s="1">
        <v>638</v>
      </c>
      <c r="I153" s="2" t="s">
        <v>56</v>
      </c>
      <c r="J153" s="2" t="s">
        <v>20</v>
      </c>
      <c r="K153" s="1">
        <v>133.46</v>
      </c>
      <c r="L153" s="3">
        <v>45806</v>
      </c>
    </row>
    <row r="154" spans="1:12" x14ac:dyDescent="0.25">
      <c r="A154" s="1">
        <v>102194</v>
      </c>
      <c r="B154" s="2" t="s">
        <v>262</v>
      </c>
      <c r="C154" s="2" t="s">
        <v>134</v>
      </c>
      <c r="D154" s="2" t="s">
        <v>16</v>
      </c>
      <c r="E154" s="2" t="s">
        <v>81</v>
      </c>
      <c r="F154" s="2" t="s">
        <v>18</v>
      </c>
      <c r="G154" s="1">
        <v>0</v>
      </c>
      <c r="H154" s="1">
        <v>399</v>
      </c>
      <c r="I154" s="2" t="s">
        <v>37</v>
      </c>
      <c r="J154" s="2" t="s">
        <v>20</v>
      </c>
      <c r="K154" s="1">
        <v>562.76</v>
      </c>
      <c r="L154" s="3">
        <v>45805</v>
      </c>
    </row>
    <row r="155" spans="1:12" x14ac:dyDescent="0.25">
      <c r="A155" s="1">
        <v>100560</v>
      </c>
      <c r="B155" s="2" t="s">
        <v>194</v>
      </c>
      <c r="C155" s="2" t="s">
        <v>47</v>
      </c>
      <c r="D155" s="2" t="s">
        <v>50</v>
      </c>
      <c r="E155" s="2" t="s">
        <v>81</v>
      </c>
      <c r="F155" s="2" t="s">
        <v>18</v>
      </c>
      <c r="G155" s="1">
        <v>0</v>
      </c>
      <c r="H155" s="1">
        <v>308</v>
      </c>
      <c r="I155" s="2" t="s">
        <v>45</v>
      </c>
      <c r="J155" s="2" t="s">
        <v>20</v>
      </c>
      <c r="K155" s="1">
        <v>236.59</v>
      </c>
      <c r="L155" s="3">
        <v>45805</v>
      </c>
    </row>
    <row r="156" spans="1:12" x14ac:dyDescent="0.25">
      <c r="A156" s="1">
        <v>101893</v>
      </c>
      <c r="B156" s="2" t="s">
        <v>376</v>
      </c>
      <c r="C156" s="2" t="s">
        <v>22</v>
      </c>
      <c r="D156" s="2" t="s">
        <v>16</v>
      </c>
      <c r="E156" s="2" t="s">
        <v>55</v>
      </c>
      <c r="F156" s="2" t="s">
        <v>18</v>
      </c>
      <c r="G156" s="1">
        <v>0</v>
      </c>
      <c r="H156" s="1">
        <v>340</v>
      </c>
      <c r="I156" s="2" t="s">
        <v>32</v>
      </c>
      <c r="J156" s="2" t="s">
        <v>20</v>
      </c>
      <c r="K156" s="1">
        <v>218.06</v>
      </c>
      <c r="L156" s="3">
        <v>45805</v>
      </c>
    </row>
    <row r="157" spans="1:12" x14ac:dyDescent="0.25">
      <c r="A157" s="1">
        <v>101698</v>
      </c>
      <c r="B157" s="2" t="s">
        <v>540</v>
      </c>
      <c r="C157" s="2" t="s">
        <v>13</v>
      </c>
      <c r="D157" s="2" t="s">
        <v>50</v>
      </c>
      <c r="E157" s="2" t="s">
        <v>55</v>
      </c>
      <c r="F157" s="2" t="s">
        <v>25</v>
      </c>
      <c r="G157" s="1">
        <v>27</v>
      </c>
      <c r="H157" s="1">
        <v>487</v>
      </c>
      <c r="I157" s="2" t="s">
        <v>32</v>
      </c>
      <c r="J157" s="2" t="s">
        <v>20</v>
      </c>
      <c r="K157" s="1">
        <v>118.59</v>
      </c>
      <c r="L157" s="3">
        <v>45805</v>
      </c>
    </row>
    <row r="158" spans="1:12" x14ac:dyDescent="0.25">
      <c r="A158" s="1">
        <v>101075</v>
      </c>
      <c r="B158" s="2" t="s">
        <v>1168</v>
      </c>
      <c r="C158" s="2" t="s">
        <v>218</v>
      </c>
      <c r="D158" s="2" t="s">
        <v>64</v>
      </c>
      <c r="E158" s="2" t="s">
        <v>31</v>
      </c>
      <c r="F158" s="2" t="s">
        <v>83</v>
      </c>
      <c r="G158" s="1">
        <v>0</v>
      </c>
      <c r="H158" s="1">
        <v>606</v>
      </c>
      <c r="I158" s="2" t="s">
        <v>37</v>
      </c>
      <c r="J158" s="2" t="s">
        <v>33</v>
      </c>
      <c r="K158" s="1">
        <v>46.46</v>
      </c>
      <c r="L158" s="3">
        <v>45805</v>
      </c>
    </row>
    <row r="159" spans="1:12" x14ac:dyDescent="0.25">
      <c r="A159" s="1">
        <v>100882</v>
      </c>
      <c r="B159" s="2" t="s">
        <v>616</v>
      </c>
      <c r="C159" s="2" t="s">
        <v>95</v>
      </c>
      <c r="D159" s="2" t="s">
        <v>64</v>
      </c>
      <c r="E159" s="2" t="s">
        <v>35</v>
      </c>
      <c r="F159" s="2" t="s">
        <v>25</v>
      </c>
      <c r="G159" s="1">
        <v>17</v>
      </c>
      <c r="H159" s="1">
        <v>898</v>
      </c>
      <c r="I159" s="2" t="s">
        <v>19</v>
      </c>
      <c r="J159" s="2" t="s">
        <v>20</v>
      </c>
      <c r="K159" s="1">
        <v>22.91</v>
      </c>
      <c r="L159" s="3">
        <v>45805</v>
      </c>
    </row>
    <row r="160" spans="1:12" x14ac:dyDescent="0.25">
      <c r="A160" s="1">
        <v>101146</v>
      </c>
      <c r="B160" s="2" t="s">
        <v>478</v>
      </c>
      <c r="C160" s="2" t="s">
        <v>218</v>
      </c>
      <c r="D160" s="2" t="s">
        <v>50</v>
      </c>
      <c r="E160" s="2" t="s">
        <v>55</v>
      </c>
      <c r="F160" s="2" t="s">
        <v>18</v>
      </c>
      <c r="G160" s="1">
        <v>0</v>
      </c>
      <c r="H160" s="1">
        <v>712</v>
      </c>
      <c r="I160" s="2" t="s">
        <v>45</v>
      </c>
      <c r="J160" s="2" t="s">
        <v>20</v>
      </c>
      <c r="K160" s="1">
        <v>164.68</v>
      </c>
      <c r="L160" s="3">
        <v>45804</v>
      </c>
    </row>
    <row r="161" spans="1:12" x14ac:dyDescent="0.25">
      <c r="A161" s="1">
        <v>101981</v>
      </c>
      <c r="B161" s="2" t="s">
        <v>866</v>
      </c>
      <c r="C161" s="2" t="s">
        <v>168</v>
      </c>
      <c r="D161" s="2" t="s">
        <v>50</v>
      </c>
      <c r="E161" s="2" t="s">
        <v>60</v>
      </c>
      <c r="F161" s="2" t="s">
        <v>83</v>
      </c>
      <c r="G161" s="1">
        <v>0</v>
      </c>
      <c r="H161" s="1">
        <v>458</v>
      </c>
      <c r="I161" s="2" t="s">
        <v>19</v>
      </c>
      <c r="J161" s="2" t="s">
        <v>20</v>
      </c>
      <c r="K161" s="1">
        <v>110.44</v>
      </c>
      <c r="L161" s="3">
        <v>45804</v>
      </c>
    </row>
    <row r="162" spans="1:12" x14ac:dyDescent="0.25">
      <c r="A162" s="1">
        <v>100510</v>
      </c>
      <c r="B162" s="2" t="s">
        <v>1069</v>
      </c>
      <c r="C162" s="2" t="s">
        <v>22</v>
      </c>
      <c r="D162" s="2" t="s">
        <v>50</v>
      </c>
      <c r="E162" s="2" t="s">
        <v>55</v>
      </c>
      <c r="F162" s="2" t="s">
        <v>18</v>
      </c>
      <c r="G162" s="1">
        <v>0</v>
      </c>
      <c r="H162" s="1">
        <v>607</v>
      </c>
      <c r="I162" s="2" t="s">
        <v>37</v>
      </c>
      <c r="J162" s="2" t="s">
        <v>20</v>
      </c>
      <c r="K162" s="1">
        <v>689.06</v>
      </c>
      <c r="L162" s="3">
        <v>45803</v>
      </c>
    </row>
    <row r="163" spans="1:12" x14ac:dyDescent="0.25">
      <c r="A163" s="1">
        <v>101114</v>
      </c>
      <c r="B163" s="2" t="s">
        <v>1300</v>
      </c>
      <c r="C163" s="2" t="s">
        <v>103</v>
      </c>
      <c r="D163" s="2" t="s">
        <v>64</v>
      </c>
      <c r="E163" s="2" t="s">
        <v>17</v>
      </c>
      <c r="F163" s="2" t="s">
        <v>18</v>
      </c>
      <c r="G163" s="1">
        <v>0</v>
      </c>
      <c r="H163" s="1">
        <v>374</v>
      </c>
      <c r="I163" s="2" t="s">
        <v>56</v>
      </c>
      <c r="J163" s="2" t="s">
        <v>20</v>
      </c>
      <c r="K163" s="1">
        <v>430.05</v>
      </c>
      <c r="L163" s="3">
        <v>45803</v>
      </c>
    </row>
    <row r="164" spans="1:12" x14ac:dyDescent="0.25">
      <c r="A164" s="1">
        <v>102033</v>
      </c>
      <c r="B164" s="2" t="s">
        <v>65</v>
      </c>
      <c r="C164" s="2" t="s">
        <v>35</v>
      </c>
      <c r="D164" s="2" t="s">
        <v>64</v>
      </c>
      <c r="E164" s="2" t="s">
        <v>31</v>
      </c>
      <c r="F164" s="2" t="s">
        <v>83</v>
      </c>
      <c r="G164" s="1">
        <v>0</v>
      </c>
      <c r="H164" s="1">
        <v>542</v>
      </c>
      <c r="I164" s="2" t="s">
        <v>32</v>
      </c>
      <c r="J164" s="2" t="s">
        <v>20</v>
      </c>
      <c r="K164" s="1">
        <v>302.24</v>
      </c>
      <c r="L164" s="3">
        <v>45803</v>
      </c>
    </row>
    <row r="165" spans="1:12" x14ac:dyDescent="0.25">
      <c r="A165" s="1">
        <v>100133</v>
      </c>
      <c r="B165" s="2" t="s">
        <v>107</v>
      </c>
      <c r="C165" s="2" t="s">
        <v>58</v>
      </c>
      <c r="D165" s="2" t="s">
        <v>106</v>
      </c>
      <c r="E165" s="2" t="s">
        <v>81</v>
      </c>
      <c r="F165" s="2" t="s">
        <v>25</v>
      </c>
      <c r="G165" s="1">
        <v>21</v>
      </c>
      <c r="H165" s="1">
        <v>884</v>
      </c>
      <c r="I165" s="2" t="s">
        <v>32</v>
      </c>
      <c r="J165" s="2" t="s">
        <v>20</v>
      </c>
      <c r="K165" s="1">
        <v>281.06</v>
      </c>
      <c r="L165" s="3">
        <v>45803</v>
      </c>
    </row>
    <row r="166" spans="1:12" x14ac:dyDescent="0.25">
      <c r="A166" s="1">
        <v>100123</v>
      </c>
      <c r="B166" s="2" t="s">
        <v>160</v>
      </c>
      <c r="C166" s="2" t="s">
        <v>72</v>
      </c>
      <c r="D166" s="2" t="s">
        <v>50</v>
      </c>
      <c r="E166" s="2" t="s">
        <v>81</v>
      </c>
      <c r="F166" s="2" t="s">
        <v>18</v>
      </c>
      <c r="G166" s="1">
        <v>0</v>
      </c>
      <c r="H166" s="1">
        <v>585</v>
      </c>
      <c r="I166" s="2" t="s">
        <v>32</v>
      </c>
      <c r="J166" s="2" t="s">
        <v>20</v>
      </c>
      <c r="K166" s="1">
        <v>175.26</v>
      </c>
      <c r="L166" s="3">
        <v>45803</v>
      </c>
    </row>
    <row r="167" spans="1:12" x14ac:dyDescent="0.25">
      <c r="A167" s="1">
        <v>101748</v>
      </c>
      <c r="B167" s="2" t="s">
        <v>581</v>
      </c>
      <c r="C167" s="2" t="s">
        <v>103</v>
      </c>
      <c r="D167" s="2" t="s">
        <v>16</v>
      </c>
      <c r="E167" s="2" t="s">
        <v>70</v>
      </c>
      <c r="F167" s="2" t="s">
        <v>83</v>
      </c>
      <c r="G167" s="1">
        <v>0</v>
      </c>
      <c r="H167" s="1">
        <v>435</v>
      </c>
      <c r="I167" s="2" t="s">
        <v>32</v>
      </c>
      <c r="J167" s="2" t="s">
        <v>26</v>
      </c>
      <c r="K167" s="1">
        <v>8.26</v>
      </c>
      <c r="L167" s="3">
        <v>45803</v>
      </c>
    </row>
    <row r="168" spans="1:12" x14ac:dyDescent="0.25">
      <c r="A168" s="1">
        <v>101495</v>
      </c>
      <c r="B168" s="2" t="s">
        <v>286</v>
      </c>
      <c r="C168" s="2" t="s">
        <v>168</v>
      </c>
      <c r="D168" s="2" t="s">
        <v>41</v>
      </c>
      <c r="E168" s="2" t="s">
        <v>31</v>
      </c>
      <c r="F168" s="2" t="s">
        <v>18</v>
      </c>
      <c r="G168" s="1">
        <v>0</v>
      </c>
      <c r="H168" s="1">
        <v>434</v>
      </c>
      <c r="I168" s="2" t="s">
        <v>56</v>
      </c>
      <c r="J168" s="2" t="s">
        <v>20</v>
      </c>
      <c r="K168" s="1">
        <v>419.9</v>
      </c>
      <c r="L168" s="3">
        <v>45802</v>
      </c>
    </row>
    <row r="169" spans="1:12" x14ac:dyDescent="0.25">
      <c r="A169" s="1">
        <v>101995</v>
      </c>
      <c r="B169" s="2" t="s">
        <v>825</v>
      </c>
      <c r="C169" s="2" t="s">
        <v>58</v>
      </c>
      <c r="D169" s="2" t="s">
        <v>16</v>
      </c>
      <c r="E169" s="2" t="s">
        <v>31</v>
      </c>
      <c r="F169" s="2" t="s">
        <v>18</v>
      </c>
      <c r="G169" s="1">
        <v>0</v>
      </c>
      <c r="H169" s="1">
        <v>636</v>
      </c>
      <c r="I169" s="2" t="s">
        <v>35</v>
      </c>
      <c r="J169" s="2" t="s">
        <v>33</v>
      </c>
      <c r="K169" s="1">
        <v>148.97</v>
      </c>
      <c r="L169" s="3">
        <v>45802</v>
      </c>
    </row>
    <row r="170" spans="1:12" x14ac:dyDescent="0.25">
      <c r="A170" s="1">
        <v>100938</v>
      </c>
      <c r="B170" s="2" t="s">
        <v>269</v>
      </c>
      <c r="C170" s="2" t="s">
        <v>270</v>
      </c>
      <c r="D170" s="2" t="s">
        <v>41</v>
      </c>
      <c r="E170" s="2" t="s">
        <v>17</v>
      </c>
      <c r="F170" s="2" t="s">
        <v>18</v>
      </c>
      <c r="G170" s="1">
        <v>0</v>
      </c>
      <c r="H170" s="1">
        <v>515</v>
      </c>
      <c r="I170" s="2" t="s">
        <v>56</v>
      </c>
      <c r="J170" s="2" t="s">
        <v>33</v>
      </c>
      <c r="K170" s="1">
        <v>766.54</v>
      </c>
      <c r="L170" s="3">
        <v>45801</v>
      </c>
    </row>
    <row r="171" spans="1:12" x14ac:dyDescent="0.25">
      <c r="A171" s="1">
        <v>102185</v>
      </c>
      <c r="B171" s="2" t="s">
        <v>429</v>
      </c>
      <c r="C171" s="2" t="s">
        <v>52</v>
      </c>
      <c r="D171" s="2" t="s">
        <v>41</v>
      </c>
      <c r="E171" s="2" t="s">
        <v>35</v>
      </c>
      <c r="F171" s="2" t="s">
        <v>18</v>
      </c>
      <c r="G171" s="1">
        <v>0</v>
      </c>
      <c r="H171" s="1">
        <v>568</v>
      </c>
      <c r="I171" s="2" t="s">
        <v>19</v>
      </c>
      <c r="J171" s="2" t="s">
        <v>20</v>
      </c>
      <c r="K171" s="1">
        <v>486.32</v>
      </c>
      <c r="L171" s="3">
        <v>45801</v>
      </c>
    </row>
    <row r="172" spans="1:12" x14ac:dyDescent="0.25">
      <c r="A172" s="1">
        <v>101570</v>
      </c>
      <c r="B172" s="2" t="s">
        <v>601</v>
      </c>
      <c r="C172" s="2" t="s">
        <v>100</v>
      </c>
      <c r="D172" s="2" t="s">
        <v>41</v>
      </c>
      <c r="E172" s="2" t="s">
        <v>60</v>
      </c>
      <c r="F172" s="2" t="s">
        <v>18</v>
      </c>
      <c r="G172" s="1">
        <v>0</v>
      </c>
      <c r="H172" s="1">
        <v>849</v>
      </c>
      <c r="I172" s="2" t="s">
        <v>35</v>
      </c>
      <c r="J172" s="2" t="s">
        <v>33</v>
      </c>
      <c r="K172" s="1">
        <v>271.98</v>
      </c>
      <c r="L172" s="3">
        <v>45801</v>
      </c>
    </row>
    <row r="173" spans="1:12" x14ac:dyDescent="0.25">
      <c r="A173" s="1">
        <v>100160</v>
      </c>
      <c r="B173" s="2" t="s">
        <v>131</v>
      </c>
      <c r="C173" s="2" t="s">
        <v>39</v>
      </c>
      <c r="D173" s="2" t="s">
        <v>50</v>
      </c>
      <c r="E173" s="2" t="s">
        <v>31</v>
      </c>
      <c r="F173" s="2" t="s">
        <v>18</v>
      </c>
      <c r="G173" s="1">
        <v>0</v>
      </c>
      <c r="H173" s="1">
        <v>867</v>
      </c>
      <c r="I173" s="2" t="s">
        <v>37</v>
      </c>
      <c r="J173" s="2" t="s">
        <v>33</v>
      </c>
      <c r="K173" s="1">
        <v>918.57</v>
      </c>
      <c r="L173" s="3">
        <v>45800</v>
      </c>
    </row>
    <row r="174" spans="1:12" x14ac:dyDescent="0.25">
      <c r="A174" s="1">
        <v>102072</v>
      </c>
      <c r="B174" s="2" t="s">
        <v>133</v>
      </c>
      <c r="C174" s="2" t="s">
        <v>134</v>
      </c>
      <c r="D174" s="2" t="s">
        <v>64</v>
      </c>
      <c r="E174" s="2" t="s">
        <v>60</v>
      </c>
      <c r="F174" s="2" t="s">
        <v>42</v>
      </c>
      <c r="G174" s="1">
        <v>74</v>
      </c>
      <c r="H174" s="1">
        <v>345</v>
      </c>
      <c r="I174" s="2" t="s">
        <v>56</v>
      </c>
      <c r="J174" s="2" t="s">
        <v>20</v>
      </c>
      <c r="K174" s="1">
        <v>481.19</v>
      </c>
      <c r="L174" s="3">
        <v>45800</v>
      </c>
    </row>
    <row r="175" spans="1:12" x14ac:dyDescent="0.25">
      <c r="A175" s="1">
        <v>102192</v>
      </c>
      <c r="B175" s="2" t="s">
        <v>360</v>
      </c>
      <c r="C175" s="2" t="s">
        <v>149</v>
      </c>
      <c r="D175" s="2" t="s">
        <v>41</v>
      </c>
      <c r="E175" s="2" t="s">
        <v>78</v>
      </c>
      <c r="F175" s="2" t="s">
        <v>18</v>
      </c>
      <c r="G175" s="1">
        <v>0</v>
      </c>
      <c r="H175" s="1">
        <v>621</v>
      </c>
      <c r="I175" s="2" t="s">
        <v>56</v>
      </c>
      <c r="J175" s="2" t="s">
        <v>26</v>
      </c>
      <c r="K175" s="1">
        <v>383.96</v>
      </c>
      <c r="L175" s="3">
        <v>45800</v>
      </c>
    </row>
    <row r="176" spans="1:12" x14ac:dyDescent="0.25">
      <c r="A176" s="1">
        <v>101192</v>
      </c>
      <c r="B176" s="2" t="s">
        <v>1026</v>
      </c>
      <c r="C176" s="2" t="s">
        <v>244</v>
      </c>
      <c r="D176" s="2" t="s">
        <v>50</v>
      </c>
      <c r="E176" s="2" t="s">
        <v>78</v>
      </c>
      <c r="F176" s="2" t="s">
        <v>18</v>
      </c>
      <c r="G176" s="1">
        <v>0</v>
      </c>
      <c r="H176" s="1">
        <v>560</v>
      </c>
      <c r="I176" s="2" t="s">
        <v>45</v>
      </c>
      <c r="J176" s="2" t="s">
        <v>20</v>
      </c>
      <c r="K176" s="1">
        <v>348.67</v>
      </c>
      <c r="L176" s="3">
        <v>45800</v>
      </c>
    </row>
    <row r="177" spans="1:12" x14ac:dyDescent="0.25">
      <c r="A177" s="1">
        <v>101759</v>
      </c>
      <c r="B177" s="2" t="s">
        <v>215</v>
      </c>
      <c r="C177" s="2" t="s">
        <v>126</v>
      </c>
      <c r="D177" s="2" t="s">
        <v>64</v>
      </c>
      <c r="E177" s="2" t="s">
        <v>81</v>
      </c>
      <c r="F177" s="2" t="s">
        <v>18</v>
      </c>
      <c r="G177" s="1">
        <v>0</v>
      </c>
      <c r="H177" s="1">
        <v>395</v>
      </c>
      <c r="I177" s="2" t="s">
        <v>32</v>
      </c>
      <c r="J177" s="2" t="s">
        <v>26</v>
      </c>
      <c r="K177" s="1"/>
      <c r="L177" s="3">
        <v>45800</v>
      </c>
    </row>
    <row r="178" spans="1:12" x14ac:dyDescent="0.25">
      <c r="A178" s="1">
        <v>101885</v>
      </c>
      <c r="B178" s="2" t="s">
        <v>222</v>
      </c>
      <c r="C178" s="2" t="s">
        <v>100</v>
      </c>
      <c r="D178" s="2" t="s">
        <v>50</v>
      </c>
      <c r="E178" s="2" t="s">
        <v>55</v>
      </c>
      <c r="F178" s="2" t="s">
        <v>83</v>
      </c>
      <c r="G178" s="1">
        <v>0</v>
      </c>
      <c r="H178" s="1">
        <v>585</v>
      </c>
      <c r="I178" s="2" t="s">
        <v>56</v>
      </c>
      <c r="J178" s="2" t="s">
        <v>20</v>
      </c>
      <c r="K178" s="1">
        <v>1261.3599999999999</v>
      </c>
      <c r="L178" s="3">
        <v>45799</v>
      </c>
    </row>
    <row r="179" spans="1:12" x14ac:dyDescent="0.25">
      <c r="A179" s="1">
        <v>101217</v>
      </c>
      <c r="B179" s="2" t="s">
        <v>167</v>
      </c>
      <c r="C179" s="2" t="s">
        <v>168</v>
      </c>
      <c r="D179" s="2" t="s">
        <v>16</v>
      </c>
      <c r="E179" s="2" t="s">
        <v>81</v>
      </c>
      <c r="F179" s="2" t="s">
        <v>25</v>
      </c>
      <c r="G179" s="1">
        <v>27</v>
      </c>
      <c r="H179" s="1">
        <v>658</v>
      </c>
      <c r="I179" s="2" t="s">
        <v>32</v>
      </c>
      <c r="J179" s="2" t="s">
        <v>26</v>
      </c>
      <c r="K179" s="1">
        <v>871.79</v>
      </c>
      <c r="L179" s="3">
        <v>45799</v>
      </c>
    </row>
    <row r="180" spans="1:12" x14ac:dyDescent="0.25">
      <c r="A180" s="1">
        <v>100648</v>
      </c>
      <c r="B180" s="2" t="s">
        <v>68</v>
      </c>
      <c r="C180" s="2" t="s">
        <v>52</v>
      </c>
      <c r="D180" s="2" t="s">
        <v>50</v>
      </c>
      <c r="E180" s="2" t="s">
        <v>55</v>
      </c>
      <c r="F180" s="2" t="s">
        <v>83</v>
      </c>
      <c r="G180" s="1">
        <v>0</v>
      </c>
      <c r="H180" s="1">
        <v>309</v>
      </c>
      <c r="I180" s="2" t="s">
        <v>45</v>
      </c>
      <c r="J180" s="2" t="s">
        <v>20</v>
      </c>
      <c r="K180" s="1">
        <v>423.51</v>
      </c>
      <c r="L180" s="3">
        <v>45799</v>
      </c>
    </row>
    <row r="181" spans="1:12" x14ac:dyDescent="0.25">
      <c r="A181" s="1">
        <v>100343</v>
      </c>
      <c r="B181" s="2" t="s">
        <v>338</v>
      </c>
      <c r="C181" s="2" t="s">
        <v>22</v>
      </c>
      <c r="D181" s="2" t="s">
        <v>41</v>
      </c>
      <c r="E181" s="2" t="s">
        <v>60</v>
      </c>
      <c r="F181" s="2" t="s">
        <v>18</v>
      </c>
      <c r="G181" s="1">
        <v>0</v>
      </c>
      <c r="H181" s="1">
        <v>832</v>
      </c>
      <c r="I181" s="2" t="s">
        <v>56</v>
      </c>
      <c r="J181" s="2" t="s">
        <v>20</v>
      </c>
      <c r="K181" s="1">
        <v>231.69</v>
      </c>
      <c r="L181" s="3">
        <v>45799</v>
      </c>
    </row>
    <row r="182" spans="1:12" x14ac:dyDescent="0.25">
      <c r="A182" s="1">
        <v>101612</v>
      </c>
      <c r="B182" s="2" t="s">
        <v>247</v>
      </c>
      <c r="C182" s="2" t="s">
        <v>126</v>
      </c>
      <c r="D182" s="2" t="s">
        <v>16</v>
      </c>
      <c r="E182" s="2" t="s">
        <v>60</v>
      </c>
      <c r="F182" s="2" t="s">
        <v>18</v>
      </c>
      <c r="G182" s="1">
        <v>0</v>
      </c>
      <c r="H182" s="1">
        <v>527</v>
      </c>
      <c r="I182" s="2" t="s">
        <v>56</v>
      </c>
      <c r="J182" s="2" t="s">
        <v>20</v>
      </c>
      <c r="K182" s="1">
        <v>214.44</v>
      </c>
      <c r="L182" s="3">
        <v>45799</v>
      </c>
    </row>
    <row r="183" spans="1:12" x14ac:dyDescent="0.25">
      <c r="A183" s="1">
        <v>101064</v>
      </c>
      <c r="B183" s="2" t="s">
        <v>807</v>
      </c>
      <c r="C183" s="2" t="s">
        <v>85</v>
      </c>
      <c r="D183" s="2" t="s">
        <v>41</v>
      </c>
      <c r="E183" s="2" t="s">
        <v>17</v>
      </c>
      <c r="F183" s="2" t="s">
        <v>42</v>
      </c>
      <c r="G183" s="1">
        <v>46</v>
      </c>
      <c r="H183" s="1">
        <v>443</v>
      </c>
      <c r="I183" s="2" t="s">
        <v>45</v>
      </c>
      <c r="J183" s="2" t="s">
        <v>20</v>
      </c>
      <c r="K183" s="1">
        <v>902.43</v>
      </c>
      <c r="L183" s="3">
        <v>45798</v>
      </c>
    </row>
    <row r="184" spans="1:12" x14ac:dyDescent="0.25">
      <c r="A184" s="1">
        <v>100420</v>
      </c>
      <c r="B184" s="2" t="s">
        <v>196</v>
      </c>
      <c r="C184" s="2" t="s">
        <v>152</v>
      </c>
      <c r="D184" s="2" t="s">
        <v>41</v>
      </c>
      <c r="E184" s="2" t="s">
        <v>78</v>
      </c>
      <c r="F184" s="2" t="s">
        <v>83</v>
      </c>
      <c r="G184" s="1">
        <v>0</v>
      </c>
      <c r="H184" s="1">
        <v>405</v>
      </c>
      <c r="I184" s="2" t="s">
        <v>45</v>
      </c>
      <c r="J184" s="2" t="s">
        <v>20</v>
      </c>
      <c r="K184" s="1">
        <v>386.5</v>
      </c>
      <c r="L184" s="3">
        <v>45798</v>
      </c>
    </row>
    <row r="185" spans="1:12" x14ac:dyDescent="0.25">
      <c r="A185" s="1">
        <v>101468</v>
      </c>
      <c r="B185" s="2" t="s">
        <v>429</v>
      </c>
      <c r="C185" s="2" t="s">
        <v>52</v>
      </c>
      <c r="D185" s="2" t="s">
        <v>106</v>
      </c>
      <c r="E185" s="2" t="s">
        <v>81</v>
      </c>
      <c r="F185" s="2" t="s">
        <v>18</v>
      </c>
      <c r="G185" s="1">
        <v>0</v>
      </c>
      <c r="H185" s="1">
        <v>568</v>
      </c>
      <c r="I185" s="2" t="s">
        <v>19</v>
      </c>
      <c r="J185" s="2" t="s">
        <v>20</v>
      </c>
      <c r="K185" s="1">
        <v>951.43</v>
      </c>
      <c r="L185" s="3">
        <v>45797</v>
      </c>
    </row>
    <row r="186" spans="1:12" x14ac:dyDescent="0.25">
      <c r="A186" s="1">
        <v>101484</v>
      </c>
      <c r="B186" s="2" t="s">
        <v>259</v>
      </c>
      <c r="C186" s="2" t="s">
        <v>218</v>
      </c>
      <c r="D186" s="2" t="s">
        <v>64</v>
      </c>
      <c r="E186" s="2" t="s">
        <v>60</v>
      </c>
      <c r="F186" s="2" t="s">
        <v>83</v>
      </c>
      <c r="G186" s="1">
        <v>0</v>
      </c>
      <c r="H186" s="1">
        <v>732</v>
      </c>
      <c r="I186" s="2" t="s">
        <v>37</v>
      </c>
      <c r="J186" s="2" t="s">
        <v>33</v>
      </c>
      <c r="K186" s="1">
        <v>590.73</v>
      </c>
      <c r="L186" s="3">
        <v>45797</v>
      </c>
    </row>
    <row r="187" spans="1:12" x14ac:dyDescent="0.25">
      <c r="A187" s="1">
        <v>100102</v>
      </c>
      <c r="B187" s="2" t="s">
        <v>446</v>
      </c>
      <c r="C187" s="2" t="s">
        <v>168</v>
      </c>
      <c r="D187" s="2" t="s">
        <v>50</v>
      </c>
      <c r="E187" s="2" t="s">
        <v>31</v>
      </c>
      <c r="F187" s="2" t="s">
        <v>83</v>
      </c>
      <c r="G187" s="1">
        <v>0</v>
      </c>
      <c r="H187" s="1">
        <v>515</v>
      </c>
      <c r="I187" s="2" t="s">
        <v>37</v>
      </c>
      <c r="J187" s="2" t="s">
        <v>26</v>
      </c>
      <c r="K187" s="1">
        <v>448.08</v>
      </c>
      <c r="L187" s="3">
        <v>45797</v>
      </c>
    </row>
    <row r="188" spans="1:12" x14ac:dyDescent="0.25">
      <c r="A188" s="1">
        <v>100059</v>
      </c>
      <c r="B188" s="2" t="s">
        <v>563</v>
      </c>
      <c r="C188" s="2" t="s">
        <v>58</v>
      </c>
      <c r="D188" s="2" t="s">
        <v>41</v>
      </c>
      <c r="E188" s="2" t="s">
        <v>17</v>
      </c>
      <c r="F188" s="2" t="s">
        <v>18</v>
      </c>
      <c r="G188" s="1">
        <v>0</v>
      </c>
      <c r="H188" s="1">
        <v>893</v>
      </c>
      <c r="I188" s="2" t="s">
        <v>37</v>
      </c>
      <c r="J188" s="2" t="s">
        <v>26</v>
      </c>
      <c r="K188" s="1">
        <v>414.21</v>
      </c>
      <c r="L188" s="3">
        <v>45797</v>
      </c>
    </row>
    <row r="189" spans="1:12" x14ac:dyDescent="0.25">
      <c r="A189" s="1">
        <v>100209</v>
      </c>
      <c r="B189" s="2" t="s">
        <v>276</v>
      </c>
      <c r="C189" s="2" t="s">
        <v>52</v>
      </c>
      <c r="D189" s="2" t="s">
        <v>41</v>
      </c>
      <c r="E189" s="2" t="s">
        <v>35</v>
      </c>
      <c r="F189" s="2" t="s">
        <v>18</v>
      </c>
      <c r="G189" s="1">
        <v>0</v>
      </c>
      <c r="H189" s="1">
        <v>638</v>
      </c>
      <c r="I189" s="2" t="s">
        <v>19</v>
      </c>
      <c r="J189" s="2" t="s">
        <v>20</v>
      </c>
      <c r="K189" s="1">
        <v>298.18</v>
      </c>
      <c r="L189" s="3">
        <v>45797</v>
      </c>
    </row>
    <row r="190" spans="1:12" x14ac:dyDescent="0.25">
      <c r="A190" s="1">
        <v>101663</v>
      </c>
      <c r="B190" s="2" t="s">
        <v>402</v>
      </c>
      <c r="C190" s="2" t="s">
        <v>95</v>
      </c>
      <c r="D190" s="2" t="s">
        <v>106</v>
      </c>
      <c r="E190" s="2" t="s">
        <v>17</v>
      </c>
      <c r="F190" s="2" t="s">
        <v>18</v>
      </c>
      <c r="G190" s="1">
        <v>0</v>
      </c>
      <c r="H190" s="1">
        <v>355</v>
      </c>
      <c r="I190" s="2" t="s">
        <v>45</v>
      </c>
      <c r="J190" s="2" t="s">
        <v>20</v>
      </c>
      <c r="K190" s="1">
        <v>152.06</v>
      </c>
      <c r="L190" s="3">
        <v>45797</v>
      </c>
    </row>
    <row r="191" spans="1:12" x14ac:dyDescent="0.25">
      <c r="A191" s="1">
        <v>100651</v>
      </c>
      <c r="B191" s="2" t="s">
        <v>230</v>
      </c>
      <c r="C191" s="2" t="s">
        <v>35</v>
      </c>
      <c r="D191" s="2" t="s">
        <v>41</v>
      </c>
      <c r="E191" s="2" t="s">
        <v>55</v>
      </c>
      <c r="F191" s="2" t="s">
        <v>18</v>
      </c>
      <c r="G191" s="1">
        <v>0</v>
      </c>
      <c r="H191" s="1">
        <v>818</v>
      </c>
      <c r="I191" s="2" t="s">
        <v>32</v>
      </c>
      <c r="J191" s="2" t="s">
        <v>26</v>
      </c>
      <c r="K191" s="1">
        <v>721.62</v>
      </c>
      <c r="L191" s="3">
        <v>45796</v>
      </c>
    </row>
    <row r="192" spans="1:12" x14ac:dyDescent="0.25">
      <c r="A192" s="1">
        <v>101050</v>
      </c>
      <c r="B192" s="2" t="s">
        <v>138</v>
      </c>
      <c r="C192" s="2" t="s">
        <v>85</v>
      </c>
      <c r="D192" s="2" t="s">
        <v>16</v>
      </c>
      <c r="E192" s="2" t="s">
        <v>31</v>
      </c>
      <c r="F192" s="2" t="s">
        <v>18</v>
      </c>
      <c r="G192" s="1">
        <v>0</v>
      </c>
      <c r="H192" s="1">
        <v>623</v>
      </c>
      <c r="I192" s="2" t="s">
        <v>45</v>
      </c>
      <c r="J192" s="2" t="s">
        <v>26</v>
      </c>
      <c r="K192" s="1">
        <v>265.8</v>
      </c>
      <c r="L192" s="3">
        <v>45796</v>
      </c>
    </row>
    <row r="193" spans="1:12" x14ac:dyDescent="0.25">
      <c r="A193" s="1">
        <v>102174</v>
      </c>
      <c r="B193" s="2" t="s">
        <v>860</v>
      </c>
      <c r="C193" s="2" t="s">
        <v>152</v>
      </c>
      <c r="D193" s="2" t="s">
        <v>50</v>
      </c>
      <c r="E193" s="2" t="s">
        <v>17</v>
      </c>
      <c r="F193" s="2" t="s">
        <v>83</v>
      </c>
      <c r="G193" s="1">
        <v>0</v>
      </c>
      <c r="H193" s="1">
        <v>651</v>
      </c>
      <c r="I193" s="2" t="s">
        <v>32</v>
      </c>
      <c r="J193" s="2" t="s">
        <v>26</v>
      </c>
      <c r="K193" s="1">
        <v>259.88</v>
      </c>
      <c r="L193" s="3">
        <v>45796</v>
      </c>
    </row>
    <row r="194" spans="1:12" x14ac:dyDescent="0.25">
      <c r="A194" s="1">
        <v>100025</v>
      </c>
      <c r="B194" s="2" t="s">
        <v>131</v>
      </c>
      <c r="C194" s="2" t="s">
        <v>39</v>
      </c>
      <c r="D194" s="2" t="s">
        <v>64</v>
      </c>
      <c r="E194" s="2" t="s">
        <v>60</v>
      </c>
      <c r="F194" s="2" t="s">
        <v>18</v>
      </c>
      <c r="G194" s="1">
        <v>0</v>
      </c>
      <c r="H194" s="1">
        <v>867</v>
      </c>
      <c r="I194" s="2" t="s">
        <v>56</v>
      </c>
      <c r="J194" s="2" t="s">
        <v>33</v>
      </c>
      <c r="K194" s="1">
        <v>552.29</v>
      </c>
      <c r="L194" s="3">
        <v>45795</v>
      </c>
    </row>
    <row r="195" spans="1:12" x14ac:dyDescent="0.25">
      <c r="A195" s="1">
        <v>101618</v>
      </c>
      <c r="B195" s="2" t="s">
        <v>1211</v>
      </c>
      <c r="C195" s="2" t="s">
        <v>62</v>
      </c>
      <c r="D195" s="2" t="s">
        <v>50</v>
      </c>
      <c r="E195" s="2" t="s">
        <v>31</v>
      </c>
      <c r="F195" s="2" t="s">
        <v>83</v>
      </c>
      <c r="G195" s="1">
        <v>0</v>
      </c>
      <c r="H195" s="1">
        <v>741</v>
      </c>
      <c r="I195" s="2" t="s">
        <v>56</v>
      </c>
      <c r="J195" s="2" t="s">
        <v>20</v>
      </c>
      <c r="K195" s="1">
        <v>534.35</v>
      </c>
      <c r="L195" s="3">
        <v>45795</v>
      </c>
    </row>
    <row r="196" spans="1:12" x14ac:dyDescent="0.25">
      <c r="A196" s="1">
        <v>100165</v>
      </c>
      <c r="B196" s="2" t="s">
        <v>734</v>
      </c>
      <c r="C196" s="2" t="s">
        <v>218</v>
      </c>
      <c r="D196" s="2" t="s">
        <v>50</v>
      </c>
      <c r="E196" s="2" t="s">
        <v>78</v>
      </c>
      <c r="F196" s="2" t="s">
        <v>25</v>
      </c>
      <c r="G196" s="1">
        <v>5</v>
      </c>
      <c r="H196" s="1">
        <v>865</v>
      </c>
      <c r="I196" s="2" t="s">
        <v>32</v>
      </c>
      <c r="J196" s="2" t="s">
        <v>20</v>
      </c>
      <c r="K196" s="1">
        <v>462.94</v>
      </c>
      <c r="L196" s="3">
        <v>45795</v>
      </c>
    </row>
    <row r="197" spans="1:12" x14ac:dyDescent="0.25">
      <c r="A197" s="1">
        <v>100753</v>
      </c>
      <c r="B197" s="2" t="s">
        <v>438</v>
      </c>
      <c r="C197" s="2" t="s">
        <v>95</v>
      </c>
      <c r="D197" s="2" t="s">
        <v>41</v>
      </c>
      <c r="E197" s="2" t="s">
        <v>60</v>
      </c>
      <c r="F197" s="2" t="s">
        <v>18</v>
      </c>
      <c r="G197" s="1">
        <v>0</v>
      </c>
      <c r="H197" s="1">
        <v>858</v>
      </c>
      <c r="I197" s="2" t="s">
        <v>32</v>
      </c>
      <c r="J197" s="2" t="s">
        <v>33</v>
      </c>
      <c r="K197" s="1">
        <v>286.19</v>
      </c>
      <c r="L197" s="3">
        <v>45795</v>
      </c>
    </row>
    <row r="198" spans="1:12" x14ac:dyDescent="0.25">
      <c r="A198" s="1">
        <v>101933</v>
      </c>
      <c r="B198" s="2" t="s">
        <v>303</v>
      </c>
      <c r="C198" s="2" t="s">
        <v>187</v>
      </c>
      <c r="D198" s="2" t="s">
        <v>41</v>
      </c>
      <c r="E198" s="2" t="s">
        <v>78</v>
      </c>
      <c r="F198" s="2" t="s">
        <v>25</v>
      </c>
      <c r="G198" s="1">
        <v>18</v>
      </c>
      <c r="H198" s="1">
        <v>800</v>
      </c>
      <c r="I198" s="2" t="s">
        <v>56</v>
      </c>
      <c r="J198" s="2" t="s">
        <v>20</v>
      </c>
      <c r="K198" s="1">
        <v>261.82</v>
      </c>
      <c r="L198" s="3">
        <v>45795</v>
      </c>
    </row>
    <row r="199" spans="1:12" x14ac:dyDescent="0.25">
      <c r="A199" s="1">
        <v>101971</v>
      </c>
      <c r="B199" s="2" t="s">
        <v>357</v>
      </c>
      <c r="C199" s="2" t="s">
        <v>62</v>
      </c>
      <c r="D199" s="2" t="s">
        <v>16</v>
      </c>
      <c r="E199" s="2" t="s">
        <v>60</v>
      </c>
      <c r="F199" s="2" t="s">
        <v>18</v>
      </c>
      <c r="G199" s="1">
        <v>0</v>
      </c>
      <c r="H199" s="1">
        <v>345</v>
      </c>
      <c r="I199" s="2" t="s">
        <v>45</v>
      </c>
      <c r="J199" s="2" t="s">
        <v>35</v>
      </c>
      <c r="K199" s="1">
        <v>519.42999999999995</v>
      </c>
      <c r="L199" s="3">
        <v>45794</v>
      </c>
    </row>
    <row r="200" spans="1:12" x14ac:dyDescent="0.25">
      <c r="A200" s="1">
        <v>101572</v>
      </c>
      <c r="B200" s="2" t="s">
        <v>1206</v>
      </c>
      <c r="C200" s="2" t="s">
        <v>22</v>
      </c>
      <c r="D200" s="2" t="s">
        <v>16</v>
      </c>
      <c r="E200" s="2" t="s">
        <v>70</v>
      </c>
      <c r="F200" s="2" t="s">
        <v>18</v>
      </c>
      <c r="G200" s="1">
        <v>0</v>
      </c>
      <c r="H200" s="1">
        <v>607</v>
      </c>
      <c r="I200" s="2" t="s">
        <v>56</v>
      </c>
      <c r="J200" s="2" t="s">
        <v>26</v>
      </c>
      <c r="K200" s="1">
        <v>323.27999999999997</v>
      </c>
      <c r="L200" s="3">
        <v>45794</v>
      </c>
    </row>
    <row r="201" spans="1:12" x14ac:dyDescent="0.25">
      <c r="A201" s="1">
        <v>100887</v>
      </c>
      <c r="B201" s="2" t="s">
        <v>109</v>
      </c>
      <c r="C201" s="2" t="s">
        <v>110</v>
      </c>
      <c r="D201" s="2" t="s">
        <v>16</v>
      </c>
      <c r="E201" s="2" t="s">
        <v>60</v>
      </c>
      <c r="F201" s="2" t="s">
        <v>25</v>
      </c>
      <c r="G201" s="1">
        <v>13</v>
      </c>
      <c r="H201" s="1">
        <v>591</v>
      </c>
      <c r="I201" s="2" t="s">
        <v>19</v>
      </c>
      <c r="J201" s="2" t="s">
        <v>26</v>
      </c>
      <c r="K201" s="1">
        <v>221.96</v>
      </c>
      <c r="L201" s="3">
        <v>45794</v>
      </c>
    </row>
    <row r="202" spans="1:12" x14ac:dyDescent="0.25">
      <c r="A202" s="1">
        <v>100637</v>
      </c>
      <c r="B202" s="2" t="s">
        <v>446</v>
      </c>
      <c r="C202" s="2" t="s">
        <v>168</v>
      </c>
      <c r="D202" s="2" t="s">
        <v>41</v>
      </c>
      <c r="E202" s="2" t="s">
        <v>70</v>
      </c>
      <c r="F202" s="2" t="s">
        <v>25</v>
      </c>
      <c r="G202" s="1">
        <v>18</v>
      </c>
      <c r="H202" s="1">
        <v>515</v>
      </c>
      <c r="I202" s="2" t="s">
        <v>32</v>
      </c>
      <c r="J202" s="2" t="s">
        <v>26</v>
      </c>
      <c r="K202" s="1">
        <v>204.76</v>
      </c>
      <c r="L202" s="3">
        <v>45794</v>
      </c>
    </row>
    <row r="203" spans="1:12" x14ac:dyDescent="0.25">
      <c r="A203" s="1">
        <v>101045</v>
      </c>
      <c r="B203" s="2" t="s">
        <v>592</v>
      </c>
      <c r="C203" s="2" t="s">
        <v>47</v>
      </c>
      <c r="D203" s="2" t="s">
        <v>16</v>
      </c>
      <c r="E203" s="2" t="s">
        <v>78</v>
      </c>
      <c r="F203" s="2" t="s">
        <v>18</v>
      </c>
      <c r="G203" s="1">
        <v>0</v>
      </c>
      <c r="H203" s="1">
        <v>332</v>
      </c>
      <c r="I203" s="2" t="s">
        <v>45</v>
      </c>
      <c r="J203" s="2" t="s">
        <v>26</v>
      </c>
      <c r="K203" s="1">
        <v>577.45000000000005</v>
      </c>
      <c r="L203" s="3">
        <v>45793</v>
      </c>
    </row>
    <row r="204" spans="1:12" x14ac:dyDescent="0.25">
      <c r="A204" s="1">
        <v>100285</v>
      </c>
      <c r="B204" s="2" t="s">
        <v>534</v>
      </c>
      <c r="C204" s="2" t="s">
        <v>39</v>
      </c>
      <c r="D204" s="2" t="s">
        <v>41</v>
      </c>
      <c r="E204" s="2" t="s">
        <v>17</v>
      </c>
      <c r="F204" s="2" t="s">
        <v>18</v>
      </c>
      <c r="G204" s="1">
        <v>0</v>
      </c>
      <c r="H204" s="1">
        <v>592</v>
      </c>
      <c r="I204" s="2" t="s">
        <v>19</v>
      </c>
      <c r="J204" s="2" t="s">
        <v>33</v>
      </c>
      <c r="K204" s="1">
        <v>200.75</v>
      </c>
      <c r="L204" s="3">
        <v>45793</v>
      </c>
    </row>
    <row r="205" spans="1:12" x14ac:dyDescent="0.25">
      <c r="A205" s="1">
        <v>102102</v>
      </c>
      <c r="B205" s="2" t="s">
        <v>38</v>
      </c>
      <c r="C205" s="2" t="s">
        <v>39</v>
      </c>
      <c r="D205" s="2" t="s">
        <v>106</v>
      </c>
      <c r="E205" s="2" t="s">
        <v>55</v>
      </c>
      <c r="F205" s="2" t="s">
        <v>18</v>
      </c>
      <c r="G205" s="1">
        <v>0</v>
      </c>
      <c r="H205" s="1">
        <v>533</v>
      </c>
      <c r="I205" s="2" t="s">
        <v>45</v>
      </c>
      <c r="J205" s="2" t="s">
        <v>33</v>
      </c>
      <c r="K205" s="1">
        <v>769.22</v>
      </c>
      <c r="L205" s="3">
        <v>45792</v>
      </c>
    </row>
    <row r="206" spans="1:12" x14ac:dyDescent="0.25">
      <c r="A206" s="1">
        <v>100541</v>
      </c>
      <c r="B206" s="2" t="s">
        <v>607</v>
      </c>
      <c r="C206" s="2" t="s">
        <v>134</v>
      </c>
      <c r="D206" s="2" t="s">
        <v>50</v>
      </c>
      <c r="E206" s="2" t="s">
        <v>60</v>
      </c>
      <c r="F206" s="2" t="s">
        <v>18</v>
      </c>
      <c r="G206" s="1">
        <v>0</v>
      </c>
      <c r="H206" s="1">
        <v>458</v>
      </c>
      <c r="I206" s="2" t="s">
        <v>19</v>
      </c>
      <c r="J206" s="2" t="s">
        <v>26</v>
      </c>
      <c r="K206" s="1">
        <v>522.61</v>
      </c>
      <c r="L206" s="3">
        <v>45792</v>
      </c>
    </row>
    <row r="207" spans="1:12" x14ac:dyDescent="0.25">
      <c r="A207" s="1">
        <v>101728</v>
      </c>
      <c r="B207" s="2" t="s">
        <v>160</v>
      </c>
      <c r="C207" s="2" t="s">
        <v>72</v>
      </c>
      <c r="D207" s="2" t="s">
        <v>106</v>
      </c>
      <c r="E207" s="2" t="s">
        <v>31</v>
      </c>
      <c r="F207" s="2" t="s">
        <v>25</v>
      </c>
      <c r="G207" s="1">
        <v>18</v>
      </c>
      <c r="H207" s="1">
        <v>585</v>
      </c>
      <c r="I207" s="2" t="s">
        <v>56</v>
      </c>
      <c r="J207" s="2" t="s">
        <v>33</v>
      </c>
      <c r="K207" s="1">
        <v>441.03</v>
      </c>
      <c r="L207" s="3">
        <v>45792</v>
      </c>
    </row>
    <row r="208" spans="1:12" x14ac:dyDescent="0.25">
      <c r="A208" s="1">
        <v>100107</v>
      </c>
      <c r="B208" s="2" t="s">
        <v>657</v>
      </c>
      <c r="C208" s="2" t="s">
        <v>52</v>
      </c>
      <c r="D208" s="2" t="s">
        <v>50</v>
      </c>
      <c r="E208" s="2" t="s">
        <v>70</v>
      </c>
      <c r="F208" s="2" t="s">
        <v>18</v>
      </c>
      <c r="G208" s="1">
        <v>0</v>
      </c>
      <c r="H208" s="1">
        <v>518</v>
      </c>
      <c r="I208" s="2" t="s">
        <v>37</v>
      </c>
      <c r="J208" s="2" t="s">
        <v>26</v>
      </c>
      <c r="K208" s="1">
        <v>339.21</v>
      </c>
      <c r="L208" s="3">
        <v>45792</v>
      </c>
    </row>
    <row r="209" spans="1:12" x14ac:dyDescent="0.25">
      <c r="A209" s="1">
        <v>100705</v>
      </c>
      <c r="B209" s="2" t="s">
        <v>204</v>
      </c>
      <c r="C209" s="2" t="s">
        <v>152</v>
      </c>
      <c r="D209" s="2" t="s">
        <v>50</v>
      </c>
      <c r="E209" s="2" t="s">
        <v>55</v>
      </c>
      <c r="F209" s="2" t="s">
        <v>83</v>
      </c>
      <c r="G209" s="1">
        <v>0</v>
      </c>
      <c r="H209" s="1">
        <v>362</v>
      </c>
      <c r="I209" s="2" t="s">
        <v>32</v>
      </c>
      <c r="J209" s="2" t="s">
        <v>20</v>
      </c>
      <c r="K209" s="1">
        <v>143.13</v>
      </c>
      <c r="L209" s="3">
        <v>45792</v>
      </c>
    </row>
    <row r="210" spans="1:12" x14ac:dyDescent="0.25">
      <c r="A210" s="1">
        <v>100636</v>
      </c>
      <c r="B210" s="2" t="s">
        <v>840</v>
      </c>
      <c r="C210" s="2" t="s">
        <v>187</v>
      </c>
      <c r="D210" s="2" t="s">
        <v>41</v>
      </c>
      <c r="E210" s="2" t="s">
        <v>78</v>
      </c>
      <c r="F210" s="2" t="s">
        <v>83</v>
      </c>
      <c r="G210" s="1" t="s">
        <v>35</v>
      </c>
      <c r="H210" s="1">
        <v>519</v>
      </c>
      <c r="I210" s="2" t="s">
        <v>56</v>
      </c>
      <c r="J210" s="2" t="s">
        <v>20</v>
      </c>
      <c r="K210" s="1"/>
      <c r="L210" s="3">
        <v>45792</v>
      </c>
    </row>
    <row r="211" spans="1:12" x14ac:dyDescent="0.25">
      <c r="A211" s="1">
        <v>102183</v>
      </c>
      <c r="B211" s="2" t="s">
        <v>558</v>
      </c>
      <c r="C211" s="2" t="s">
        <v>218</v>
      </c>
      <c r="D211" s="2" t="s">
        <v>16</v>
      </c>
      <c r="E211" s="2" t="s">
        <v>81</v>
      </c>
      <c r="F211" s="2" t="s">
        <v>18</v>
      </c>
      <c r="G211" s="1">
        <v>0</v>
      </c>
      <c r="H211" s="1">
        <v>784</v>
      </c>
      <c r="I211" s="2" t="s">
        <v>19</v>
      </c>
      <c r="J211" s="2" t="s">
        <v>20</v>
      </c>
      <c r="K211" s="1">
        <v>209.53</v>
      </c>
      <c r="L211" s="3">
        <v>45790</v>
      </c>
    </row>
    <row r="212" spans="1:12" x14ac:dyDescent="0.25">
      <c r="A212" s="1">
        <v>101770</v>
      </c>
      <c r="B212" s="2" t="s">
        <v>355</v>
      </c>
      <c r="C212" s="2" t="s">
        <v>244</v>
      </c>
      <c r="D212" s="2" t="s">
        <v>64</v>
      </c>
      <c r="E212" s="2" t="s">
        <v>17</v>
      </c>
      <c r="F212" s="2" t="s">
        <v>25</v>
      </c>
      <c r="G212" s="1">
        <v>7</v>
      </c>
      <c r="H212" s="1">
        <v>746</v>
      </c>
      <c r="I212" s="2" t="s">
        <v>19</v>
      </c>
      <c r="J212" s="2" t="s">
        <v>33</v>
      </c>
      <c r="K212" s="1">
        <v>1267.43</v>
      </c>
      <c r="L212" s="3">
        <v>45789</v>
      </c>
    </row>
    <row r="213" spans="1:12" x14ac:dyDescent="0.25">
      <c r="A213" s="1">
        <v>100372</v>
      </c>
      <c r="B213" s="2" t="s">
        <v>280</v>
      </c>
      <c r="C213" s="2" t="s">
        <v>187</v>
      </c>
      <c r="D213" s="2" t="s">
        <v>41</v>
      </c>
      <c r="E213" s="2" t="s">
        <v>31</v>
      </c>
      <c r="F213" s="2" t="s">
        <v>18</v>
      </c>
      <c r="G213" s="1">
        <v>0</v>
      </c>
      <c r="H213" s="1">
        <v>621</v>
      </c>
      <c r="I213" s="2" t="s">
        <v>56</v>
      </c>
      <c r="J213" s="2" t="s">
        <v>33</v>
      </c>
      <c r="K213" s="1">
        <v>276.12</v>
      </c>
      <c r="L213" s="3">
        <v>45789</v>
      </c>
    </row>
    <row r="214" spans="1:12" x14ac:dyDescent="0.25">
      <c r="A214" s="1">
        <v>100798</v>
      </c>
      <c r="B214" s="2" t="s">
        <v>325</v>
      </c>
      <c r="C214" s="2" t="s">
        <v>126</v>
      </c>
      <c r="D214" s="2" t="s">
        <v>16</v>
      </c>
      <c r="E214" s="2" t="s">
        <v>31</v>
      </c>
      <c r="F214" s="2" t="s">
        <v>83</v>
      </c>
      <c r="G214" s="1">
        <v>0</v>
      </c>
      <c r="H214" s="1">
        <v>570</v>
      </c>
      <c r="I214" s="2" t="s">
        <v>37</v>
      </c>
      <c r="J214" s="2" t="s">
        <v>26</v>
      </c>
      <c r="K214" s="1">
        <v>262.73</v>
      </c>
      <c r="L214" s="3">
        <v>45789</v>
      </c>
    </row>
    <row r="215" spans="1:12" x14ac:dyDescent="0.25">
      <c r="A215" s="1">
        <v>101181</v>
      </c>
      <c r="B215" s="2" t="s">
        <v>734</v>
      </c>
      <c r="C215" s="2" t="s">
        <v>218</v>
      </c>
      <c r="D215" s="2" t="s">
        <v>16</v>
      </c>
      <c r="E215" s="2" t="s">
        <v>35</v>
      </c>
      <c r="F215" s="2" t="s">
        <v>18</v>
      </c>
      <c r="G215" s="1">
        <v>0</v>
      </c>
      <c r="H215" s="1">
        <v>865</v>
      </c>
      <c r="I215" s="2" t="s">
        <v>32</v>
      </c>
      <c r="J215" s="2" t="s">
        <v>20</v>
      </c>
      <c r="K215" s="1">
        <v>1347.09</v>
      </c>
      <c r="L215" s="3">
        <v>45788</v>
      </c>
    </row>
    <row r="216" spans="1:12" x14ac:dyDescent="0.25">
      <c r="A216" s="1">
        <v>101122</v>
      </c>
      <c r="B216" s="2" t="s">
        <v>767</v>
      </c>
      <c r="C216" s="2" t="s">
        <v>35</v>
      </c>
      <c r="D216" s="2" t="s">
        <v>64</v>
      </c>
      <c r="E216" s="2" t="s">
        <v>70</v>
      </c>
      <c r="F216" s="2" t="s">
        <v>83</v>
      </c>
      <c r="G216" s="1">
        <v>0</v>
      </c>
      <c r="H216" s="1">
        <v>543</v>
      </c>
      <c r="I216" s="2" t="s">
        <v>32</v>
      </c>
      <c r="J216" s="2" t="s">
        <v>20</v>
      </c>
      <c r="K216" s="1">
        <v>525.6</v>
      </c>
      <c r="L216" s="3">
        <v>45788</v>
      </c>
    </row>
    <row r="217" spans="1:12" x14ac:dyDescent="0.25">
      <c r="A217" s="1">
        <v>100173</v>
      </c>
      <c r="B217" s="2" t="s">
        <v>866</v>
      </c>
      <c r="C217" s="2" t="s">
        <v>168</v>
      </c>
      <c r="D217" s="2" t="s">
        <v>106</v>
      </c>
      <c r="E217" s="2" t="s">
        <v>55</v>
      </c>
      <c r="F217" s="2" t="s">
        <v>18</v>
      </c>
      <c r="G217" s="1">
        <v>0</v>
      </c>
      <c r="H217" s="1">
        <v>458</v>
      </c>
      <c r="I217" s="2" t="s">
        <v>37</v>
      </c>
      <c r="J217" s="2" t="s">
        <v>33</v>
      </c>
      <c r="K217" s="1">
        <v>204.95</v>
      </c>
      <c r="L217" s="3">
        <v>45788</v>
      </c>
    </row>
    <row r="218" spans="1:12" x14ac:dyDescent="0.25">
      <c r="A218" s="1">
        <v>101246</v>
      </c>
      <c r="B218" s="2" t="s">
        <v>1357</v>
      </c>
      <c r="C218" s="2" t="s">
        <v>100</v>
      </c>
      <c r="D218" s="2" t="s">
        <v>64</v>
      </c>
      <c r="E218" s="2" t="s">
        <v>81</v>
      </c>
      <c r="F218" s="2" t="s">
        <v>42</v>
      </c>
      <c r="G218" s="1">
        <v>174</v>
      </c>
      <c r="H218" s="1">
        <v>522</v>
      </c>
      <c r="I218" s="2" t="s">
        <v>19</v>
      </c>
      <c r="J218" s="2" t="s">
        <v>26</v>
      </c>
      <c r="K218" s="1">
        <v>47.07</v>
      </c>
      <c r="L218" s="3">
        <v>45788</v>
      </c>
    </row>
    <row r="219" spans="1:12" x14ac:dyDescent="0.25">
      <c r="A219" s="1">
        <v>100861</v>
      </c>
      <c r="B219" s="2" t="s">
        <v>325</v>
      </c>
      <c r="C219" s="2" t="s">
        <v>126</v>
      </c>
      <c r="D219" s="2" t="s">
        <v>41</v>
      </c>
      <c r="E219" s="2" t="s">
        <v>60</v>
      </c>
      <c r="F219" s="2" t="s">
        <v>18</v>
      </c>
      <c r="G219" s="1">
        <v>0</v>
      </c>
      <c r="H219" s="1">
        <v>570</v>
      </c>
      <c r="I219" s="2" t="s">
        <v>32</v>
      </c>
      <c r="J219" s="2" t="s">
        <v>33</v>
      </c>
      <c r="K219" s="1">
        <v>283.32</v>
      </c>
      <c r="L219" s="3">
        <v>45786</v>
      </c>
    </row>
    <row r="220" spans="1:12" x14ac:dyDescent="0.25">
      <c r="A220" s="1">
        <v>101532</v>
      </c>
      <c r="B220" s="2" t="s">
        <v>200</v>
      </c>
      <c r="C220" s="2" t="s">
        <v>142</v>
      </c>
      <c r="D220" s="2" t="s">
        <v>50</v>
      </c>
      <c r="E220" s="2" t="s">
        <v>17</v>
      </c>
      <c r="F220" s="2" t="s">
        <v>18</v>
      </c>
      <c r="G220" s="1">
        <v>0</v>
      </c>
      <c r="H220" s="1">
        <v>784</v>
      </c>
      <c r="I220" s="2" t="s">
        <v>32</v>
      </c>
      <c r="J220" s="2" t="s">
        <v>20</v>
      </c>
      <c r="K220" s="1">
        <v>890.3</v>
      </c>
      <c r="L220" s="3">
        <v>45785</v>
      </c>
    </row>
    <row r="221" spans="1:12" x14ac:dyDescent="0.25">
      <c r="A221" s="1">
        <v>100320</v>
      </c>
      <c r="B221" s="2" t="s">
        <v>560</v>
      </c>
      <c r="C221" s="2" t="s">
        <v>39</v>
      </c>
      <c r="D221" s="2" t="s">
        <v>41</v>
      </c>
      <c r="E221" s="2" t="s">
        <v>31</v>
      </c>
      <c r="F221" s="2" t="s">
        <v>42</v>
      </c>
      <c r="G221" s="1">
        <v>148</v>
      </c>
      <c r="H221" s="1">
        <v>890</v>
      </c>
      <c r="I221" s="2" t="s">
        <v>37</v>
      </c>
      <c r="J221" s="2" t="s">
        <v>33</v>
      </c>
      <c r="K221" s="1">
        <v>435.79</v>
      </c>
      <c r="L221" s="3">
        <v>45785</v>
      </c>
    </row>
    <row r="222" spans="1:12" x14ac:dyDescent="0.25">
      <c r="A222" s="1">
        <v>100068</v>
      </c>
      <c r="B222" s="2" t="s">
        <v>995</v>
      </c>
      <c r="C222" s="2" t="s">
        <v>134</v>
      </c>
      <c r="D222" s="2" t="s">
        <v>106</v>
      </c>
      <c r="E222" s="2" t="s">
        <v>70</v>
      </c>
      <c r="F222" s="2" t="s">
        <v>42</v>
      </c>
      <c r="G222" s="1">
        <v>172</v>
      </c>
      <c r="H222" s="1">
        <v>866</v>
      </c>
      <c r="I222" s="2" t="s">
        <v>19</v>
      </c>
      <c r="J222" s="2" t="s">
        <v>20</v>
      </c>
      <c r="K222" s="1">
        <v>329.52</v>
      </c>
      <c r="L222" s="3">
        <v>45784</v>
      </c>
    </row>
    <row r="223" spans="1:12" x14ac:dyDescent="0.25">
      <c r="A223" s="1">
        <v>100819</v>
      </c>
      <c r="B223" s="2" t="s">
        <v>75</v>
      </c>
      <c r="C223" s="2" t="s">
        <v>39</v>
      </c>
      <c r="D223" s="2" t="s">
        <v>16</v>
      </c>
      <c r="E223" s="2" t="s">
        <v>31</v>
      </c>
      <c r="F223" s="2" t="s">
        <v>18</v>
      </c>
      <c r="G223" s="1">
        <v>0</v>
      </c>
      <c r="H223" s="1">
        <v>554</v>
      </c>
      <c r="I223" s="2" t="s">
        <v>37</v>
      </c>
      <c r="J223" s="2" t="s">
        <v>20</v>
      </c>
      <c r="K223" s="1">
        <v>444.19</v>
      </c>
      <c r="L223" s="3">
        <v>45783</v>
      </c>
    </row>
    <row r="224" spans="1:12" x14ac:dyDescent="0.25">
      <c r="A224" s="1">
        <v>101266</v>
      </c>
      <c r="B224" s="2" t="s">
        <v>425</v>
      </c>
      <c r="C224" s="2" t="s">
        <v>149</v>
      </c>
      <c r="D224" s="2" t="s">
        <v>50</v>
      </c>
      <c r="E224" s="2" t="s">
        <v>31</v>
      </c>
      <c r="F224" s="2" t="s">
        <v>83</v>
      </c>
      <c r="G224" s="1">
        <v>0</v>
      </c>
      <c r="H224" s="1">
        <v>720</v>
      </c>
      <c r="I224" s="2" t="s">
        <v>56</v>
      </c>
      <c r="J224" s="2" t="s">
        <v>20</v>
      </c>
      <c r="K224" s="1">
        <v>420.9</v>
      </c>
      <c r="L224" s="3">
        <v>45782</v>
      </c>
    </row>
    <row r="225" spans="1:12" x14ac:dyDescent="0.25">
      <c r="A225" s="1">
        <v>101593</v>
      </c>
      <c r="B225" s="2" t="s">
        <v>338</v>
      </c>
      <c r="C225" s="2" t="s">
        <v>22</v>
      </c>
      <c r="D225" s="2" t="s">
        <v>64</v>
      </c>
      <c r="E225" s="2" t="s">
        <v>78</v>
      </c>
      <c r="F225" s="2" t="s">
        <v>18</v>
      </c>
      <c r="G225" s="1">
        <v>0</v>
      </c>
      <c r="H225" s="1">
        <v>832</v>
      </c>
      <c r="I225" s="2" t="s">
        <v>56</v>
      </c>
      <c r="J225" s="2" t="s">
        <v>20</v>
      </c>
      <c r="K225" s="1">
        <v>265.83999999999997</v>
      </c>
      <c r="L225" s="3">
        <v>45782</v>
      </c>
    </row>
    <row r="226" spans="1:12" x14ac:dyDescent="0.25">
      <c r="A226" s="1">
        <v>100574</v>
      </c>
      <c r="B226" s="2" t="s">
        <v>131</v>
      </c>
      <c r="C226" s="2" t="s">
        <v>39</v>
      </c>
      <c r="D226" s="2" t="s">
        <v>41</v>
      </c>
      <c r="E226" s="2" t="s">
        <v>55</v>
      </c>
      <c r="F226" s="2" t="s">
        <v>18</v>
      </c>
      <c r="G226" s="1">
        <v>0</v>
      </c>
      <c r="H226" s="1">
        <v>867</v>
      </c>
      <c r="I226" s="2" t="s">
        <v>56</v>
      </c>
      <c r="J226" s="2" t="s">
        <v>20</v>
      </c>
      <c r="K226" s="1">
        <v>214.2</v>
      </c>
      <c r="L226" s="3">
        <v>45782</v>
      </c>
    </row>
    <row r="227" spans="1:12" x14ac:dyDescent="0.25">
      <c r="A227" s="1">
        <v>101021</v>
      </c>
      <c r="B227" s="2" t="s">
        <v>91</v>
      </c>
      <c r="C227" s="2" t="s">
        <v>58</v>
      </c>
      <c r="D227" s="2" t="s">
        <v>64</v>
      </c>
      <c r="E227" s="2" t="s">
        <v>55</v>
      </c>
      <c r="F227" s="2" t="s">
        <v>18</v>
      </c>
      <c r="G227" s="1">
        <v>0</v>
      </c>
      <c r="H227" s="1">
        <v>769</v>
      </c>
      <c r="I227" s="2" t="s">
        <v>56</v>
      </c>
      <c r="J227" s="2" t="s">
        <v>26</v>
      </c>
      <c r="K227" s="1">
        <v>608.34</v>
      </c>
      <c r="L227" s="3">
        <v>45781</v>
      </c>
    </row>
    <row r="228" spans="1:12" x14ac:dyDescent="0.25">
      <c r="A228" s="1">
        <v>101851</v>
      </c>
      <c r="B228" s="2" t="s">
        <v>347</v>
      </c>
      <c r="C228" s="2" t="s">
        <v>95</v>
      </c>
      <c r="D228" s="2" t="s">
        <v>106</v>
      </c>
      <c r="E228" s="2" t="s">
        <v>81</v>
      </c>
      <c r="F228" s="2" t="s">
        <v>42</v>
      </c>
      <c r="G228" s="1">
        <v>112</v>
      </c>
      <c r="H228" s="1">
        <v>699</v>
      </c>
      <c r="I228" s="2" t="s">
        <v>56</v>
      </c>
      <c r="J228" s="2" t="s">
        <v>20</v>
      </c>
      <c r="K228" s="1">
        <v>541.27</v>
      </c>
      <c r="L228" s="3">
        <v>45781</v>
      </c>
    </row>
    <row r="229" spans="1:12" x14ac:dyDescent="0.25">
      <c r="A229" s="1">
        <v>100297</v>
      </c>
      <c r="B229" s="2" t="s">
        <v>798</v>
      </c>
      <c r="C229" s="2" t="s">
        <v>149</v>
      </c>
      <c r="D229" s="2" t="s">
        <v>50</v>
      </c>
      <c r="E229" s="2" t="s">
        <v>17</v>
      </c>
      <c r="F229" s="2" t="s">
        <v>25</v>
      </c>
      <c r="G229" s="1">
        <v>1</v>
      </c>
      <c r="H229" s="1">
        <v>555</v>
      </c>
      <c r="I229" s="2" t="s">
        <v>32</v>
      </c>
      <c r="J229" s="2" t="s">
        <v>20</v>
      </c>
      <c r="K229" s="1">
        <v>229.88</v>
      </c>
      <c r="L229" s="3">
        <v>45781</v>
      </c>
    </row>
    <row r="230" spans="1:12" x14ac:dyDescent="0.25">
      <c r="A230" s="1">
        <v>101056</v>
      </c>
      <c r="B230" s="2" t="s">
        <v>299</v>
      </c>
      <c r="C230" s="2" t="s">
        <v>22</v>
      </c>
      <c r="D230" s="2" t="s">
        <v>64</v>
      </c>
      <c r="E230" s="2" t="s">
        <v>60</v>
      </c>
      <c r="F230" s="2" t="s">
        <v>42</v>
      </c>
      <c r="G230" s="1">
        <v>161</v>
      </c>
      <c r="H230" s="1">
        <v>855</v>
      </c>
      <c r="I230" s="2" t="s">
        <v>45</v>
      </c>
      <c r="J230" s="2" t="s">
        <v>20</v>
      </c>
      <c r="K230" s="1">
        <v>210.34</v>
      </c>
      <c r="L230" s="3">
        <v>45781</v>
      </c>
    </row>
    <row r="231" spans="1:12" x14ac:dyDescent="0.25">
      <c r="A231" s="1">
        <v>100894</v>
      </c>
      <c r="B231" s="2" t="s">
        <v>444</v>
      </c>
      <c r="C231" s="2" t="s">
        <v>52</v>
      </c>
      <c r="D231" s="2" t="s">
        <v>50</v>
      </c>
      <c r="E231" s="2" t="s">
        <v>78</v>
      </c>
      <c r="F231" s="2" t="s">
        <v>83</v>
      </c>
      <c r="G231" s="1" t="s">
        <v>35</v>
      </c>
      <c r="H231" s="1">
        <v>688</v>
      </c>
      <c r="I231" s="2" t="s">
        <v>45</v>
      </c>
      <c r="J231" s="2" t="s">
        <v>26</v>
      </c>
      <c r="K231" s="1">
        <v>142.97999999999999</v>
      </c>
      <c r="L231" s="3">
        <v>45781</v>
      </c>
    </row>
    <row r="232" spans="1:12" x14ac:dyDescent="0.25">
      <c r="A232" s="1">
        <v>101956</v>
      </c>
      <c r="B232" s="2" t="s">
        <v>684</v>
      </c>
      <c r="C232" s="2" t="s">
        <v>149</v>
      </c>
      <c r="D232" s="2" t="s">
        <v>16</v>
      </c>
      <c r="E232" s="2" t="s">
        <v>31</v>
      </c>
      <c r="F232" s="2" t="s">
        <v>83</v>
      </c>
      <c r="G232" s="1">
        <v>0</v>
      </c>
      <c r="H232" s="1">
        <v>494</v>
      </c>
      <c r="I232" s="2" t="s">
        <v>19</v>
      </c>
      <c r="J232" s="2" t="s">
        <v>20</v>
      </c>
      <c r="K232" s="1">
        <v>138.1</v>
      </c>
      <c r="L232" s="3">
        <v>45781</v>
      </c>
    </row>
    <row r="233" spans="1:12" x14ac:dyDescent="0.25">
      <c r="A233" s="1">
        <v>100886</v>
      </c>
      <c r="B233" s="2" t="s">
        <v>251</v>
      </c>
      <c r="C233" s="2" t="s">
        <v>72</v>
      </c>
      <c r="D233" s="2" t="s">
        <v>106</v>
      </c>
      <c r="E233" s="2" t="s">
        <v>55</v>
      </c>
      <c r="F233" s="2" t="s">
        <v>18</v>
      </c>
      <c r="G233" s="1">
        <v>0</v>
      </c>
      <c r="H233" s="1">
        <v>673</v>
      </c>
      <c r="I233" s="2" t="s">
        <v>56</v>
      </c>
      <c r="J233" s="2" t="s">
        <v>20</v>
      </c>
      <c r="K233" s="1">
        <v>79.61</v>
      </c>
      <c r="L233" s="3">
        <v>45781</v>
      </c>
    </row>
    <row r="234" spans="1:12" x14ac:dyDescent="0.25">
      <c r="A234" s="1">
        <v>101204</v>
      </c>
      <c r="B234" s="2" t="s">
        <v>1168</v>
      </c>
      <c r="C234" s="2" t="s">
        <v>218</v>
      </c>
      <c r="D234" s="2" t="s">
        <v>106</v>
      </c>
      <c r="E234" s="2" t="s">
        <v>78</v>
      </c>
      <c r="F234" s="2" t="s">
        <v>18</v>
      </c>
      <c r="G234" s="1">
        <v>0</v>
      </c>
      <c r="H234" s="1">
        <v>606</v>
      </c>
      <c r="I234" s="2" t="s">
        <v>37</v>
      </c>
      <c r="J234" s="2" t="s">
        <v>33</v>
      </c>
      <c r="K234" s="1">
        <v>492.66</v>
      </c>
      <c r="L234" s="3">
        <v>45780</v>
      </c>
    </row>
    <row r="235" spans="1:12" x14ac:dyDescent="0.25">
      <c r="A235" s="1">
        <v>101083</v>
      </c>
      <c r="B235" s="2" t="s">
        <v>1168</v>
      </c>
      <c r="C235" s="2" t="s">
        <v>218</v>
      </c>
      <c r="D235" s="2" t="s">
        <v>41</v>
      </c>
      <c r="E235" s="2" t="s">
        <v>55</v>
      </c>
      <c r="F235" s="2" t="s">
        <v>83</v>
      </c>
      <c r="G235" s="1">
        <v>0</v>
      </c>
      <c r="H235" s="1">
        <v>606</v>
      </c>
      <c r="I235" s="2" t="s">
        <v>32</v>
      </c>
      <c r="J235" s="2" t="s">
        <v>20</v>
      </c>
      <c r="K235" s="1">
        <v>402.34</v>
      </c>
      <c r="L235" s="3">
        <v>45780</v>
      </c>
    </row>
    <row r="236" spans="1:12" x14ac:dyDescent="0.25">
      <c r="A236" s="1">
        <v>100599</v>
      </c>
      <c r="B236" s="2" t="s">
        <v>118</v>
      </c>
      <c r="C236" s="2" t="s">
        <v>62</v>
      </c>
      <c r="D236" s="2" t="s">
        <v>106</v>
      </c>
      <c r="E236" s="2" t="s">
        <v>81</v>
      </c>
      <c r="F236" s="2" t="s">
        <v>18</v>
      </c>
      <c r="G236" s="1">
        <v>0</v>
      </c>
      <c r="H236" s="1">
        <v>463</v>
      </c>
      <c r="I236" s="2" t="s">
        <v>32</v>
      </c>
      <c r="J236" s="2" t="s">
        <v>26</v>
      </c>
      <c r="K236" s="1">
        <v>664.9</v>
      </c>
      <c r="L236" s="3">
        <v>45779</v>
      </c>
    </row>
    <row r="237" spans="1:12" x14ac:dyDescent="0.25">
      <c r="A237" s="1">
        <v>101778</v>
      </c>
      <c r="B237" s="2" t="s">
        <v>292</v>
      </c>
      <c r="C237" s="2" t="s">
        <v>149</v>
      </c>
      <c r="D237" s="2" t="s">
        <v>64</v>
      </c>
      <c r="E237" s="2" t="s">
        <v>60</v>
      </c>
      <c r="F237" s="2" t="s">
        <v>83</v>
      </c>
      <c r="G237" s="1">
        <v>0</v>
      </c>
      <c r="H237" s="1">
        <v>466</v>
      </c>
      <c r="I237" s="2" t="s">
        <v>37</v>
      </c>
      <c r="J237" s="2" t="s">
        <v>26</v>
      </c>
      <c r="K237" s="1">
        <v>609.64</v>
      </c>
      <c r="L237" s="3">
        <v>45779</v>
      </c>
    </row>
    <row r="238" spans="1:12" x14ac:dyDescent="0.25">
      <c r="A238" s="1">
        <v>101814</v>
      </c>
      <c r="B238" s="2" t="s">
        <v>109</v>
      </c>
      <c r="C238" s="2" t="s">
        <v>110</v>
      </c>
      <c r="D238" s="2" t="s">
        <v>50</v>
      </c>
      <c r="E238" s="2" t="s">
        <v>78</v>
      </c>
      <c r="F238" s="2" t="s">
        <v>83</v>
      </c>
      <c r="G238" s="1">
        <v>0</v>
      </c>
      <c r="H238" s="1">
        <v>591</v>
      </c>
      <c r="I238" s="2" t="s">
        <v>45</v>
      </c>
      <c r="J238" s="2" t="s">
        <v>20</v>
      </c>
      <c r="K238" s="1">
        <v>602.72</v>
      </c>
      <c r="L238" s="3">
        <v>45779</v>
      </c>
    </row>
    <row r="239" spans="1:12" x14ac:dyDescent="0.25">
      <c r="A239" s="1">
        <v>100858</v>
      </c>
      <c r="B239" s="2" t="s">
        <v>382</v>
      </c>
      <c r="C239" s="2" t="s">
        <v>152</v>
      </c>
      <c r="D239" s="2" t="s">
        <v>106</v>
      </c>
      <c r="E239" s="2" t="s">
        <v>81</v>
      </c>
      <c r="F239" s="2" t="s">
        <v>18</v>
      </c>
      <c r="G239" s="1">
        <v>0</v>
      </c>
      <c r="H239" s="1">
        <v>797</v>
      </c>
      <c r="I239" s="2" t="s">
        <v>37</v>
      </c>
      <c r="J239" s="2" t="s">
        <v>33</v>
      </c>
      <c r="K239" s="1">
        <v>306.94</v>
      </c>
      <c r="L239" s="3">
        <v>45779</v>
      </c>
    </row>
    <row r="240" spans="1:12" x14ac:dyDescent="0.25">
      <c r="A240" s="1">
        <v>100655</v>
      </c>
      <c r="B240" s="2" t="s">
        <v>708</v>
      </c>
      <c r="C240" s="2" t="s">
        <v>270</v>
      </c>
      <c r="D240" s="2" t="s">
        <v>64</v>
      </c>
      <c r="E240" s="2" t="s">
        <v>78</v>
      </c>
      <c r="F240" s="2" t="s">
        <v>18</v>
      </c>
      <c r="G240" s="1">
        <v>0</v>
      </c>
      <c r="H240" s="1">
        <v>451</v>
      </c>
      <c r="I240" s="2" t="s">
        <v>45</v>
      </c>
      <c r="J240" s="2" t="s">
        <v>20</v>
      </c>
      <c r="K240" s="1">
        <v>295.20999999999998</v>
      </c>
      <c r="L240" s="3">
        <v>45779</v>
      </c>
    </row>
    <row r="241" spans="1:12" x14ac:dyDescent="0.25">
      <c r="A241" s="1">
        <v>101590</v>
      </c>
      <c r="B241" s="2" t="s">
        <v>451</v>
      </c>
      <c r="C241" s="2" t="s">
        <v>35</v>
      </c>
      <c r="D241" s="2" t="s">
        <v>16</v>
      </c>
      <c r="E241" s="2" t="s">
        <v>31</v>
      </c>
      <c r="F241" s="2" t="s">
        <v>83</v>
      </c>
      <c r="G241" s="1">
        <v>0</v>
      </c>
      <c r="H241" s="1">
        <v>418</v>
      </c>
      <c r="I241" s="2" t="s">
        <v>32</v>
      </c>
      <c r="J241" s="2" t="s">
        <v>20</v>
      </c>
      <c r="K241" s="1">
        <v>221.56</v>
      </c>
      <c r="L241" s="3">
        <v>45779</v>
      </c>
    </row>
    <row r="242" spans="1:12" x14ac:dyDescent="0.25">
      <c r="A242" s="1">
        <v>101538</v>
      </c>
      <c r="B242" s="2" t="s">
        <v>1435</v>
      </c>
      <c r="C242" s="2" t="s">
        <v>47</v>
      </c>
      <c r="D242" s="2" t="s">
        <v>16</v>
      </c>
      <c r="E242" s="2" t="s">
        <v>17</v>
      </c>
      <c r="F242" s="2" t="s">
        <v>42</v>
      </c>
      <c r="G242" s="1">
        <v>156</v>
      </c>
      <c r="H242" s="1">
        <v>744</v>
      </c>
      <c r="I242" s="2" t="s">
        <v>56</v>
      </c>
      <c r="J242" s="2" t="s">
        <v>33</v>
      </c>
      <c r="K242" s="1">
        <v>174.47</v>
      </c>
      <c r="L242" s="3">
        <v>45779</v>
      </c>
    </row>
    <row r="243" spans="1:12" x14ac:dyDescent="0.25">
      <c r="A243" s="1">
        <v>100712</v>
      </c>
      <c r="B243" s="2" t="s">
        <v>450</v>
      </c>
      <c r="C243" s="2" t="s">
        <v>95</v>
      </c>
      <c r="D243" s="2" t="s">
        <v>41</v>
      </c>
      <c r="E243" s="2" t="s">
        <v>78</v>
      </c>
      <c r="F243" s="2" t="s">
        <v>42</v>
      </c>
      <c r="G243" s="1">
        <v>113</v>
      </c>
      <c r="H243" s="1">
        <v>890</v>
      </c>
      <c r="I243" s="2" t="s">
        <v>19</v>
      </c>
      <c r="J243" s="2" t="s">
        <v>20</v>
      </c>
      <c r="K243" s="1">
        <v>938.01</v>
      </c>
      <c r="L243" s="3">
        <v>45778</v>
      </c>
    </row>
    <row r="244" spans="1:12" x14ac:dyDescent="0.25">
      <c r="A244" s="1">
        <v>100413</v>
      </c>
      <c r="B244" s="2" t="s">
        <v>396</v>
      </c>
      <c r="C244" s="2" t="s">
        <v>103</v>
      </c>
      <c r="D244" s="2" t="s">
        <v>16</v>
      </c>
      <c r="E244" s="2" t="s">
        <v>31</v>
      </c>
      <c r="F244" s="2" t="s">
        <v>18</v>
      </c>
      <c r="G244" s="1">
        <v>0</v>
      </c>
      <c r="H244" s="1">
        <v>437</v>
      </c>
      <c r="I244" s="2" t="s">
        <v>32</v>
      </c>
      <c r="J244" s="2" t="s">
        <v>20</v>
      </c>
      <c r="K244" s="1">
        <v>374.34</v>
      </c>
      <c r="L244" s="3">
        <v>45778</v>
      </c>
    </row>
    <row r="245" spans="1:12" x14ac:dyDescent="0.25">
      <c r="A245" s="1">
        <v>101727</v>
      </c>
      <c r="B245" s="2" t="s">
        <v>162</v>
      </c>
      <c r="C245" s="2" t="s">
        <v>13</v>
      </c>
      <c r="D245" s="2" t="s">
        <v>16</v>
      </c>
      <c r="E245" s="2" t="s">
        <v>60</v>
      </c>
      <c r="F245" s="2" t="s">
        <v>18</v>
      </c>
      <c r="G245" s="1">
        <v>0</v>
      </c>
      <c r="H245" s="1">
        <v>410</v>
      </c>
      <c r="I245" s="2" t="s">
        <v>45</v>
      </c>
      <c r="J245" s="2" t="s">
        <v>20</v>
      </c>
      <c r="K245" s="1">
        <v>271.07</v>
      </c>
      <c r="L245" s="3">
        <v>45778</v>
      </c>
    </row>
    <row r="246" spans="1:12" x14ac:dyDescent="0.25">
      <c r="A246" s="1">
        <v>100393</v>
      </c>
      <c r="B246" s="2" t="s">
        <v>376</v>
      </c>
      <c r="C246" s="2" t="s">
        <v>22</v>
      </c>
      <c r="D246" s="2" t="s">
        <v>16</v>
      </c>
      <c r="E246" s="2" t="s">
        <v>60</v>
      </c>
      <c r="F246" s="2" t="s">
        <v>18</v>
      </c>
      <c r="G246" s="1">
        <v>0</v>
      </c>
      <c r="H246" s="1">
        <v>340</v>
      </c>
      <c r="I246" s="2" t="s">
        <v>37</v>
      </c>
      <c r="J246" s="2" t="s">
        <v>20</v>
      </c>
      <c r="K246" s="1">
        <v>127.8</v>
      </c>
      <c r="L246" s="3">
        <v>45778</v>
      </c>
    </row>
    <row r="247" spans="1:12" x14ac:dyDescent="0.25">
      <c r="A247" s="1">
        <v>101095</v>
      </c>
      <c r="B247" s="2" t="s">
        <v>136</v>
      </c>
      <c r="C247" s="2" t="s">
        <v>58</v>
      </c>
      <c r="D247" s="2" t="s">
        <v>50</v>
      </c>
      <c r="E247" s="2" t="s">
        <v>31</v>
      </c>
      <c r="F247" s="2" t="s">
        <v>83</v>
      </c>
      <c r="G247" s="1">
        <v>0</v>
      </c>
      <c r="H247" s="1">
        <v>540</v>
      </c>
      <c r="I247" s="2" t="s">
        <v>56</v>
      </c>
      <c r="J247" s="2" t="s">
        <v>20</v>
      </c>
      <c r="K247" s="1">
        <v>668.37</v>
      </c>
      <c r="L247" s="3">
        <v>45777</v>
      </c>
    </row>
    <row r="248" spans="1:12" x14ac:dyDescent="0.25">
      <c r="A248" s="1">
        <v>100713</v>
      </c>
      <c r="B248" s="2" t="s">
        <v>27</v>
      </c>
      <c r="C248" s="2" t="s">
        <v>28</v>
      </c>
      <c r="D248" s="2" t="s">
        <v>16</v>
      </c>
      <c r="E248" s="2" t="s">
        <v>31</v>
      </c>
      <c r="F248" s="2" t="s">
        <v>18</v>
      </c>
      <c r="G248" s="1">
        <v>0</v>
      </c>
      <c r="H248" s="1">
        <v>849</v>
      </c>
      <c r="I248" s="2" t="s">
        <v>32</v>
      </c>
      <c r="J248" s="2" t="s">
        <v>33</v>
      </c>
      <c r="K248" s="1">
        <v>449.94</v>
      </c>
      <c r="L248" s="3">
        <v>45777</v>
      </c>
    </row>
    <row r="249" spans="1:12" x14ac:dyDescent="0.25">
      <c r="A249" s="1">
        <v>100049</v>
      </c>
      <c r="B249" s="2" t="s">
        <v>1059</v>
      </c>
      <c r="C249" s="2" t="s">
        <v>149</v>
      </c>
      <c r="D249" s="2" t="s">
        <v>16</v>
      </c>
      <c r="E249" s="2" t="s">
        <v>55</v>
      </c>
      <c r="F249" s="2" t="s">
        <v>18</v>
      </c>
      <c r="G249" s="1">
        <v>0</v>
      </c>
      <c r="H249" s="1">
        <v>571</v>
      </c>
      <c r="I249" s="2" t="s">
        <v>19</v>
      </c>
      <c r="J249" s="2" t="s">
        <v>20</v>
      </c>
      <c r="K249" s="1">
        <v>284.82</v>
      </c>
      <c r="L249" s="3">
        <v>45777</v>
      </c>
    </row>
    <row r="250" spans="1:12" x14ac:dyDescent="0.25">
      <c r="A250" s="1">
        <v>101979</v>
      </c>
      <c r="B250" s="2" t="s">
        <v>21</v>
      </c>
      <c r="C250" s="2" t="s">
        <v>22</v>
      </c>
      <c r="D250" s="2" t="s">
        <v>16</v>
      </c>
      <c r="E250" s="2" t="s">
        <v>17</v>
      </c>
      <c r="F250" s="2" t="s">
        <v>25</v>
      </c>
      <c r="G250" s="1">
        <v>2</v>
      </c>
      <c r="H250" s="1">
        <v>771</v>
      </c>
      <c r="I250" s="2" t="s">
        <v>19</v>
      </c>
      <c r="J250" s="2" t="s">
        <v>26</v>
      </c>
      <c r="K250" s="1">
        <v>268.02</v>
      </c>
      <c r="L250" s="3">
        <v>45777</v>
      </c>
    </row>
    <row r="251" spans="1:12" x14ac:dyDescent="0.25">
      <c r="A251" s="1">
        <v>102082</v>
      </c>
      <c r="B251" s="2" t="s">
        <v>177</v>
      </c>
      <c r="C251" s="2" t="s">
        <v>85</v>
      </c>
      <c r="D251" s="2" t="s">
        <v>50</v>
      </c>
      <c r="E251" s="2" t="s">
        <v>78</v>
      </c>
      <c r="F251" s="2" t="s">
        <v>18</v>
      </c>
      <c r="G251" s="1">
        <v>0</v>
      </c>
      <c r="H251" s="1">
        <v>375</v>
      </c>
      <c r="I251" s="2" t="s">
        <v>32</v>
      </c>
      <c r="J251" s="2" t="s">
        <v>20</v>
      </c>
      <c r="K251" s="1">
        <v>1129.96</v>
      </c>
      <c r="L251" s="3">
        <v>45776</v>
      </c>
    </row>
    <row r="252" spans="1:12" x14ac:dyDescent="0.25">
      <c r="A252" s="1">
        <v>101189</v>
      </c>
      <c r="B252" s="2" t="s">
        <v>905</v>
      </c>
      <c r="C252" s="2" t="s">
        <v>100</v>
      </c>
      <c r="D252" s="2" t="s">
        <v>41</v>
      </c>
      <c r="E252" s="2" t="s">
        <v>55</v>
      </c>
      <c r="F252" s="2" t="s">
        <v>18</v>
      </c>
      <c r="G252" s="1">
        <v>0</v>
      </c>
      <c r="H252" s="1">
        <v>325</v>
      </c>
      <c r="I252" s="2" t="s">
        <v>56</v>
      </c>
      <c r="J252" s="2" t="s">
        <v>20</v>
      </c>
      <c r="K252" s="1">
        <v>361.68</v>
      </c>
      <c r="L252" s="3">
        <v>45776</v>
      </c>
    </row>
    <row r="253" spans="1:12" x14ac:dyDescent="0.25">
      <c r="A253" s="1">
        <v>101520</v>
      </c>
      <c r="B253" s="2" t="s">
        <v>376</v>
      </c>
      <c r="C253" s="2" t="s">
        <v>22</v>
      </c>
      <c r="D253" s="2" t="s">
        <v>16</v>
      </c>
      <c r="E253" s="2" t="s">
        <v>55</v>
      </c>
      <c r="F253" s="2" t="s">
        <v>83</v>
      </c>
      <c r="G253" s="1">
        <v>0</v>
      </c>
      <c r="H253" s="1">
        <v>340</v>
      </c>
      <c r="I253" s="2" t="s">
        <v>32</v>
      </c>
      <c r="J253" s="2" t="s">
        <v>33</v>
      </c>
      <c r="K253" s="1">
        <v>230.22</v>
      </c>
      <c r="L253" s="3">
        <v>45776</v>
      </c>
    </row>
    <row r="254" spans="1:12" x14ac:dyDescent="0.25">
      <c r="A254" s="1">
        <v>101985</v>
      </c>
      <c r="B254" s="2" t="s">
        <v>581</v>
      </c>
      <c r="C254" s="2" t="s">
        <v>103</v>
      </c>
      <c r="D254" s="2" t="s">
        <v>16</v>
      </c>
      <c r="E254" s="2" t="s">
        <v>60</v>
      </c>
      <c r="F254" s="2" t="s">
        <v>25</v>
      </c>
      <c r="G254" s="1">
        <v>28</v>
      </c>
      <c r="H254" s="1">
        <v>435</v>
      </c>
      <c r="I254" s="2" t="s">
        <v>56</v>
      </c>
      <c r="J254" s="2" t="s">
        <v>26</v>
      </c>
      <c r="K254" s="1">
        <v>1064.0899999999999</v>
      </c>
      <c r="L254" s="3">
        <v>45775</v>
      </c>
    </row>
    <row r="255" spans="1:12" x14ac:dyDescent="0.25">
      <c r="A255" s="1">
        <v>100654</v>
      </c>
      <c r="B255" s="2" t="s">
        <v>438</v>
      </c>
      <c r="C255" s="2" t="s">
        <v>95</v>
      </c>
      <c r="D255" s="2" t="s">
        <v>106</v>
      </c>
      <c r="E255" s="2" t="s">
        <v>31</v>
      </c>
      <c r="F255" s="2" t="s">
        <v>18</v>
      </c>
      <c r="G255" s="1">
        <v>0</v>
      </c>
      <c r="H255" s="1">
        <v>858</v>
      </c>
      <c r="I255" s="2" t="s">
        <v>37</v>
      </c>
      <c r="J255" s="2" t="s">
        <v>33</v>
      </c>
      <c r="K255" s="1">
        <v>800.58</v>
      </c>
      <c r="L255" s="3">
        <v>45775</v>
      </c>
    </row>
    <row r="256" spans="1:12" x14ac:dyDescent="0.25">
      <c r="A256" s="1">
        <v>100565</v>
      </c>
      <c r="B256" s="2" t="s">
        <v>427</v>
      </c>
      <c r="C256" s="2" t="s">
        <v>244</v>
      </c>
      <c r="D256" s="2" t="s">
        <v>106</v>
      </c>
      <c r="E256" s="2" t="s">
        <v>31</v>
      </c>
      <c r="F256" s="2" t="s">
        <v>18</v>
      </c>
      <c r="G256" s="1">
        <v>0</v>
      </c>
      <c r="H256" s="1">
        <v>740</v>
      </c>
      <c r="I256" s="2" t="s">
        <v>37</v>
      </c>
      <c r="J256" s="2" t="s">
        <v>20</v>
      </c>
      <c r="K256" s="1">
        <v>324.39999999999998</v>
      </c>
      <c r="L256" s="3">
        <v>45775</v>
      </c>
    </row>
    <row r="257" spans="1:12" x14ac:dyDescent="0.25">
      <c r="A257" s="1">
        <v>100384</v>
      </c>
      <c r="B257" s="2" t="s">
        <v>1155</v>
      </c>
      <c r="C257" s="2" t="s">
        <v>218</v>
      </c>
      <c r="D257" s="2" t="s">
        <v>64</v>
      </c>
      <c r="E257" s="2" t="s">
        <v>81</v>
      </c>
      <c r="F257" s="2" t="s">
        <v>83</v>
      </c>
      <c r="G257" s="1">
        <v>0</v>
      </c>
      <c r="H257" s="1">
        <v>557</v>
      </c>
      <c r="I257" s="2" t="s">
        <v>32</v>
      </c>
      <c r="J257" s="2" t="s">
        <v>26</v>
      </c>
      <c r="K257" s="1">
        <v>138.55500000000001</v>
      </c>
      <c r="L257" s="3">
        <v>45775</v>
      </c>
    </row>
    <row r="258" spans="1:12" x14ac:dyDescent="0.25">
      <c r="A258" s="1">
        <v>101567</v>
      </c>
      <c r="B258" s="2" t="s">
        <v>895</v>
      </c>
      <c r="C258" s="2" t="s">
        <v>72</v>
      </c>
      <c r="D258" s="2" t="s">
        <v>50</v>
      </c>
      <c r="E258" s="2" t="s">
        <v>81</v>
      </c>
      <c r="F258" s="2" t="s">
        <v>42</v>
      </c>
      <c r="G258" s="1">
        <v>48</v>
      </c>
      <c r="H258" s="1">
        <v>470</v>
      </c>
      <c r="I258" s="2" t="s">
        <v>45</v>
      </c>
      <c r="J258" s="2" t="s">
        <v>20</v>
      </c>
      <c r="K258" s="1">
        <v>1018.2</v>
      </c>
      <c r="L258" s="3">
        <v>45774</v>
      </c>
    </row>
    <row r="259" spans="1:12" x14ac:dyDescent="0.25">
      <c r="A259" s="1">
        <v>101280</v>
      </c>
      <c r="B259" s="2" t="s">
        <v>207</v>
      </c>
      <c r="C259" s="2" t="s">
        <v>103</v>
      </c>
      <c r="D259" s="2" t="s">
        <v>50</v>
      </c>
      <c r="E259" s="2" t="s">
        <v>31</v>
      </c>
      <c r="F259" s="2" t="s">
        <v>18</v>
      </c>
      <c r="G259" s="1">
        <v>0</v>
      </c>
      <c r="H259" s="1">
        <v>360</v>
      </c>
      <c r="I259" s="2" t="s">
        <v>45</v>
      </c>
      <c r="J259" s="2" t="s">
        <v>26</v>
      </c>
      <c r="K259" s="1">
        <v>821.23</v>
      </c>
      <c r="L259" s="3">
        <v>45774</v>
      </c>
    </row>
    <row r="260" spans="1:12" x14ac:dyDescent="0.25">
      <c r="A260" s="1">
        <v>100795</v>
      </c>
      <c r="B260" s="2" t="s">
        <v>204</v>
      </c>
      <c r="C260" s="2" t="s">
        <v>152</v>
      </c>
      <c r="D260" s="2" t="s">
        <v>41</v>
      </c>
      <c r="E260" s="2" t="s">
        <v>17</v>
      </c>
      <c r="F260" s="2" t="s">
        <v>25</v>
      </c>
      <c r="G260" s="1">
        <v>22</v>
      </c>
      <c r="H260" s="1">
        <v>362</v>
      </c>
      <c r="I260" s="2" t="s">
        <v>56</v>
      </c>
      <c r="J260" s="2" t="s">
        <v>33</v>
      </c>
      <c r="K260" s="1">
        <v>545.64</v>
      </c>
      <c r="L260" s="3">
        <v>45774</v>
      </c>
    </row>
    <row r="261" spans="1:12" x14ac:dyDescent="0.25">
      <c r="A261" s="1">
        <v>101695</v>
      </c>
      <c r="B261" s="2" t="s">
        <v>133</v>
      </c>
      <c r="C261" s="2" t="s">
        <v>134</v>
      </c>
      <c r="D261" s="2" t="s">
        <v>16</v>
      </c>
      <c r="E261" s="2" t="s">
        <v>31</v>
      </c>
      <c r="F261" s="2" t="s">
        <v>18</v>
      </c>
      <c r="G261" s="1">
        <v>0</v>
      </c>
      <c r="H261" s="1">
        <v>345</v>
      </c>
      <c r="I261" s="2" t="s">
        <v>45</v>
      </c>
      <c r="J261" s="2" t="s">
        <v>20</v>
      </c>
      <c r="K261" s="1">
        <v>189.99</v>
      </c>
      <c r="L261" s="3">
        <v>45774</v>
      </c>
    </row>
    <row r="262" spans="1:12" x14ac:dyDescent="0.25">
      <c r="A262" s="1">
        <v>101434</v>
      </c>
      <c r="B262" s="2" t="s">
        <v>481</v>
      </c>
      <c r="C262" s="2" t="s">
        <v>168</v>
      </c>
      <c r="D262" s="2" t="s">
        <v>16</v>
      </c>
      <c r="E262" s="2" t="s">
        <v>60</v>
      </c>
      <c r="F262" s="2" t="s">
        <v>83</v>
      </c>
      <c r="G262" s="1">
        <v>0</v>
      </c>
      <c r="H262" s="1">
        <v>548</v>
      </c>
      <c r="I262" s="2" t="s">
        <v>56</v>
      </c>
      <c r="J262" s="2" t="s">
        <v>26</v>
      </c>
      <c r="K262" s="1">
        <v>1480.47</v>
      </c>
      <c r="L262" s="3">
        <v>45773</v>
      </c>
    </row>
    <row r="263" spans="1:12" x14ac:dyDescent="0.25">
      <c r="A263" s="1">
        <v>101128</v>
      </c>
      <c r="B263" s="2" t="s">
        <v>162</v>
      </c>
      <c r="C263" s="2" t="s">
        <v>13</v>
      </c>
      <c r="D263" s="2" t="s">
        <v>41</v>
      </c>
      <c r="E263" s="2" t="s">
        <v>31</v>
      </c>
      <c r="F263" s="2" t="s">
        <v>18</v>
      </c>
      <c r="G263" s="1">
        <v>0</v>
      </c>
      <c r="H263" s="1">
        <v>410</v>
      </c>
      <c r="I263" s="2" t="s">
        <v>37</v>
      </c>
      <c r="J263" s="2" t="s">
        <v>20</v>
      </c>
      <c r="K263" s="1">
        <v>517.74</v>
      </c>
      <c r="L263" s="3">
        <v>45773</v>
      </c>
    </row>
    <row r="264" spans="1:12" x14ac:dyDescent="0.25">
      <c r="A264" s="1">
        <v>102083</v>
      </c>
      <c r="B264" s="2" t="s">
        <v>278</v>
      </c>
      <c r="C264" s="2" t="s">
        <v>62</v>
      </c>
      <c r="D264" s="2" t="s">
        <v>106</v>
      </c>
      <c r="E264" s="2" t="s">
        <v>17</v>
      </c>
      <c r="F264" s="2" t="s">
        <v>18</v>
      </c>
      <c r="G264" s="1">
        <v>0</v>
      </c>
      <c r="H264" s="1">
        <v>713</v>
      </c>
      <c r="I264" s="2" t="s">
        <v>56</v>
      </c>
      <c r="J264" s="2" t="s">
        <v>20</v>
      </c>
      <c r="K264" s="1">
        <v>408.93</v>
      </c>
      <c r="L264" s="3">
        <v>45773</v>
      </c>
    </row>
    <row r="265" spans="1:12" x14ac:dyDescent="0.25">
      <c r="A265" s="1">
        <v>101425</v>
      </c>
      <c r="B265" s="2" t="s">
        <v>107</v>
      </c>
      <c r="C265" s="2" t="s">
        <v>58</v>
      </c>
      <c r="D265" s="2" t="s">
        <v>106</v>
      </c>
      <c r="E265" s="2" t="s">
        <v>81</v>
      </c>
      <c r="F265" s="2" t="s">
        <v>25</v>
      </c>
      <c r="G265" s="1">
        <v>11</v>
      </c>
      <c r="H265" s="1">
        <v>884</v>
      </c>
      <c r="I265" s="2" t="s">
        <v>19</v>
      </c>
      <c r="J265" s="2" t="s">
        <v>20</v>
      </c>
      <c r="K265" s="1">
        <v>336.83</v>
      </c>
      <c r="L265" s="3">
        <v>45773</v>
      </c>
    </row>
    <row r="266" spans="1:12" x14ac:dyDescent="0.25">
      <c r="A266" s="1">
        <v>100401</v>
      </c>
      <c r="B266" s="2" t="s">
        <v>805</v>
      </c>
      <c r="C266" s="2" t="s">
        <v>62</v>
      </c>
      <c r="D266" s="2" t="s">
        <v>41</v>
      </c>
      <c r="E266" s="2" t="s">
        <v>81</v>
      </c>
      <c r="F266" s="2" t="s">
        <v>18</v>
      </c>
      <c r="G266" s="1">
        <v>0</v>
      </c>
      <c r="H266" s="1">
        <v>352</v>
      </c>
      <c r="I266" s="2" t="s">
        <v>37</v>
      </c>
      <c r="J266" s="2" t="s">
        <v>20</v>
      </c>
      <c r="K266" s="1">
        <v>265.48</v>
      </c>
      <c r="L266" s="3">
        <v>45773</v>
      </c>
    </row>
    <row r="267" spans="1:12" x14ac:dyDescent="0.25">
      <c r="A267" s="1">
        <v>101699</v>
      </c>
      <c r="B267" s="2" t="s">
        <v>65</v>
      </c>
      <c r="C267" s="2" t="s">
        <v>62</v>
      </c>
      <c r="D267" s="2" t="s">
        <v>16</v>
      </c>
      <c r="E267" s="2" t="s">
        <v>17</v>
      </c>
      <c r="F267" s="2" t="s">
        <v>25</v>
      </c>
      <c r="G267" s="1">
        <v>14</v>
      </c>
      <c r="H267" s="1">
        <v>542</v>
      </c>
      <c r="I267" s="2" t="s">
        <v>19</v>
      </c>
      <c r="J267" s="2" t="s">
        <v>26</v>
      </c>
      <c r="K267" s="1">
        <v>247.78</v>
      </c>
      <c r="L267" s="3">
        <v>45773</v>
      </c>
    </row>
    <row r="268" spans="1:12" x14ac:dyDescent="0.25">
      <c r="A268" s="1">
        <v>101680</v>
      </c>
      <c r="B268" s="2" t="s">
        <v>133</v>
      </c>
      <c r="C268" s="2" t="s">
        <v>134</v>
      </c>
      <c r="D268" s="2" t="s">
        <v>50</v>
      </c>
      <c r="E268" s="2" t="s">
        <v>70</v>
      </c>
      <c r="F268" s="2" t="s">
        <v>25</v>
      </c>
      <c r="G268" s="1">
        <v>11</v>
      </c>
      <c r="H268" s="1">
        <v>345</v>
      </c>
      <c r="I268" s="2" t="s">
        <v>19</v>
      </c>
      <c r="J268" s="2" t="s">
        <v>33</v>
      </c>
      <c r="K268" s="1">
        <v>234.48</v>
      </c>
      <c r="L268" s="3">
        <v>45773</v>
      </c>
    </row>
    <row r="269" spans="1:12" x14ac:dyDescent="0.25">
      <c r="A269" s="1">
        <v>102188</v>
      </c>
      <c r="B269" s="2" t="s">
        <v>145</v>
      </c>
      <c r="C269" s="2" t="s">
        <v>52</v>
      </c>
      <c r="D269" s="2" t="s">
        <v>64</v>
      </c>
      <c r="E269" s="2" t="s">
        <v>81</v>
      </c>
      <c r="F269" s="2" t="s">
        <v>18</v>
      </c>
      <c r="G269" s="1">
        <v>0</v>
      </c>
      <c r="H269" s="1">
        <v>435</v>
      </c>
      <c r="I269" s="2" t="s">
        <v>45</v>
      </c>
      <c r="J269" s="2" t="s">
        <v>35</v>
      </c>
      <c r="K269" s="1">
        <v>169.76</v>
      </c>
      <c r="L269" s="3">
        <v>45773</v>
      </c>
    </row>
    <row r="270" spans="1:12" x14ac:dyDescent="0.25">
      <c r="A270" s="1">
        <v>100888</v>
      </c>
      <c r="B270" s="2" t="s">
        <v>294</v>
      </c>
      <c r="C270" s="2" t="s">
        <v>100</v>
      </c>
      <c r="D270" s="2" t="s">
        <v>106</v>
      </c>
      <c r="E270" s="2" t="s">
        <v>70</v>
      </c>
      <c r="F270" s="2" t="s">
        <v>18</v>
      </c>
      <c r="G270" s="1">
        <v>0</v>
      </c>
      <c r="H270" s="1">
        <v>377</v>
      </c>
      <c r="I270" s="2" t="s">
        <v>32</v>
      </c>
      <c r="J270" s="2" t="s">
        <v>33</v>
      </c>
      <c r="K270" s="1">
        <v>571.63</v>
      </c>
      <c r="L270" s="3">
        <v>45772</v>
      </c>
    </row>
    <row r="271" spans="1:12" x14ac:dyDescent="0.25">
      <c r="A271" s="1">
        <v>100032</v>
      </c>
      <c r="B271" s="2" t="s">
        <v>215</v>
      </c>
      <c r="C271" s="2" t="s">
        <v>126</v>
      </c>
      <c r="D271" s="2" t="s">
        <v>106</v>
      </c>
      <c r="E271" s="2" t="s">
        <v>70</v>
      </c>
      <c r="F271" s="2" t="s">
        <v>18</v>
      </c>
      <c r="G271" s="1">
        <v>0</v>
      </c>
      <c r="H271" s="1">
        <v>395</v>
      </c>
      <c r="I271" s="2" t="s">
        <v>35</v>
      </c>
      <c r="J271" s="2" t="s">
        <v>26</v>
      </c>
      <c r="K271" s="1">
        <v>249.92</v>
      </c>
      <c r="L271" s="3">
        <v>45772</v>
      </c>
    </row>
    <row r="272" spans="1:12" x14ac:dyDescent="0.25">
      <c r="A272" s="1">
        <v>100518</v>
      </c>
      <c r="B272" s="2" t="s">
        <v>385</v>
      </c>
      <c r="C272" s="2" t="s">
        <v>85</v>
      </c>
      <c r="D272" s="2" t="s">
        <v>16</v>
      </c>
      <c r="E272" s="2" t="s">
        <v>35</v>
      </c>
      <c r="F272" s="2" t="s">
        <v>18</v>
      </c>
      <c r="G272" s="1">
        <v>0</v>
      </c>
      <c r="H272" s="1">
        <v>490</v>
      </c>
      <c r="I272" s="2" t="s">
        <v>45</v>
      </c>
      <c r="J272" s="2" t="s">
        <v>20</v>
      </c>
      <c r="K272" s="1">
        <v>248.25</v>
      </c>
      <c r="L272" s="3">
        <v>45772</v>
      </c>
    </row>
    <row r="273" spans="1:12" x14ac:dyDescent="0.25">
      <c r="A273" s="1">
        <v>101218</v>
      </c>
      <c r="B273" s="2" t="s">
        <v>278</v>
      </c>
      <c r="C273" s="2" t="s">
        <v>62</v>
      </c>
      <c r="D273" s="2" t="s">
        <v>16</v>
      </c>
      <c r="E273" s="2" t="s">
        <v>81</v>
      </c>
      <c r="F273" s="2" t="s">
        <v>83</v>
      </c>
      <c r="G273" s="1">
        <v>0</v>
      </c>
      <c r="H273" s="1">
        <v>713</v>
      </c>
      <c r="I273" s="2" t="s">
        <v>32</v>
      </c>
      <c r="J273" s="2" t="s">
        <v>20</v>
      </c>
      <c r="K273" s="1">
        <v>93.38</v>
      </c>
      <c r="L273" s="3">
        <v>45772</v>
      </c>
    </row>
    <row r="274" spans="1:12" x14ac:dyDescent="0.25">
      <c r="A274" s="1">
        <v>100067</v>
      </c>
      <c r="B274" s="2" t="s">
        <v>1163</v>
      </c>
      <c r="C274" s="2" t="s">
        <v>13</v>
      </c>
      <c r="D274" s="2" t="s">
        <v>106</v>
      </c>
      <c r="E274" s="2" t="s">
        <v>31</v>
      </c>
      <c r="F274" s="2" t="s">
        <v>25</v>
      </c>
      <c r="G274" s="1">
        <v>12</v>
      </c>
      <c r="H274" s="1">
        <v>850</v>
      </c>
      <c r="I274" s="2" t="s">
        <v>37</v>
      </c>
      <c r="J274" s="2" t="s">
        <v>26</v>
      </c>
      <c r="K274" s="1">
        <v>50.55</v>
      </c>
      <c r="L274" s="3">
        <v>45772</v>
      </c>
    </row>
    <row r="275" spans="1:12" x14ac:dyDescent="0.25">
      <c r="A275" s="1">
        <v>100424</v>
      </c>
      <c r="B275" s="2" t="s">
        <v>1175</v>
      </c>
      <c r="C275" s="2" t="s">
        <v>142</v>
      </c>
      <c r="D275" s="2" t="s">
        <v>16</v>
      </c>
      <c r="E275" s="2" t="s">
        <v>70</v>
      </c>
      <c r="F275" s="2" t="s">
        <v>83</v>
      </c>
      <c r="G275" s="1">
        <v>0</v>
      </c>
      <c r="H275" s="1">
        <v>573</v>
      </c>
      <c r="I275" s="2" t="s">
        <v>19</v>
      </c>
      <c r="J275" s="2" t="s">
        <v>33</v>
      </c>
      <c r="K275" s="1">
        <v>402.98</v>
      </c>
      <c r="L275" s="3">
        <v>45771</v>
      </c>
    </row>
    <row r="276" spans="1:12" x14ac:dyDescent="0.25">
      <c r="A276" s="1">
        <v>101431</v>
      </c>
      <c r="B276" s="2" t="s">
        <v>51</v>
      </c>
      <c r="C276" s="2" t="s">
        <v>52</v>
      </c>
      <c r="D276" s="2" t="s">
        <v>41</v>
      </c>
      <c r="E276" s="2" t="s">
        <v>17</v>
      </c>
      <c r="F276" s="2" t="s">
        <v>83</v>
      </c>
      <c r="G276" s="1">
        <v>0</v>
      </c>
      <c r="H276" s="1">
        <v>567</v>
      </c>
      <c r="I276" s="2" t="s">
        <v>32</v>
      </c>
      <c r="J276" s="2" t="s">
        <v>20</v>
      </c>
      <c r="K276" s="1">
        <v>281.54000000000002</v>
      </c>
      <c r="L276" s="3">
        <v>45771</v>
      </c>
    </row>
    <row r="277" spans="1:12" x14ac:dyDescent="0.25">
      <c r="A277" s="1">
        <v>100282</v>
      </c>
      <c r="B277" s="2" t="s">
        <v>338</v>
      </c>
      <c r="C277" s="2" t="s">
        <v>22</v>
      </c>
      <c r="D277" s="2" t="s">
        <v>106</v>
      </c>
      <c r="E277" s="2" t="s">
        <v>31</v>
      </c>
      <c r="F277" s="2" t="s">
        <v>83</v>
      </c>
      <c r="G277" s="1">
        <v>0</v>
      </c>
      <c r="H277" s="1">
        <v>832</v>
      </c>
      <c r="I277" s="2" t="s">
        <v>37</v>
      </c>
      <c r="J277" s="2" t="s">
        <v>20</v>
      </c>
      <c r="K277" s="1">
        <v>151.53</v>
      </c>
      <c r="L277" s="3">
        <v>45771</v>
      </c>
    </row>
    <row r="278" spans="1:12" x14ac:dyDescent="0.25">
      <c r="A278" s="1">
        <v>100348</v>
      </c>
      <c r="B278" s="2" t="s">
        <v>444</v>
      </c>
      <c r="C278" s="2" t="s">
        <v>52</v>
      </c>
      <c r="D278" s="2" t="s">
        <v>50</v>
      </c>
      <c r="E278" s="2" t="s">
        <v>35</v>
      </c>
      <c r="F278" s="2" t="s">
        <v>25</v>
      </c>
      <c r="G278" s="1">
        <v>21</v>
      </c>
      <c r="H278" s="1">
        <v>688</v>
      </c>
      <c r="I278" s="2" t="s">
        <v>56</v>
      </c>
      <c r="J278" s="2" t="s">
        <v>33</v>
      </c>
      <c r="K278" s="1">
        <v>558.66</v>
      </c>
      <c r="L278" s="3">
        <v>45770</v>
      </c>
    </row>
    <row r="279" spans="1:12" x14ac:dyDescent="0.25">
      <c r="A279" s="1">
        <v>100530</v>
      </c>
      <c r="B279" s="2" t="s">
        <v>936</v>
      </c>
      <c r="C279" s="2" t="s">
        <v>110</v>
      </c>
      <c r="D279" s="2" t="s">
        <v>64</v>
      </c>
      <c r="E279" s="2" t="s">
        <v>55</v>
      </c>
      <c r="F279" s="2" t="s">
        <v>25</v>
      </c>
      <c r="G279" s="1">
        <v>29</v>
      </c>
      <c r="H279" s="1">
        <v>508</v>
      </c>
      <c r="I279" s="2" t="s">
        <v>56</v>
      </c>
      <c r="J279" s="2" t="s">
        <v>20</v>
      </c>
      <c r="K279" s="1">
        <v>191.56</v>
      </c>
      <c r="L279" s="3">
        <v>45770</v>
      </c>
    </row>
    <row r="280" spans="1:12" x14ac:dyDescent="0.25">
      <c r="A280" s="1">
        <v>100720</v>
      </c>
      <c r="B280" s="2" t="s">
        <v>530</v>
      </c>
      <c r="C280" s="2" t="s">
        <v>142</v>
      </c>
      <c r="D280" s="2" t="s">
        <v>106</v>
      </c>
      <c r="E280" s="2" t="s">
        <v>55</v>
      </c>
      <c r="F280" s="2" t="s">
        <v>25</v>
      </c>
      <c r="G280" s="1">
        <v>19</v>
      </c>
      <c r="H280" s="1">
        <v>819</v>
      </c>
      <c r="I280" s="2" t="s">
        <v>56</v>
      </c>
      <c r="J280" s="2" t="s">
        <v>20</v>
      </c>
      <c r="K280" s="1">
        <v>264.04000000000002</v>
      </c>
      <c r="L280" s="3">
        <v>45769</v>
      </c>
    </row>
    <row r="281" spans="1:12" x14ac:dyDescent="0.25">
      <c r="A281" s="1">
        <v>101908</v>
      </c>
      <c r="B281" s="2" t="s">
        <v>27</v>
      </c>
      <c r="C281" s="2" t="s">
        <v>28</v>
      </c>
      <c r="D281" s="2" t="s">
        <v>41</v>
      </c>
      <c r="E281" s="2" t="s">
        <v>55</v>
      </c>
      <c r="F281" s="2" t="s">
        <v>42</v>
      </c>
      <c r="G281" s="1">
        <v>151</v>
      </c>
      <c r="H281" s="1">
        <v>849</v>
      </c>
      <c r="I281" s="2" t="s">
        <v>56</v>
      </c>
      <c r="J281" s="2" t="s">
        <v>33</v>
      </c>
      <c r="K281" s="1">
        <v>897.67</v>
      </c>
      <c r="L281" s="3">
        <v>45768</v>
      </c>
    </row>
    <row r="282" spans="1:12" x14ac:dyDescent="0.25">
      <c r="A282" s="1">
        <v>100947</v>
      </c>
      <c r="B282" s="2" t="s">
        <v>671</v>
      </c>
      <c r="C282" s="2" t="s">
        <v>122</v>
      </c>
      <c r="D282" s="2" t="s">
        <v>50</v>
      </c>
      <c r="E282" s="2" t="s">
        <v>78</v>
      </c>
      <c r="F282" s="2" t="s">
        <v>42</v>
      </c>
      <c r="G282" s="1">
        <v>154</v>
      </c>
      <c r="H282" s="1">
        <v>302</v>
      </c>
      <c r="I282" s="2" t="s">
        <v>37</v>
      </c>
      <c r="J282" s="2" t="s">
        <v>33</v>
      </c>
      <c r="K282" s="1">
        <v>330.08</v>
      </c>
      <c r="L282" s="3">
        <v>45768</v>
      </c>
    </row>
    <row r="283" spans="1:12" x14ac:dyDescent="0.25">
      <c r="A283" s="1">
        <v>101352</v>
      </c>
      <c r="B283" s="2" t="s">
        <v>51</v>
      </c>
      <c r="C283" s="2" t="s">
        <v>52</v>
      </c>
      <c r="D283" s="2" t="s">
        <v>41</v>
      </c>
      <c r="E283" s="2" t="s">
        <v>55</v>
      </c>
      <c r="F283" s="2" t="s">
        <v>18</v>
      </c>
      <c r="G283" s="1">
        <v>0</v>
      </c>
      <c r="H283" s="1">
        <v>567</v>
      </c>
      <c r="I283" s="2" t="s">
        <v>56</v>
      </c>
      <c r="J283" s="2" t="s">
        <v>26</v>
      </c>
      <c r="K283" s="1">
        <v>713.52</v>
      </c>
      <c r="L283" s="3">
        <v>45767</v>
      </c>
    </row>
    <row r="284" spans="1:12" x14ac:dyDescent="0.25">
      <c r="A284" s="1">
        <v>100608</v>
      </c>
      <c r="B284" s="2" t="s">
        <v>631</v>
      </c>
      <c r="C284" s="2" t="s">
        <v>13</v>
      </c>
      <c r="D284" s="2" t="s">
        <v>41</v>
      </c>
      <c r="E284" s="2" t="s">
        <v>70</v>
      </c>
      <c r="F284" s="2" t="s">
        <v>18</v>
      </c>
      <c r="G284" s="1">
        <v>0</v>
      </c>
      <c r="H284" s="1">
        <v>544</v>
      </c>
      <c r="I284" s="2" t="s">
        <v>56</v>
      </c>
      <c r="J284" s="2" t="s">
        <v>20</v>
      </c>
      <c r="K284" s="1">
        <v>329.75</v>
      </c>
      <c r="L284" s="3">
        <v>45767</v>
      </c>
    </row>
    <row r="285" spans="1:12" x14ac:dyDescent="0.25">
      <c r="A285" s="1">
        <v>100730</v>
      </c>
      <c r="B285" s="2" t="s">
        <v>460</v>
      </c>
      <c r="C285" s="2" t="s">
        <v>95</v>
      </c>
      <c r="D285" s="2" t="s">
        <v>50</v>
      </c>
      <c r="E285" s="2" t="s">
        <v>17</v>
      </c>
      <c r="F285" s="2" t="s">
        <v>18</v>
      </c>
      <c r="G285" s="1">
        <v>0</v>
      </c>
      <c r="H285" s="1">
        <v>716</v>
      </c>
      <c r="I285" s="2" t="s">
        <v>19</v>
      </c>
      <c r="J285" s="2" t="s">
        <v>26</v>
      </c>
      <c r="K285" s="1">
        <v>477.05</v>
      </c>
      <c r="L285" s="3">
        <v>45766</v>
      </c>
    </row>
    <row r="286" spans="1:12" x14ac:dyDescent="0.25">
      <c r="A286" s="1">
        <v>101018</v>
      </c>
      <c r="B286" s="2" t="s">
        <v>1163</v>
      </c>
      <c r="C286" s="2" t="s">
        <v>13</v>
      </c>
      <c r="D286" s="2" t="s">
        <v>106</v>
      </c>
      <c r="E286" s="2" t="s">
        <v>55</v>
      </c>
      <c r="F286" s="2" t="s">
        <v>25</v>
      </c>
      <c r="G286" s="1">
        <v>22</v>
      </c>
      <c r="H286" s="1">
        <v>850</v>
      </c>
      <c r="I286" s="2" t="s">
        <v>37</v>
      </c>
      <c r="J286" s="2" t="s">
        <v>20</v>
      </c>
      <c r="K286" s="1">
        <v>230.65</v>
      </c>
      <c r="L286" s="3">
        <v>45766</v>
      </c>
    </row>
    <row r="287" spans="1:12" x14ac:dyDescent="0.25">
      <c r="A287" s="1">
        <v>101867</v>
      </c>
      <c r="B287" s="2" t="s">
        <v>133</v>
      </c>
      <c r="C287" s="2" t="s">
        <v>134</v>
      </c>
      <c r="D287" s="2" t="s">
        <v>41</v>
      </c>
      <c r="E287" s="2" t="s">
        <v>81</v>
      </c>
      <c r="F287" s="2" t="s">
        <v>18</v>
      </c>
      <c r="G287" s="1">
        <v>0</v>
      </c>
      <c r="H287" s="1">
        <v>345</v>
      </c>
      <c r="I287" s="2" t="s">
        <v>19</v>
      </c>
      <c r="J287" s="2" t="s">
        <v>20</v>
      </c>
      <c r="K287" s="1">
        <v>222.56</v>
      </c>
      <c r="L287" s="3">
        <v>45766</v>
      </c>
    </row>
    <row r="288" spans="1:12" x14ac:dyDescent="0.25">
      <c r="A288" s="1">
        <v>100786</v>
      </c>
      <c r="B288" s="2" t="s">
        <v>390</v>
      </c>
      <c r="C288" s="2" t="s">
        <v>110</v>
      </c>
      <c r="D288" s="2" t="s">
        <v>50</v>
      </c>
      <c r="E288" s="2" t="s">
        <v>35</v>
      </c>
      <c r="F288" s="2" t="s">
        <v>18</v>
      </c>
      <c r="G288" s="1">
        <v>0</v>
      </c>
      <c r="H288" s="1">
        <v>773</v>
      </c>
      <c r="I288" s="2" t="s">
        <v>45</v>
      </c>
      <c r="J288" s="2" t="s">
        <v>33</v>
      </c>
      <c r="K288" s="1">
        <v>462.29</v>
      </c>
      <c r="L288" s="3">
        <v>45765</v>
      </c>
    </row>
    <row r="289" spans="1:12" x14ac:dyDescent="0.25">
      <c r="A289" s="1">
        <v>100915</v>
      </c>
      <c r="B289" s="2" t="s">
        <v>177</v>
      </c>
      <c r="C289" s="2" t="s">
        <v>85</v>
      </c>
      <c r="D289" s="2" t="s">
        <v>50</v>
      </c>
      <c r="E289" s="2" t="s">
        <v>70</v>
      </c>
      <c r="F289" s="2" t="s">
        <v>18</v>
      </c>
      <c r="G289" s="1">
        <v>0</v>
      </c>
      <c r="H289" s="1">
        <v>375</v>
      </c>
      <c r="I289" s="2" t="s">
        <v>45</v>
      </c>
      <c r="J289" s="2" t="s">
        <v>20</v>
      </c>
      <c r="K289" s="1">
        <v>364.63</v>
      </c>
      <c r="L289" s="3">
        <v>45765</v>
      </c>
    </row>
    <row r="290" spans="1:12" x14ac:dyDescent="0.25">
      <c r="A290" s="1">
        <v>100366</v>
      </c>
      <c r="B290" s="2" t="s">
        <v>470</v>
      </c>
      <c r="C290" s="2" t="s">
        <v>187</v>
      </c>
      <c r="D290" s="2" t="s">
        <v>64</v>
      </c>
      <c r="E290" s="2" t="s">
        <v>78</v>
      </c>
      <c r="F290" s="2" t="s">
        <v>25</v>
      </c>
      <c r="G290" s="1">
        <v>1</v>
      </c>
      <c r="H290" s="1">
        <v>820</v>
      </c>
      <c r="I290" s="2" t="s">
        <v>56</v>
      </c>
      <c r="J290" s="2" t="s">
        <v>20</v>
      </c>
      <c r="K290" s="1">
        <v>298.62</v>
      </c>
      <c r="L290" s="3">
        <v>45765</v>
      </c>
    </row>
    <row r="291" spans="1:12" x14ac:dyDescent="0.25">
      <c r="A291" s="1">
        <v>101798</v>
      </c>
      <c r="B291" s="2" t="s">
        <v>728</v>
      </c>
      <c r="C291" s="2" t="s">
        <v>85</v>
      </c>
      <c r="D291" s="2" t="s">
        <v>106</v>
      </c>
      <c r="E291" s="2" t="s">
        <v>60</v>
      </c>
      <c r="F291" s="2" t="s">
        <v>18</v>
      </c>
      <c r="G291" s="1">
        <v>0</v>
      </c>
      <c r="H291" s="1">
        <v>653</v>
      </c>
      <c r="I291" s="2" t="s">
        <v>45</v>
      </c>
      <c r="J291" s="2" t="s">
        <v>26</v>
      </c>
      <c r="K291" s="1">
        <v>70.03</v>
      </c>
      <c r="L291" s="3">
        <v>45765</v>
      </c>
    </row>
    <row r="292" spans="1:12" x14ac:dyDescent="0.25">
      <c r="A292" s="1">
        <v>101997</v>
      </c>
      <c r="B292" s="2" t="s">
        <v>109</v>
      </c>
      <c r="C292" s="2" t="s">
        <v>110</v>
      </c>
      <c r="D292" s="2" t="s">
        <v>16</v>
      </c>
      <c r="E292" s="2" t="s">
        <v>31</v>
      </c>
      <c r="F292" s="2" t="s">
        <v>18</v>
      </c>
      <c r="G292" s="1">
        <v>0</v>
      </c>
      <c r="H292" s="1">
        <v>591</v>
      </c>
      <c r="I292" s="2" t="s">
        <v>19</v>
      </c>
      <c r="J292" s="2" t="s">
        <v>26</v>
      </c>
      <c r="K292" s="1">
        <v>425.63</v>
      </c>
      <c r="L292" s="3">
        <v>45764</v>
      </c>
    </row>
    <row r="293" spans="1:12" x14ac:dyDescent="0.25">
      <c r="A293" s="1">
        <v>102081</v>
      </c>
      <c r="B293" s="2" t="s">
        <v>965</v>
      </c>
      <c r="C293" s="2" t="s">
        <v>110</v>
      </c>
      <c r="D293" s="2" t="s">
        <v>50</v>
      </c>
      <c r="E293" s="2" t="s">
        <v>60</v>
      </c>
      <c r="F293" s="2" t="s">
        <v>18</v>
      </c>
      <c r="G293" s="1">
        <v>0</v>
      </c>
      <c r="H293" s="1">
        <v>821</v>
      </c>
      <c r="I293" s="2" t="s">
        <v>37</v>
      </c>
      <c r="J293" s="2" t="s">
        <v>26</v>
      </c>
      <c r="K293" s="1">
        <v>362.09</v>
      </c>
      <c r="L293" s="3">
        <v>45764</v>
      </c>
    </row>
    <row r="294" spans="1:12" x14ac:dyDescent="0.25">
      <c r="A294" s="1">
        <v>101477</v>
      </c>
      <c r="B294" s="2" t="s">
        <v>357</v>
      </c>
      <c r="C294" s="2" t="s">
        <v>62</v>
      </c>
      <c r="D294" s="2" t="s">
        <v>41</v>
      </c>
      <c r="E294" s="2" t="s">
        <v>17</v>
      </c>
      <c r="F294" s="2" t="s">
        <v>83</v>
      </c>
      <c r="G294" s="1">
        <v>0</v>
      </c>
      <c r="H294" s="1">
        <v>345</v>
      </c>
      <c r="I294" s="2" t="s">
        <v>37</v>
      </c>
      <c r="J294" s="2" t="s">
        <v>33</v>
      </c>
      <c r="K294" s="1">
        <v>865.24</v>
      </c>
      <c r="L294" s="3">
        <v>45763</v>
      </c>
    </row>
    <row r="295" spans="1:12" x14ac:dyDescent="0.25">
      <c r="A295" s="1">
        <v>101448</v>
      </c>
      <c r="B295" s="2" t="s">
        <v>742</v>
      </c>
      <c r="C295" s="2" t="s">
        <v>100</v>
      </c>
      <c r="D295" s="2" t="s">
        <v>106</v>
      </c>
      <c r="E295" s="2" t="s">
        <v>81</v>
      </c>
      <c r="F295" s="2" t="s">
        <v>83</v>
      </c>
      <c r="G295" s="1">
        <v>0</v>
      </c>
      <c r="H295" s="1">
        <v>571</v>
      </c>
      <c r="I295" s="2" t="s">
        <v>35</v>
      </c>
      <c r="J295" s="2" t="s">
        <v>20</v>
      </c>
      <c r="K295" s="1">
        <v>207.79</v>
      </c>
      <c r="L295" s="3">
        <v>45763</v>
      </c>
    </row>
    <row r="296" spans="1:12" x14ac:dyDescent="0.25">
      <c r="A296" s="1">
        <v>102020</v>
      </c>
      <c r="B296" s="2" t="s">
        <v>446</v>
      </c>
      <c r="C296" s="2" t="s">
        <v>168</v>
      </c>
      <c r="D296" s="2" t="s">
        <v>16</v>
      </c>
      <c r="E296" s="2" t="s">
        <v>78</v>
      </c>
      <c r="F296" s="2" t="s">
        <v>83</v>
      </c>
      <c r="G296" s="1">
        <v>0</v>
      </c>
      <c r="H296" s="1">
        <v>515</v>
      </c>
      <c r="I296" s="2" t="s">
        <v>37</v>
      </c>
      <c r="J296" s="2" t="s">
        <v>20</v>
      </c>
      <c r="K296" s="1">
        <v>293.07</v>
      </c>
      <c r="L296" s="3">
        <v>45762</v>
      </c>
    </row>
    <row r="297" spans="1:12" x14ac:dyDescent="0.25">
      <c r="A297" s="1">
        <v>102145</v>
      </c>
      <c r="B297" s="2" t="s">
        <v>657</v>
      </c>
      <c r="C297" s="2" t="s">
        <v>52</v>
      </c>
      <c r="D297" s="2" t="s">
        <v>64</v>
      </c>
      <c r="E297" s="2" t="s">
        <v>17</v>
      </c>
      <c r="F297" s="2" t="s">
        <v>18</v>
      </c>
      <c r="G297" s="1" t="s">
        <v>35</v>
      </c>
      <c r="H297" s="1">
        <v>518</v>
      </c>
      <c r="I297" s="2" t="s">
        <v>37</v>
      </c>
      <c r="J297" s="2" t="s">
        <v>20</v>
      </c>
      <c r="K297" s="1">
        <v>96.96</v>
      </c>
      <c r="L297" s="3">
        <v>45762</v>
      </c>
    </row>
    <row r="298" spans="1:12" x14ac:dyDescent="0.25">
      <c r="A298" s="1">
        <v>101810</v>
      </c>
      <c r="B298" s="2" t="s">
        <v>528</v>
      </c>
      <c r="C298" s="2" t="s">
        <v>103</v>
      </c>
      <c r="D298" s="2" t="s">
        <v>50</v>
      </c>
      <c r="E298" s="2" t="s">
        <v>35</v>
      </c>
      <c r="F298" s="2" t="s">
        <v>25</v>
      </c>
      <c r="G298" s="1">
        <v>2</v>
      </c>
      <c r="H298" s="1">
        <v>583</v>
      </c>
      <c r="I298" s="2" t="s">
        <v>45</v>
      </c>
      <c r="J298" s="2" t="s">
        <v>20</v>
      </c>
      <c r="K298" s="1">
        <v>527.65</v>
      </c>
      <c r="L298" s="3">
        <v>45761</v>
      </c>
    </row>
    <row r="299" spans="1:12" x14ac:dyDescent="0.25">
      <c r="A299" s="1">
        <v>101558</v>
      </c>
      <c r="B299" s="2" t="s">
        <v>1059</v>
      </c>
      <c r="C299" s="2" t="s">
        <v>149</v>
      </c>
      <c r="D299" s="2" t="s">
        <v>41</v>
      </c>
      <c r="E299" s="2" t="s">
        <v>78</v>
      </c>
      <c r="F299" s="2" t="s">
        <v>18</v>
      </c>
      <c r="G299" s="1">
        <v>0</v>
      </c>
      <c r="H299" s="1">
        <v>571</v>
      </c>
      <c r="I299" s="2" t="s">
        <v>37</v>
      </c>
      <c r="J299" s="2" t="s">
        <v>20</v>
      </c>
      <c r="K299" s="1">
        <v>167.56</v>
      </c>
      <c r="L299" s="3">
        <v>45761</v>
      </c>
    </row>
    <row r="300" spans="1:12" x14ac:dyDescent="0.25">
      <c r="A300" s="1">
        <v>100709</v>
      </c>
      <c r="B300" s="2" t="s">
        <v>38</v>
      </c>
      <c r="C300" s="2" t="s">
        <v>39</v>
      </c>
      <c r="D300" s="2" t="s">
        <v>41</v>
      </c>
      <c r="E300" s="2" t="s">
        <v>35</v>
      </c>
      <c r="F300" s="2" t="s">
        <v>42</v>
      </c>
      <c r="G300" s="1">
        <v>55</v>
      </c>
      <c r="H300" s="1">
        <v>533</v>
      </c>
      <c r="I300" s="2" t="s">
        <v>19</v>
      </c>
      <c r="J300" s="2" t="s">
        <v>26</v>
      </c>
      <c r="K300" s="1">
        <v>80.23</v>
      </c>
      <c r="L300" s="3">
        <v>45761</v>
      </c>
    </row>
    <row r="301" spans="1:12" x14ac:dyDescent="0.25">
      <c r="A301" s="1">
        <v>100090</v>
      </c>
      <c r="B301" s="2" t="s">
        <v>87</v>
      </c>
      <c r="C301" s="2" t="s">
        <v>47</v>
      </c>
      <c r="D301" s="2" t="s">
        <v>41</v>
      </c>
      <c r="E301" s="2" t="s">
        <v>70</v>
      </c>
      <c r="F301" s="2" t="s">
        <v>18</v>
      </c>
      <c r="G301" s="1">
        <v>0</v>
      </c>
      <c r="H301" s="1">
        <v>892</v>
      </c>
      <c r="I301" s="2" t="s">
        <v>45</v>
      </c>
      <c r="J301" s="2" t="s">
        <v>33</v>
      </c>
      <c r="K301" s="1">
        <v>567.28</v>
      </c>
      <c r="L301" s="3">
        <v>45760</v>
      </c>
    </row>
    <row r="302" spans="1:12" x14ac:dyDescent="0.25">
      <c r="A302" s="1">
        <v>101524</v>
      </c>
      <c r="B302" s="2" t="s">
        <v>367</v>
      </c>
      <c r="C302" s="2" t="s">
        <v>103</v>
      </c>
      <c r="D302" s="2" t="s">
        <v>16</v>
      </c>
      <c r="E302" s="2" t="s">
        <v>55</v>
      </c>
      <c r="F302" s="2" t="s">
        <v>18</v>
      </c>
      <c r="G302" s="1">
        <v>0</v>
      </c>
      <c r="H302" s="1">
        <v>621</v>
      </c>
      <c r="I302" s="2" t="s">
        <v>45</v>
      </c>
      <c r="J302" s="2" t="s">
        <v>20</v>
      </c>
      <c r="K302" s="1">
        <v>427.42</v>
      </c>
      <c r="L302" s="3">
        <v>45760</v>
      </c>
    </row>
    <row r="303" spans="1:12" x14ac:dyDescent="0.25">
      <c r="A303" s="1">
        <v>101654</v>
      </c>
      <c r="B303" s="2" t="s">
        <v>327</v>
      </c>
      <c r="C303" s="2" t="s">
        <v>100</v>
      </c>
      <c r="D303" s="2" t="s">
        <v>106</v>
      </c>
      <c r="E303" s="2" t="s">
        <v>35</v>
      </c>
      <c r="F303" s="2" t="s">
        <v>18</v>
      </c>
      <c r="G303" s="1">
        <v>0</v>
      </c>
      <c r="H303" s="1">
        <v>721</v>
      </c>
      <c r="I303" s="2" t="s">
        <v>35</v>
      </c>
      <c r="J303" s="2" t="s">
        <v>33</v>
      </c>
      <c r="K303" s="1">
        <v>362.68</v>
      </c>
      <c r="L303" s="3">
        <v>45760</v>
      </c>
    </row>
    <row r="304" spans="1:12" x14ac:dyDescent="0.25">
      <c r="A304" s="1">
        <v>100140</v>
      </c>
      <c r="B304" s="2" t="s">
        <v>220</v>
      </c>
      <c r="C304" s="2" t="s">
        <v>152</v>
      </c>
      <c r="D304" s="2" t="s">
        <v>16</v>
      </c>
      <c r="E304" s="2" t="s">
        <v>70</v>
      </c>
      <c r="F304" s="2" t="s">
        <v>18</v>
      </c>
      <c r="G304" s="1">
        <v>0</v>
      </c>
      <c r="H304" s="1">
        <v>710</v>
      </c>
      <c r="I304" s="2" t="s">
        <v>32</v>
      </c>
      <c r="J304" s="2" t="s">
        <v>20</v>
      </c>
      <c r="K304" s="1">
        <v>347.33</v>
      </c>
      <c r="L304" s="3">
        <v>45760</v>
      </c>
    </row>
    <row r="305" spans="1:12" x14ac:dyDescent="0.25">
      <c r="A305" s="1">
        <v>101269</v>
      </c>
      <c r="B305" s="2" t="s">
        <v>1402</v>
      </c>
      <c r="C305" s="2" t="s">
        <v>100</v>
      </c>
      <c r="D305" s="2" t="s">
        <v>41</v>
      </c>
      <c r="E305" s="2" t="s">
        <v>31</v>
      </c>
      <c r="F305" s="2" t="s">
        <v>18</v>
      </c>
      <c r="G305" s="1">
        <v>0</v>
      </c>
      <c r="H305" s="1">
        <v>588</v>
      </c>
      <c r="I305" s="2" t="s">
        <v>56</v>
      </c>
      <c r="J305" s="2" t="s">
        <v>20</v>
      </c>
      <c r="K305" s="1">
        <v>195.71</v>
      </c>
      <c r="L305" s="3">
        <v>45760</v>
      </c>
    </row>
    <row r="306" spans="1:12" x14ac:dyDescent="0.25">
      <c r="A306" s="1">
        <v>102007</v>
      </c>
      <c r="B306" s="2" t="s">
        <v>463</v>
      </c>
      <c r="C306" s="2" t="s">
        <v>126</v>
      </c>
      <c r="D306" s="2" t="s">
        <v>16</v>
      </c>
      <c r="E306" s="2" t="s">
        <v>81</v>
      </c>
      <c r="F306" s="2" t="s">
        <v>18</v>
      </c>
      <c r="G306" s="1">
        <v>0</v>
      </c>
      <c r="H306" s="1">
        <v>765</v>
      </c>
      <c r="I306" s="2" t="s">
        <v>32</v>
      </c>
      <c r="J306" s="2" t="s">
        <v>26</v>
      </c>
      <c r="K306" s="1">
        <v>147.19999999999999</v>
      </c>
      <c r="L306" s="3">
        <v>45760</v>
      </c>
    </row>
    <row r="307" spans="1:12" x14ac:dyDescent="0.25">
      <c r="A307" s="1">
        <v>100036</v>
      </c>
      <c r="B307" s="2" t="s">
        <v>1402</v>
      </c>
      <c r="C307" s="2" t="s">
        <v>100</v>
      </c>
      <c r="D307" s="2" t="s">
        <v>64</v>
      </c>
      <c r="E307" s="2" t="s">
        <v>78</v>
      </c>
      <c r="F307" s="2" t="s">
        <v>42</v>
      </c>
      <c r="G307" s="1">
        <v>81</v>
      </c>
      <c r="H307" s="1">
        <v>588</v>
      </c>
      <c r="I307" s="2" t="s">
        <v>56</v>
      </c>
      <c r="J307" s="2" t="s">
        <v>26</v>
      </c>
      <c r="K307" s="1">
        <v>621</v>
      </c>
      <c r="L307" s="3">
        <v>45759</v>
      </c>
    </row>
    <row r="308" spans="1:12" x14ac:dyDescent="0.25">
      <c r="A308" s="1">
        <v>100801</v>
      </c>
      <c r="B308" s="2" t="s">
        <v>222</v>
      </c>
      <c r="C308" s="2" t="s">
        <v>100</v>
      </c>
      <c r="D308" s="2" t="s">
        <v>50</v>
      </c>
      <c r="E308" s="2" t="s">
        <v>70</v>
      </c>
      <c r="F308" s="2" t="s">
        <v>18</v>
      </c>
      <c r="G308" s="1">
        <v>0</v>
      </c>
      <c r="H308" s="1">
        <v>585</v>
      </c>
      <c r="I308" s="2" t="s">
        <v>35</v>
      </c>
      <c r="J308" s="2" t="s">
        <v>33</v>
      </c>
      <c r="K308" s="1">
        <v>201.29</v>
      </c>
      <c r="L308" s="3">
        <v>45759</v>
      </c>
    </row>
    <row r="309" spans="1:12" x14ac:dyDescent="0.25">
      <c r="A309" s="1">
        <v>100998</v>
      </c>
      <c r="B309" s="2" t="s">
        <v>376</v>
      </c>
      <c r="C309" s="2" t="s">
        <v>22</v>
      </c>
      <c r="D309" s="2" t="s">
        <v>50</v>
      </c>
      <c r="E309" s="2" t="s">
        <v>31</v>
      </c>
      <c r="F309" s="2" t="s">
        <v>18</v>
      </c>
      <c r="G309" s="1">
        <v>0</v>
      </c>
      <c r="H309" s="1">
        <v>340</v>
      </c>
      <c r="I309" s="2" t="s">
        <v>32</v>
      </c>
      <c r="J309" s="2" t="s">
        <v>20</v>
      </c>
      <c r="K309" s="1">
        <v>949.01</v>
      </c>
      <c r="L309" s="3">
        <v>45758</v>
      </c>
    </row>
    <row r="310" spans="1:12" x14ac:dyDescent="0.25">
      <c r="A310" s="1">
        <v>100315</v>
      </c>
      <c r="B310" s="2" t="s">
        <v>236</v>
      </c>
      <c r="C310" s="2" t="s">
        <v>47</v>
      </c>
      <c r="D310" s="2" t="s">
        <v>106</v>
      </c>
      <c r="E310" s="2" t="s">
        <v>17</v>
      </c>
      <c r="F310" s="2" t="s">
        <v>83</v>
      </c>
      <c r="G310" s="1">
        <v>0</v>
      </c>
      <c r="H310" s="1">
        <v>797</v>
      </c>
      <c r="I310" s="2" t="s">
        <v>19</v>
      </c>
      <c r="J310" s="2" t="s">
        <v>20</v>
      </c>
      <c r="K310" s="1">
        <v>213.16</v>
      </c>
      <c r="L310" s="3">
        <v>45758</v>
      </c>
    </row>
    <row r="311" spans="1:12" x14ac:dyDescent="0.25">
      <c r="A311" s="1">
        <v>101776</v>
      </c>
      <c r="B311" s="2" t="s">
        <v>450</v>
      </c>
      <c r="C311" s="2" t="s">
        <v>95</v>
      </c>
      <c r="D311" s="2" t="s">
        <v>106</v>
      </c>
      <c r="E311" s="2" t="s">
        <v>81</v>
      </c>
      <c r="F311" s="2" t="s">
        <v>18</v>
      </c>
      <c r="G311" s="1">
        <v>0</v>
      </c>
      <c r="H311" s="1">
        <v>890</v>
      </c>
      <c r="I311" s="2" t="s">
        <v>45</v>
      </c>
      <c r="J311" s="2" t="s">
        <v>26</v>
      </c>
      <c r="K311" s="1">
        <v>152</v>
      </c>
      <c r="L311" s="3">
        <v>45758</v>
      </c>
    </row>
    <row r="312" spans="1:12" x14ac:dyDescent="0.25">
      <c r="A312" s="1">
        <v>100310</v>
      </c>
      <c r="B312" s="2" t="s">
        <v>57</v>
      </c>
      <c r="C312" s="2" t="s">
        <v>58</v>
      </c>
      <c r="D312" s="2" t="s">
        <v>16</v>
      </c>
      <c r="E312" s="2" t="s">
        <v>31</v>
      </c>
      <c r="F312" s="2" t="s">
        <v>18</v>
      </c>
      <c r="G312" s="1">
        <v>0</v>
      </c>
      <c r="H312" s="1">
        <v>798</v>
      </c>
      <c r="I312" s="2" t="s">
        <v>32</v>
      </c>
      <c r="J312" s="2" t="s">
        <v>33</v>
      </c>
      <c r="K312" s="1">
        <v>518.79</v>
      </c>
      <c r="L312" s="3">
        <v>45757</v>
      </c>
    </row>
    <row r="313" spans="1:12" x14ac:dyDescent="0.25">
      <c r="A313" s="1">
        <v>100242</v>
      </c>
      <c r="B313" s="2" t="s">
        <v>510</v>
      </c>
      <c r="C313" s="2" t="s">
        <v>244</v>
      </c>
      <c r="D313" s="2" t="s">
        <v>16</v>
      </c>
      <c r="E313" s="2" t="s">
        <v>17</v>
      </c>
      <c r="F313" s="2" t="s">
        <v>83</v>
      </c>
      <c r="G313" s="1">
        <v>0</v>
      </c>
      <c r="H313" s="1">
        <v>411</v>
      </c>
      <c r="I313" s="2" t="s">
        <v>19</v>
      </c>
      <c r="J313" s="2" t="s">
        <v>33</v>
      </c>
      <c r="K313" s="1">
        <v>479.06</v>
      </c>
      <c r="L313" s="3">
        <v>45757</v>
      </c>
    </row>
    <row r="314" spans="1:12" x14ac:dyDescent="0.25">
      <c r="A314" s="1">
        <v>100483</v>
      </c>
      <c r="B314" s="2" t="s">
        <v>121</v>
      </c>
      <c r="C314" s="2" t="s">
        <v>122</v>
      </c>
      <c r="D314" s="2" t="s">
        <v>64</v>
      </c>
      <c r="E314" s="2" t="s">
        <v>60</v>
      </c>
      <c r="F314" s="2" t="s">
        <v>83</v>
      </c>
      <c r="G314" s="1">
        <v>0</v>
      </c>
      <c r="H314" s="1">
        <v>823</v>
      </c>
      <c r="I314" s="2" t="s">
        <v>56</v>
      </c>
      <c r="J314" s="2" t="s">
        <v>20</v>
      </c>
      <c r="K314" s="1">
        <v>378.62</v>
      </c>
      <c r="L314" s="3">
        <v>45757</v>
      </c>
    </row>
    <row r="315" spans="1:12" x14ac:dyDescent="0.25">
      <c r="A315" s="1">
        <v>100364</v>
      </c>
      <c r="B315" s="2" t="s">
        <v>297</v>
      </c>
      <c r="C315" s="2" t="s">
        <v>72</v>
      </c>
      <c r="D315" s="2" t="s">
        <v>106</v>
      </c>
      <c r="E315" s="2" t="s">
        <v>78</v>
      </c>
      <c r="F315" s="2" t="s">
        <v>83</v>
      </c>
      <c r="G315" s="1">
        <v>0</v>
      </c>
      <c r="H315" s="1">
        <v>878</v>
      </c>
      <c r="I315" s="2" t="s">
        <v>56</v>
      </c>
      <c r="J315" s="2" t="s">
        <v>33</v>
      </c>
      <c r="K315" s="1">
        <v>349.89</v>
      </c>
      <c r="L315" s="3">
        <v>45757</v>
      </c>
    </row>
    <row r="316" spans="1:12" x14ac:dyDescent="0.25">
      <c r="A316" s="1">
        <v>102129</v>
      </c>
      <c r="B316" s="2" t="s">
        <v>299</v>
      </c>
      <c r="C316" s="2" t="s">
        <v>22</v>
      </c>
      <c r="D316" s="2" t="s">
        <v>16</v>
      </c>
      <c r="E316" s="2" t="s">
        <v>17</v>
      </c>
      <c r="F316" s="2" t="s">
        <v>83</v>
      </c>
      <c r="G316" s="1">
        <v>0</v>
      </c>
      <c r="H316" s="1">
        <v>855</v>
      </c>
      <c r="I316" s="2" t="s">
        <v>19</v>
      </c>
      <c r="J316" s="2" t="s">
        <v>20</v>
      </c>
      <c r="K316" s="1">
        <v>206.43</v>
      </c>
      <c r="L316" s="3">
        <v>45757</v>
      </c>
    </row>
    <row r="317" spans="1:12" x14ac:dyDescent="0.25">
      <c r="A317" s="1">
        <v>100042</v>
      </c>
      <c r="B317" s="2" t="s">
        <v>207</v>
      </c>
      <c r="C317" s="2" t="s">
        <v>103</v>
      </c>
      <c r="D317" s="2" t="s">
        <v>41</v>
      </c>
      <c r="E317" s="2" t="s">
        <v>78</v>
      </c>
      <c r="F317" s="2" t="s">
        <v>42</v>
      </c>
      <c r="G317" s="1">
        <v>169</v>
      </c>
      <c r="H317" s="1">
        <v>360</v>
      </c>
      <c r="I317" s="2" t="s">
        <v>56</v>
      </c>
      <c r="J317" s="2" t="s">
        <v>20</v>
      </c>
      <c r="K317" s="1">
        <v>792.07</v>
      </c>
      <c r="L317" s="3">
        <v>45756</v>
      </c>
    </row>
    <row r="318" spans="1:12" x14ac:dyDescent="0.25">
      <c r="A318" s="1">
        <v>100474</v>
      </c>
      <c r="B318" s="2" t="s">
        <v>443</v>
      </c>
      <c r="C318" s="2" t="s">
        <v>72</v>
      </c>
      <c r="D318" s="2" t="s">
        <v>64</v>
      </c>
      <c r="E318" s="2" t="s">
        <v>17</v>
      </c>
      <c r="F318" s="2" t="s">
        <v>42</v>
      </c>
      <c r="G318" s="1">
        <v>140</v>
      </c>
      <c r="H318" s="1">
        <v>309</v>
      </c>
      <c r="I318" s="2" t="s">
        <v>19</v>
      </c>
      <c r="J318" s="2" t="s">
        <v>33</v>
      </c>
      <c r="K318" s="1">
        <v>242.9</v>
      </c>
      <c r="L318" s="3">
        <v>45756</v>
      </c>
    </row>
    <row r="319" spans="1:12" x14ac:dyDescent="0.25">
      <c r="A319" s="1">
        <v>101838</v>
      </c>
      <c r="B319" s="2" t="s">
        <v>1177</v>
      </c>
      <c r="C319" s="2" t="s">
        <v>62</v>
      </c>
      <c r="D319" s="2" t="s">
        <v>50</v>
      </c>
      <c r="E319" s="2" t="s">
        <v>81</v>
      </c>
      <c r="F319" s="2" t="s">
        <v>83</v>
      </c>
      <c r="G319" s="1">
        <v>0</v>
      </c>
      <c r="H319" s="1">
        <v>482</v>
      </c>
      <c r="I319" s="2" t="s">
        <v>32</v>
      </c>
      <c r="J319" s="2" t="s">
        <v>26</v>
      </c>
      <c r="K319" s="1">
        <v>143.13</v>
      </c>
      <c r="L319" s="3">
        <v>45756</v>
      </c>
    </row>
    <row r="320" spans="1:12" x14ac:dyDescent="0.25">
      <c r="A320" s="1">
        <v>100022</v>
      </c>
      <c r="B320" s="2" t="s">
        <v>151</v>
      </c>
      <c r="C320" s="2" t="s">
        <v>152</v>
      </c>
      <c r="D320" s="2" t="s">
        <v>16</v>
      </c>
      <c r="E320" s="2" t="s">
        <v>55</v>
      </c>
      <c r="F320" s="2" t="s">
        <v>18</v>
      </c>
      <c r="G320" s="1">
        <v>0</v>
      </c>
      <c r="H320" s="1">
        <v>534</v>
      </c>
      <c r="I320" s="2" t="s">
        <v>45</v>
      </c>
      <c r="J320" s="2" t="s">
        <v>33</v>
      </c>
      <c r="K320" s="1">
        <v>116.31</v>
      </c>
      <c r="L320" s="3">
        <v>45756</v>
      </c>
    </row>
    <row r="321" spans="1:12" x14ac:dyDescent="0.25">
      <c r="A321" s="1">
        <v>101035</v>
      </c>
      <c r="B321" s="2" t="s">
        <v>99</v>
      </c>
      <c r="C321" s="2" t="s">
        <v>100</v>
      </c>
      <c r="D321" s="2" t="s">
        <v>64</v>
      </c>
      <c r="E321" s="2" t="s">
        <v>31</v>
      </c>
      <c r="F321" s="2" t="s">
        <v>18</v>
      </c>
      <c r="G321" s="1">
        <v>0</v>
      </c>
      <c r="H321" s="1">
        <v>414</v>
      </c>
      <c r="I321" s="2" t="s">
        <v>32</v>
      </c>
      <c r="J321" s="2" t="s">
        <v>33</v>
      </c>
      <c r="K321" s="1">
        <v>53.17</v>
      </c>
      <c r="L321" s="3">
        <v>45756</v>
      </c>
    </row>
    <row r="322" spans="1:12" x14ac:dyDescent="0.25">
      <c r="A322" s="1">
        <v>100836</v>
      </c>
      <c r="B322" s="2" t="s">
        <v>269</v>
      </c>
      <c r="C322" s="2" t="s">
        <v>270</v>
      </c>
      <c r="D322" s="2" t="s">
        <v>106</v>
      </c>
      <c r="E322" s="2" t="s">
        <v>60</v>
      </c>
      <c r="F322" s="2" t="s">
        <v>18</v>
      </c>
      <c r="G322" s="1">
        <v>0</v>
      </c>
      <c r="H322" s="1">
        <v>515</v>
      </c>
      <c r="I322" s="2" t="s">
        <v>37</v>
      </c>
      <c r="J322" s="2" t="s">
        <v>26</v>
      </c>
      <c r="K322" s="1">
        <v>521.98</v>
      </c>
      <c r="L322" s="3">
        <v>45755</v>
      </c>
    </row>
    <row r="323" spans="1:12" x14ac:dyDescent="0.25">
      <c r="A323" s="1">
        <v>101320</v>
      </c>
      <c r="B323" s="2" t="s">
        <v>1036</v>
      </c>
      <c r="C323" s="2" t="s">
        <v>149</v>
      </c>
      <c r="D323" s="2" t="s">
        <v>41</v>
      </c>
      <c r="E323" s="2" t="s">
        <v>60</v>
      </c>
      <c r="F323" s="2" t="s">
        <v>83</v>
      </c>
      <c r="G323" s="1">
        <v>0</v>
      </c>
      <c r="H323" s="1">
        <v>358</v>
      </c>
      <c r="I323" s="2" t="s">
        <v>37</v>
      </c>
      <c r="J323" s="2" t="s">
        <v>26</v>
      </c>
      <c r="K323" s="1">
        <v>101.05</v>
      </c>
      <c r="L323" s="3">
        <v>45755</v>
      </c>
    </row>
    <row r="324" spans="1:12" x14ac:dyDescent="0.25">
      <c r="A324" s="1">
        <v>100168</v>
      </c>
      <c r="B324" s="2" t="s">
        <v>236</v>
      </c>
      <c r="C324" s="2" t="s">
        <v>47</v>
      </c>
      <c r="D324" s="2" t="s">
        <v>41</v>
      </c>
      <c r="E324" s="2" t="s">
        <v>17</v>
      </c>
      <c r="F324" s="2" t="s">
        <v>18</v>
      </c>
      <c r="G324" s="1">
        <v>0</v>
      </c>
      <c r="H324" s="1">
        <v>797</v>
      </c>
      <c r="I324" s="2" t="s">
        <v>56</v>
      </c>
      <c r="J324" s="2" t="s">
        <v>33</v>
      </c>
      <c r="K324" s="1">
        <v>896.44</v>
      </c>
      <c r="L324" s="3">
        <v>45754</v>
      </c>
    </row>
    <row r="325" spans="1:12" x14ac:dyDescent="0.25">
      <c r="A325" s="1">
        <v>101621</v>
      </c>
      <c r="B325" s="2" t="s">
        <v>820</v>
      </c>
      <c r="C325" s="2" t="s">
        <v>22</v>
      </c>
      <c r="D325" s="2" t="s">
        <v>41</v>
      </c>
      <c r="E325" s="2" t="s">
        <v>17</v>
      </c>
      <c r="F325" s="2" t="s">
        <v>25</v>
      </c>
      <c r="G325" s="1">
        <v>8</v>
      </c>
      <c r="H325" s="1">
        <v>621</v>
      </c>
      <c r="I325" s="2" t="s">
        <v>56</v>
      </c>
      <c r="J325" s="2" t="s">
        <v>33</v>
      </c>
      <c r="K325" s="1">
        <v>766.07</v>
      </c>
      <c r="L325" s="3">
        <v>45754</v>
      </c>
    </row>
    <row r="326" spans="1:12" x14ac:dyDescent="0.25">
      <c r="A326" s="1">
        <v>100467</v>
      </c>
      <c r="B326" s="2" t="s">
        <v>390</v>
      </c>
      <c r="C326" s="2" t="s">
        <v>110</v>
      </c>
      <c r="D326" s="2" t="s">
        <v>64</v>
      </c>
      <c r="E326" s="2" t="s">
        <v>60</v>
      </c>
      <c r="F326" s="2" t="s">
        <v>18</v>
      </c>
      <c r="G326" s="1">
        <v>0</v>
      </c>
      <c r="H326" s="1">
        <v>773</v>
      </c>
      <c r="I326" s="2" t="s">
        <v>19</v>
      </c>
      <c r="J326" s="2" t="s">
        <v>26</v>
      </c>
      <c r="K326" s="1">
        <v>605.71</v>
      </c>
      <c r="L326" s="3">
        <v>45754</v>
      </c>
    </row>
    <row r="327" spans="1:12" x14ac:dyDescent="0.25">
      <c r="A327" s="1">
        <v>100815</v>
      </c>
      <c r="B327" s="2" t="s">
        <v>875</v>
      </c>
      <c r="C327" s="2" t="s">
        <v>35</v>
      </c>
      <c r="D327" s="2" t="s">
        <v>106</v>
      </c>
      <c r="E327" s="2" t="s">
        <v>17</v>
      </c>
      <c r="F327" s="2" t="s">
        <v>18</v>
      </c>
      <c r="G327" s="1">
        <v>0</v>
      </c>
      <c r="H327" s="1">
        <v>678</v>
      </c>
      <c r="I327" s="2" t="s">
        <v>37</v>
      </c>
      <c r="J327" s="2" t="s">
        <v>35</v>
      </c>
      <c r="K327" s="1">
        <v>471.78</v>
      </c>
      <c r="L327" s="3">
        <v>45754</v>
      </c>
    </row>
    <row r="328" spans="1:12" x14ac:dyDescent="0.25">
      <c r="A328" s="1">
        <v>101427</v>
      </c>
      <c r="B328" s="2" t="s">
        <v>953</v>
      </c>
      <c r="C328" s="2" t="s">
        <v>270</v>
      </c>
      <c r="D328" s="2" t="s">
        <v>64</v>
      </c>
      <c r="E328" s="2" t="s">
        <v>70</v>
      </c>
      <c r="F328" s="2" t="s">
        <v>18</v>
      </c>
      <c r="G328" s="1">
        <v>0</v>
      </c>
      <c r="H328" s="1">
        <v>759</v>
      </c>
      <c r="I328" s="2" t="s">
        <v>32</v>
      </c>
      <c r="J328" s="2" t="s">
        <v>26</v>
      </c>
      <c r="K328" s="1">
        <v>357.52</v>
      </c>
      <c r="L328" s="3">
        <v>45754</v>
      </c>
    </row>
    <row r="329" spans="1:12" x14ac:dyDescent="0.25">
      <c r="A329" s="1">
        <v>100309</v>
      </c>
      <c r="B329" s="2" t="s">
        <v>805</v>
      </c>
      <c r="C329" s="2" t="s">
        <v>62</v>
      </c>
      <c r="D329" s="2" t="s">
        <v>16</v>
      </c>
      <c r="E329" s="2" t="s">
        <v>17</v>
      </c>
      <c r="F329" s="2" t="s">
        <v>18</v>
      </c>
      <c r="G329" s="1">
        <v>0</v>
      </c>
      <c r="H329" s="1">
        <v>352</v>
      </c>
      <c r="I329" s="2" t="s">
        <v>37</v>
      </c>
      <c r="J329" s="2" t="s">
        <v>20</v>
      </c>
      <c r="K329" s="1">
        <v>347.96</v>
      </c>
      <c r="L329" s="3">
        <v>45754</v>
      </c>
    </row>
    <row r="330" spans="1:12" x14ac:dyDescent="0.25">
      <c r="A330" s="1">
        <v>101001</v>
      </c>
      <c r="B330" s="2" t="s">
        <v>57</v>
      </c>
      <c r="C330" s="2" t="s">
        <v>58</v>
      </c>
      <c r="D330" s="2" t="s">
        <v>106</v>
      </c>
      <c r="E330" s="2" t="s">
        <v>17</v>
      </c>
      <c r="F330" s="2" t="s">
        <v>83</v>
      </c>
      <c r="G330" s="1">
        <v>0</v>
      </c>
      <c r="H330" s="1">
        <v>798</v>
      </c>
      <c r="I330" s="2" t="s">
        <v>37</v>
      </c>
      <c r="J330" s="2" t="s">
        <v>20</v>
      </c>
      <c r="K330" s="1">
        <v>241.1</v>
      </c>
      <c r="L330" s="3">
        <v>45754</v>
      </c>
    </row>
    <row r="331" spans="1:12" x14ac:dyDescent="0.25">
      <c r="A331" s="1">
        <v>101773</v>
      </c>
      <c r="B331" s="2" t="s">
        <v>779</v>
      </c>
      <c r="C331" s="2" t="s">
        <v>39</v>
      </c>
      <c r="D331" s="2" t="s">
        <v>50</v>
      </c>
      <c r="E331" s="2" t="s">
        <v>60</v>
      </c>
      <c r="F331" s="2" t="s">
        <v>18</v>
      </c>
      <c r="G331" s="1">
        <v>0</v>
      </c>
      <c r="H331" s="1">
        <v>402</v>
      </c>
      <c r="I331" s="2" t="s">
        <v>56</v>
      </c>
      <c r="J331" s="2" t="s">
        <v>33</v>
      </c>
      <c r="K331" s="1">
        <v>53.07</v>
      </c>
      <c r="L331" s="3">
        <v>45754</v>
      </c>
    </row>
    <row r="332" spans="1:12" x14ac:dyDescent="0.25">
      <c r="A332" s="1">
        <v>100524</v>
      </c>
      <c r="B332" s="2" t="s">
        <v>38</v>
      </c>
      <c r="C332" s="2" t="s">
        <v>39</v>
      </c>
      <c r="D332" s="2" t="s">
        <v>16</v>
      </c>
      <c r="E332" s="2" t="s">
        <v>17</v>
      </c>
      <c r="F332" s="2" t="s">
        <v>18</v>
      </c>
      <c r="G332" s="1">
        <v>0</v>
      </c>
      <c r="H332" s="1">
        <v>533</v>
      </c>
      <c r="I332" s="2" t="s">
        <v>45</v>
      </c>
      <c r="J332" s="2" t="s">
        <v>20</v>
      </c>
      <c r="K332" s="1">
        <v>892.39</v>
      </c>
      <c r="L332" s="3">
        <v>45753</v>
      </c>
    </row>
    <row r="333" spans="1:12" x14ac:dyDescent="0.25">
      <c r="A333" s="1">
        <v>101111</v>
      </c>
      <c r="B333" s="2" t="s">
        <v>750</v>
      </c>
      <c r="C333" s="2" t="s">
        <v>52</v>
      </c>
      <c r="D333" s="2" t="s">
        <v>16</v>
      </c>
      <c r="E333" s="2" t="s">
        <v>78</v>
      </c>
      <c r="F333" s="2" t="s">
        <v>25</v>
      </c>
      <c r="G333" s="1">
        <v>1</v>
      </c>
      <c r="H333" s="1">
        <v>856</v>
      </c>
      <c r="I333" s="2" t="s">
        <v>32</v>
      </c>
      <c r="J333" s="2" t="s">
        <v>20</v>
      </c>
      <c r="K333" s="1">
        <v>479.6</v>
      </c>
      <c r="L333" s="3">
        <v>45753</v>
      </c>
    </row>
    <row r="334" spans="1:12" x14ac:dyDescent="0.25">
      <c r="A334" s="1">
        <v>101350</v>
      </c>
      <c r="B334" s="2" t="s">
        <v>493</v>
      </c>
      <c r="C334" s="2" t="s">
        <v>152</v>
      </c>
      <c r="D334" s="2" t="s">
        <v>64</v>
      </c>
      <c r="E334" s="2" t="s">
        <v>81</v>
      </c>
      <c r="F334" s="2" t="s">
        <v>25</v>
      </c>
      <c r="G334" s="1">
        <v>24</v>
      </c>
      <c r="H334" s="1">
        <v>737</v>
      </c>
      <c r="I334" s="2" t="s">
        <v>56</v>
      </c>
      <c r="J334" s="2" t="s">
        <v>26</v>
      </c>
      <c r="K334" s="1">
        <v>426.91</v>
      </c>
      <c r="L334" s="3">
        <v>45753</v>
      </c>
    </row>
    <row r="335" spans="1:12" x14ac:dyDescent="0.25">
      <c r="A335" s="1">
        <v>100014</v>
      </c>
      <c r="B335" s="2" t="s">
        <v>282</v>
      </c>
      <c r="C335" s="2" t="s">
        <v>152</v>
      </c>
      <c r="D335" s="2" t="s">
        <v>16</v>
      </c>
      <c r="E335" s="2" t="s">
        <v>60</v>
      </c>
      <c r="F335" s="2" t="s">
        <v>83</v>
      </c>
      <c r="G335" s="1">
        <v>0</v>
      </c>
      <c r="H335" s="1">
        <v>301</v>
      </c>
      <c r="I335" s="2" t="s">
        <v>56</v>
      </c>
      <c r="J335" s="2" t="s">
        <v>26</v>
      </c>
      <c r="K335" s="1">
        <v>283.48</v>
      </c>
      <c r="L335" s="3">
        <v>45753</v>
      </c>
    </row>
    <row r="336" spans="1:12" x14ac:dyDescent="0.25">
      <c r="A336" s="1">
        <v>101500</v>
      </c>
      <c r="B336" s="2" t="s">
        <v>396</v>
      </c>
      <c r="C336" s="2" t="s">
        <v>103</v>
      </c>
      <c r="D336" s="2" t="s">
        <v>16</v>
      </c>
      <c r="E336" s="2" t="s">
        <v>55</v>
      </c>
      <c r="F336" s="2" t="s">
        <v>83</v>
      </c>
      <c r="G336" s="1">
        <v>0</v>
      </c>
      <c r="H336" s="1">
        <v>437</v>
      </c>
      <c r="I336" s="2" t="s">
        <v>19</v>
      </c>
      <c r="J336" s="2" t="s">
        <v>20</v>
      </c>
      <c r="K336" s="1">
        <v>424.97</v>
      </c>
      <c r="L336" s="3">
        <v>45752</v>
      </c>
    </row>
    <row r="337" spans="1:12" x14ac:dyDescent="0.25">
      <c r="A337" s="1">
        <v>100096</v>
      </c>
      <c r="B337" s="2" t="s">
        <v>21</v>
      </c>
      <c r="C337" s="2" t="s">
        <v>22</v>
      </c>
      <c r="D337" s="2" t="s">
        <v>64</v>
      </c>
      <c r="E337" s="2" t="s">
        <v>60</v>
      </c>
      <c r="F337" s="2" t="s">
        <v>83</v>
      </c>
      <c r="G337" s="1">
        <v>0</v>
      </c>
      <c r="H337" s="1">
        <v>771</v>
      </c>
      <c r="I337" s="2" t="s">
        <v>32</v>
      </c>
      <c r="J337" s="2" t="s">
        <v>20</v>
      </c>
      <c r="K337" s="1">
        <v>189.16</v>
      </c>
      <c r="L337" s="3">
        <v>45752</v>
      </c>
    </row>
    <row r="338" spans="1:12" x14ac:dyDescent="0.25">
      <c r="A338" s="1">
        <v>101198</v>
      </c>
      <c r="B338" s="2" t="s">
        <v>360</v>
      </c>
      <c r="C338" s="2" t="s">
        <v>149</v>
      </c>
      <c r="D338" s="2" t="s">
        <v>106</v>
      </c>
      <c r="E338" s="2" t="s">
        <v>31</v>
      </c>
      <c r="F338" s="2" t="s">
        <v>83</v>
      </c>
      <c r="G338" s="1">
        <v>0</v>
      </c>
      <c r="H338" s="1">
        <v>621</v>
      </c>
      <c r="I338" s="2" t="s">
        <v>19</v>
      </c>
      <c r="J338" s="2" t="s">
        <v>26</v>
      </c>
      <c r="K338" s="1">
        <v>72.25</v>
      </c>
      <c r="L338" s="3">
        <v>45752</v>
      </c>
    </row>
    <row r="339" spans="1:12" x14ac:dyDescent="0.25">
      <c r="A339" s="1">
        <v>101424</v>
      </c>
      <c r="B339" s="2" t="s">
        <v>1022</v>
      </c>
      <c r="C339" s="2" t="s">
        <v>270</v>
      </c>
      <c r="D339" s="2" t="s">
        <v>41</v>
      </c>
      <c r="E339" s="2" t="s">
        <v>78</v>
      </c>
      <c r="F339" s="2" t="s">
        <v>18</v>
      </c>
      <c r="G339" s="1">
        <v>0</v>
      </c>
      <c r="H339" s="1">
        <v>383</v>
      </c>
      <c r="I339" s="2" t="s">
        <v>37</v>
      </c>
      <c r="J339" s="2" t="s">
        <v>20</v>
      </c>
      <c r="K339" s="1">
        <v>441.21</v>
      </c>
      <c r="L339" s="3">
        <v>45751</v>
      </c>
    </row>
    <row r="340" spans="1:12" x14ac:dyDescent="0.25">
      <c r="A340" s="1">
        <v>100923</v>
      </c>
      <c r="B340" s="2" t="s">
        <v>215</v>
      </c>
      <c r="C340" s="2" t="s">
        <v>126</v>
      </c>
      <c r="D340" s="2" t="s">
        <v>41</v>
      </c>
      <c r="E340" s="2" t="s">
        <v>55</v>
      </c>
      <c r="F340" s="2" t="s">
        <v>18</v>
      </c>
      <c r="G340" s="1">
        <v>0</v>
      </c>
      <c r="H340" s="1">
        <v>395</v>
      </c>
      <c r="I340" s="2" t="s">
        <v>32</v>
      </c>
      <c r="J340" s="2" t="s">
        <v>26</v>
      </c>
      <c r="K340" s="1">
        <v>260.20999999999998</v>
      </c>
      <c r="L340" s="3">
        <v>45751</v>
      </c>
    </row>
    <row r="341" spans="1:12" x14ac:dyDescent="0.25">
      <c r="A341" s="1">
        <v>101683</v>
      </c>
      <c r="B341" s="2" t="s">
        <v>27</v>
      </c>
      <c r="C341" s="2" t="s">
        <v>28</v>
      </c>
      <c r="D341" s="2" t="s">
        <v>50</v>
      </c>
      <c r="E341" s="2" t="s">
        <v>78</v>
      </c>
      <c r="F341" s="2" t="s">
        <v>25</v>
      </c>
      <c r="G341" s="1">
        <v>11</v>
      </c>
      <c r="H341" s="1">
        <v>849</v>
      </c>
      <c r="I341" s="2" t="s">
        <v>56</v>
      </c>
      <c r="J341" s="2" t="s">
        <v>26</v>
      </c>
      <c r="K341" s="1">
        <v>459.03</v>
      </c>
      <c r="L341" s="3">
        <v>45750</v>
      </c>
    </row>
    <row r="342" spans="1:12" x14ac:dyDescent="0.25">
      <c r="A342" s="1">
        <v>100198</v>
      </c>
      <c r="B342" s="2" t="s">
        <v>1451</v>
      </c>
      <c r="C342" s="2" t="s">
        <v>52</v>
      </c>
      <c r="D342" s="2" t="s">
        <v>64</v>
      </c>
      <c r="E342" s="2" t="s">
        <v>55</v>
      </c>
      <c r="F342" s="2" t="s">
        <v>83</v>
      </c>
      <c r="G342" s="1">
        <v>0</v>
      </c>
      <c r="H342" s="1">
        <v>362</v>
      </c>
      <c r="I342" s="2" t="s">
        <v>56</v>
      </c>
      <c r="J342" s="2" t="s">
        <v>20</v>
      </c>
      <c r="K342" s="1">
        <v>448.13</v>
      </c>
      <c r="L342" s="3">
        <v>45750</v>
      </c>
    </row>
    <row r="343" spans="1:12" x14ac:dyDescent="0.25">
      <c r="A343" s="1">
        <v>101942</v>
      </c>
      <c r="B343" s="2" t="s">
        <v>451</v>
      </c>
      <c r="C343" s="2" t="s">
        <v>103</v>
      </c>
      <c r="D343" s="2" t="s">
        <v>41</v>
      </c>
      <c r="E343" s="2" t="s">
        <v>17</v>
      </c>
      <c r="F343" s="2" t="s">
        <v>18</v>
      </c>
      <c r="G343" s="1" t="s">
        <v>35</v>
      </c>
      <c r="H343" s="1">
        <v>418</v>
      </c>
      <c r="I343" s="2" t="s">
        <v>32</v>
      </c>
      <c r="J343" s="2" t="s">
        <v>20</v>
      </c>
      <c r="K343" s="1">
        <v>321.22000000000003</v>
      </c>
      <c r="L343" s="3">
        <v>45750</v>
      </c>
    </row>
    <row r="344" spans="1:12" x14ac:dyDescent="0.25">
      <c r="A344" s="1">
        <v>101659</v>
      </c>
      <c r="B344" s="2" t="s">
        <v>294</v>
      </c>
      <c r="C344" s="2" t="s">
        <v>100</v>
      </c>
      <c r="D344" s="2" t="s">
        <v>64</v>
      </c>
      <c r="E344" s="2" t="s">
        <v>81</v>
      </c>
      <c r="F344" s="2" t="s">
        <v>83</v>
      </c>
      <c r="G344" s="1">
        <v>0</v>
      </c>
      <c r="H344" s="1">
        <v>377</v>
      </c>
      <c r="I344" s="2" t="s">
        <v>37</v>
      </c>
      <c r="J344" s="2" t="s">
        <v>26</v>
      </c>
      <c r="K344" s="1">
        <v>306.72000000000003</v>
      </c>
      <c r="L344" s="3">
        <v>45750</v>
      </c>
    </row>
    <row r="345" spans="1:12" x14ac:dyDescent="0.25">
      <c r="A345" s="1">
        <v>101106</v>
      </c>
      <c r="B345" s="2" t="s">
        <v>1042</v>
      </c>
      <c r="C345" s="2" t="s">
        <v>58</v>
      </c>
      <c r="D345" s="2" t="s">
        <v>106</v>
      </c>
      <c r="E345" s="2" t="s">
        <v>55</v>
      </c>
      <c r="F345" s="2" t="s">
        <v>25</v>
      </c>
      <c r="G345" s="1">
        <v>25</v>
      </c>
      <c r="H345" s="1">
        <v>578</v>
      </c>
      <c r="I345" s="2" t="s">
        <v>37</v>
      </c>
      <c r="J345" s="2" t="s">
        <v>26</v>
      </c>
      <c r="K345" s="1">
        <v>204.24</v>
      </c>
      <c r="L345" s="3">
        <v>45750</v>
      </c>
    </row>
    <row r="346" spans="1:12" x14ac:dyDescent="0.25">
      <c r="A346" s="1">
        <v>101069</v>
      </c>
      <c r="B346" s="2" t="s">
        <v>682</v>
      </c>
      <c r="C346" s="2" t="s">
        <v>152</v>
      </c>
      <c r="D346" s="2" t="s">
        <v>106</v>
      </c>
      <c r="E346" s="2" t="s">
        <v>81</v>
      </c>
      <c r="F346" s="2" t="s">
        <v>18</v>
      </c>
      <c r="G346" s="1">
        <v>0</v>
      </c>
      <c r="H346" s="1">
        <v>863</v>
      </c>
      <c r="I346" s="2" t="s">
        <v>45</v>
      </c>
      <c r="J346" s="2" t="s">
        <v>20</v>
      </c>
      <c r="K346" s="1">
        <v>119.6</v>
      </c>
      <c r="L346" s="3">
        <v>45750</v>
      </c>
    </row>
    <row r="347" spans="1:12" x14ac:dyDescent="0.25">
      <c r="A347" s="1">
        <v>100543</v>
      </c>
      <c r="B347" s="2" t="s">
        <v>525</v>
      </c>
      <c r="C347" s="2" t="s">
        <v>58</v>
      </c>
      <c r="D347" s="2" t="s">
        <v>50</v>
      </c>
      <c r="E347" s="2" t="s">
        <v>60</v>
      </c>
      <c r="F347" s="2" t="s">
        <v>42</v>
      </c>
      <c r="G347" s="1">
        <v>62</v>
      </c>
      <c r="H347" s="1">
        <v>501</v>
      </c>
      <c r="I347" s="2" t="s">
        <v>19</v>
      </c>
      <c r="J347" s="2" t="s">
        <v>20</v>
      </c>
      <c r="K347" s="1">
        <v>192.95</v>
      </c>
      <c r="L347" s="3">
        <v>45749</v>
      </c>
    </row>
    <row r="348" spans="1:12" x14ac:dyDescent="0.25">
      <c r="A348" s="1">
        <v>100005</v>
      </c>
      <c r="B348" s="2" t="s">
        <v>170</v>
      </c>
      <c r="C348" s="2" t="s">
        <v>85</v>
      </c>
      <c r="D348" s="2" t="s">
        <v>106</v>
      </c>
      <c r="E348" s="2" t="s">
        <v>70</v>
      </c>
      <c r="F348" s="2" t="s">
        <v>18</v>
      </c>
      <c r="G348" s="1">
        <v>0</v>
      </c>
      <c r="H348" s="1">
        <v>869</v>
      </c>
      <c r="I348" s="2" t="s">
        <v>56</v>
      </c>
      <c r="J348" s="2" t="s">
        <v>26</v>
      </c>
      <c r="K348" s="1">
        <v>893.22</v>
      </c>
      <c r="L348" s="3">
        <v>45748</v>
      </c>
    </row>
    <row r="349" spans="1:12" x14ac:dyDescent="0.25">
      <c r="A349" s="1">
        <v>101991</v>
      </c>
      <c r="B349" s="2" t="s">
        <v>21</v>
      </c>
      <c r="C349" s="2" t="s">
        <v>22</v>
      </c>
      <c r="D349" s="2" t="s">
        <v>50</v>
      </c>
      <c r="E349" s="2" t="s">
        <v>70</v>
      </c>
      <c r="F349" s="2" t="s">
        <v>18</v>
      </c>
      <c r="G349" s="1">
        <v>0</v>
      </c>
      <c r="H349" s="1">
        <v>771</v>
      </c>
      <c r="I349" s="2" t="s">
        <v>19</v>
      </c>
      <c r="J349" s="2" t="s">
        <v>26</v>
      </c>
      <c r="K349" s="1">
        <v>673.18</v>
      </c>
      <c r="L349" s="3">
        <v>45748</v>
      </c>
    </row>
    <row r="350" spans="1:12" x14ac:dyDescent="0.25">
      <c r="A350" s="1">
        <v>101479</v>
      </c>
      <c r="B350" s="2" t="s">
        <v>325</v>
      </c>
      <c r="C350" s="2" t="s">
        <v>126</v>
      </c>
      <c r="D350" s="2" t="s">
        <v>50</v>
      </c>
      <c r="E350" s="2" t="s">
        <v>17</v>
      </c>
      <c r="F350" s="2" t="s">
        <v>83</v>
      </c>
      <c r="G350" s="1">
        <v>0</v>
      </c>
      <c r="H350" s="1">
        <v>570</v>
      </c>
      <c r="I350" s="2" t="s">
        <v>37</v>
      </c>
      <c r="J350" s="2" t="s">
        <v>33</v>
      </c>
      <c r="K350" s="1">
        <v>593.01</v>
      </c>
      <c r="L350" s="3">
        <v>45748</v>
      </c>
    </row>
    <row r="351" spans="1:12" x14ac:dyDescent="0.25">
      <c r="A351" s="1">
        <v>100381</v>
      </c>
      <c r="B351" s="2" t="s">
        <v>84</v>
      </c>
      <c r="C351" s="2" t="s">
        <v>85</v>
      </c>
      <c r="D351" s="2" t="s">
        <v>16</v>
      </c>
      <c r="E351" s="2" t="s">
        <v>17</v>
      </c>
      <c r="F351" s="2" t="s">
        <v>18</v>
      </c>
      <c r="G351" s="1">
        <v>0</v>
      </c>
      <c r="H351" s="1">
        <v>400</v>
      </c>
      <c r="I351" s="2" t="s">
        <v>45</v>
      </c>
      <c r="J351" s="2" t="s">
        <v>26</v>
      </c>
      <c r="K351" s="1">
        <v>301.73</v>
      </c>
      <c r="L351" s="3">
        <v>45748</v>
      </c>
    </row>
    <row r="352" spans="1:12" x14ac:dyDescent="0.25">
      <c r="A352" s="1">
        <v>100312</v>
      </c>
      <c r="B352" s="2" t="s">
        <v>621</v>
      </c>
      <c r="C352" s="2" t="s">
        <v>72</v>
      </c>
      <c r="D352" s="2" t="s">
        <v>64</v>
      </c>
      <c r="E352" s="2" t="s">
        <v>17</v>
      </c>
      <c r="F352" s="2" t="s">
        <v>18</v>
      </c>
      <c r="G352" s="1">
        <v>0</v>
      </c>
      <c r="H352" s="1">
        <v>377</v>
      </c>
      <c r="I352" s="2" t="s">
        <v>45</v>
      </c>
      <c r="J352" s="2" t="s">
        <v>20</v>
      </c>
      <c r="K352" s="1">
        <v>199.84</v>
      </c>
      <c r="L352" s="3">
        <v>45748</v>
      </c>
    </row>
    <row r="353" spans="1:12" x14ac:dyDescent="0.25">
      <c r="A353" s="1">
        <v>100375</v>
      </c>
      <c r="B353" s="2" t="s">
        <v>621</v>
      </c>
      <c r="C353" s="2" t="s">
        <v>72</v>
      </c>
      <c r="D353" s="2" t="s">
        <v>106</v>
      </c>
      <c r="E353" s="2" t="s">
        <v>31</v>
      </c>
      <c r="F353" s="2" t="s">
        <v>83</v>
      </c>
      <c r="G353" s="1">
        <v>0</v>
      </c>
      <c r="H353" s="1">
        <v>377</v>
      </c>
      <c r="I353" s="2" t="s">
        <v>32</v>
      </c>
      <c r="J353" s="2" t="s">
        <v>20</v>
      </c>
      <c r="K353" s="1">
        <v>1026.67</v>
      </c>
      <c r="L353" s="3">
        <v>45747</v>
      </c>
    </row>
    <row r="354" spans="1:12" x14ac:dyDescent="0.25">
      <c r="A354" s="1">
        <v>101245</v>
      </c>
      <c r="B354" s="2" t="s">
        <v>307</v>
      </c>
      <c r="C354" s="2" t="s">
        <v>58</v>
      </c>
      <c r="D354" s="2" t="s">
        <v>64</v>
      </c>
      <c r="E354" s="2" t="s">
        <v>31</v>
      </c>
      <c r="F354" s="2" t="s">
        <v>18</v>
      </c>
      <c r="G354" s="1">
        <v>0</v>
      </c>
      <c r="H354" s="1">
        <v>616</v>
      </c>
      <c r="I354" s="2" t="s">
        <v>45</v>
      </c>
      <c r="J354" s="2" t="s">
        <v>20</v>
      </c>
      <c r="K354" s="1">
        <v>649.66999999999996</v>
      </c>
      <c r="L354" s="3">
        <v>45747</v>
      </c>
    </row>
    <row r="355" spans="1:12" x14ac:dyDescent="0.25">
      <c r="A355" s="1">
        <v>101977</v>
      </c>
      <c r="B355" s="2" t="s">
        <v>299</v>
      </c>
      <c r="C355" s="2" t="s">
        <v>22</v>
      </c>
      <c r="D355" s="2" t="s">
        <v>41</v>
      </c>
      <c r="E355" s="2" t="s">
        <v>81</v>
      </c>
      <c r="F355" s="2" t="s">
        <v>18</v>
      </c>
      <c r="G355" s="1">
        <v>0</v>
      </c>
      <c r="H355" s="1">
        <v>855</v>
      </c>
      <c r="I355" s="2" t="s">
        <v>35</v>
      </c>
      <c r="J355" s="2" t="s">
        <v>20</v>
      </c>
      <c r="K355" s="1">
        <v>395.54</v>
      </c>
      <c r="L355" s="3">
        <v>45747</v>
      </c>
    </row>
    <row r="356" spans="1:12" x14ac:dyDescent="0.25">
      <c r="A356" s="1">
        <v>101878</v>
      </c>
      <c r="B356" s="2" t="s">
        <v>581</v>
      </c>
      <c r="C356" s="2" t="s">
        <v>103</v>
      </c>
      <c r="D356" s="2" t="s">
        <v>41</v>
      </c>
      <c r="E356" s="2" t="s">
        <v>55</v>
      </c>
      <c r="F356" s="2" t="s">
        <v>42</v>
      </c>
      <c r="G356" s="1">
        <v>91</v>
      </c>
      <c r="H356" s="1">
        <v>435</v>
      </c>
      <c r="I356" s="2" t="s">
        <v>32</v>
      </c>
      <c r="J356" s="2" t="s">
        <v>33</v>
      </c>
      <c r="K356" s="1">
        <v>215.52</v>
      </c>
      <c r="L356" s="3">
        <v>45747</v>
      </c>
    </row>
    <row r="357" spans="1:12" x14ac:dyDescent="0.25">
      <c r="A357" s="1">
        <v>101983</v>
      </c>
      <c r="B357" s="2" t="s">
        <v>238</v>
      </c>
      <c r="C357" s="2" t="s">
        <v>47</v>
      </c>
      <c r="D357" s="2" t="s">
        <v>16</v>
      </c>
      <c r="E357" s="2" t="s">
        <v>70</v>
      </c>
      <c r="F357" s="2" t="s">
        <v>83</v>
      </c>
      <c r="G357" s="1">
        <v>0</v>
      </c>
      <c r="H357" s="1">
        <v>497</v>
      </c>
      <c r="I357" s="2" t="s">
        <v>56</v>
      </c>
      <c r="J357" s="2" t="s">
        <v>20</v>
      </c>
      <c r="K357" s="1">
        <v>172.72</v>
      </c>
      <c r="L357" s="3">
        <v>45747</v>
      </c>
    </row>
    <row r="358" spans="1:12" x14ac:dyDescent="0.25">
      <c r="A358" s="1">
        <v>101483</v>
      </c>
      <c r="B358" s="2" t="s">
        <v>812</v>
      </c>
      <c r="C358" s="2" t="s">
        <v>134</v>
      </c>
      <c r="D358" s="2" t="s">
        <v>50</v>
      </c>
      <c r="E358" s="2" t="s">
        <v>60</v>
      </c>
      <c r="F358" s="2" t="s">
        <v>42</v>
      </c>
      <c r="G358" s="1">
        <v>158</v>
      </c>
      <c r="H358" s="1">
        <v>567</v>
      </c>
      <c r="I358" s="2" t="s">
        <v>32</v>
      </c>
      <c r="J358" s="2" t="s">
        <v>33</v>
      </c>
      <c r="K358" s="1">
        <v>152.58000000000001</v>
      </c>
      <c r="L358" s="3">
        <v>45747</v>
      </c>
    </row>
    <row r="359" spans="1:12" x14ac:dyDescent="0.25">
      <c r="A359" s="1">
        <v>100652</v>
      </c>
      <c r="B359" s="2" t="s">
        <v>360</v>
      </c>
      <c r="C359" s="2" t="s">
        <v>149</v>
      </c>
      <c r="D359" s="2" t="s">
        <v>16</v>
      </c>
      <c r="E359" s="2" t="s">
        <v>17</v>
      </c>
      <c r="F359" s="2" t="s">
        <v>18</v>
      </c>
      <c r="G359" s="1">
        <v>0</v>
      </c>
      <c r="H359" s="1">
        <v>621</v>
      </c>
      <c r="I359" s="2" t="s">
        <v>32</v>
      </c>
      <c r="J359" s="2" t="s">
        <v>20</v>
      </c>
      <c r="K359" s="1">
        <v>115.49</v>
      </c>
      <c r="L359" s="3">
        <v>45747</v>
      </c>
    </row>
    <row r="360" spans="1:12" x14ac:dyDescent="0.25">
      <c r="A360" s="1">
        <v>101905</v>
      </c>
      <c r="B360" s="2" t="s">
        <v>798</v>
      </c>
      <c r="C360" s="2" t="s">
        <v>149</v>
      </c>
      <c r="D360" s="2" t="s">
        <v>41</v>
      </c>
      <c r="E360" s="2" t="s">
        <v>81</v>
      </c>
      <c r="F360" s="2" t="s">
        <v>25</v>
      </c>
      <c r="G360" s="1">
        <v>6</v>
      </c>
      <c r="H360" s="1">
        <v>555</v>
      </c>
      <c r="I360" s="2" t="s">
        <v>56</v>
      </c>
      <c r="J360" s="2" t="s">
        <v>20</v>
      </c>
      <c r="K360" s="1">
        <v>108.32</v>
      </c>
      <c r="L360" s="3">
        <v>45747</v>
      </c>
    </row>
    <row r="361" spans="1:12" x14ac:dyDescent="0.25">
      <c r="A361" s="1">
        <v>102127</v>
      </c>
      <c r="B361" s="2" t="s">
        <v>297</v>
      </c>
      <c r="C361" s="2" t="s">
        <v>72</v>
      </c>
      <c r="D361" s="2" t="s">
        <v>106</v>
      </c>
      <c r="E361" s="2" t="s">
        <v>31</v>
      </c>
      <c r="F361" s="2" t="s">
        <v>18</v>
      </c>
      <c r="G361" s="1">
        <v>0</v>
      </c>
      <c r="H361" s="1">
        <v>878</v>
      </c>
      <c r="I361" s="2" t="s">
        <v>45</v>
      </c>
      <c r="J361" s="2" t="s">
        <v>20</v>
      </c>
      <c r="K361" s="1">
        <v>741.53</v>
      </c>
      <c r="L361" s="3">
        <v>45746</v>
      </c>
    </row>
    <row r="362" spans="1:12" x14ac:dyDescent="0.25">
      <c r="A362" s="1">
        <v>100577</v>
      </c>
      <c r="B362" s="2" t="s">
        <v>515</v>
      </c>
      <c r="C362" s="2" t="s">
        <v>22</v>
      </c>
      <c r="D362" s="2" t="s">
        <v>50</v>
      </c>
      <c r="E362" s="2" t="s">
        <v>70</v>
      </c>
      <c r="F362" s="2" t="s">
        <v>25</v>
      </c>
      <c r="G362" s="1">
        <v>10</v>
      </c>
      <c r="H362" s="1">
        <v>826</v>
      </c>
      <c r="I362" s="2" t="s">
        <v>32</v>
      </c>
      <c r="J362" s="2" t="s">
        <v>26</v>
      </c>
      <c r="K362" s="1">
        <v>618.54999999999995</v>
      </c>
      <c r="L362" s="3">
        <v>45746</v>
      </c>
    </row>
    <row r="363" spans="1:12" x14ac:dyDescent="0.25">
      <c r="A363" s="1">
        <v>100395</v>
      </c>
      <c r="B363" s="2" t="s">
        <v>43</v>
      </c>
      <c r="C363" s="2" t="s">
        <v>22</v>
      </c>
      <c r="D363" s="2" t="s">
        <v>50</v>
      </c>
      <c r="E363" s="2" t="s">
        <v>81</v>
      </c>
      <c r="F363" s="2" t="s">
        <v>18</v>
      </c>
      <c r="G363" s="1">
        <v>0</v>
      </c>
      <c r="H363" s="1">
        <v>396</v>
      </c>
      <c r="I363" s="2" t="s">
        <v>37</v>
      </c>
      <c r="J363" s="2" t="s">
        <v>26</v>
      </c>
      <c r="K363" s="1">
        <v>471.29</v>
      </c>
      <c r="L363" s="3">
        <v>45746</v>
      </c>
    </row>
    <row r="364" spans="1:12" x14ac:dyDescent="0.25">
      <c r="A364" s="1">
        <v>101821</v>
      </c>
      <c r="B364" s="2" t="s">
        <v>141</v>
      </c>
      <c r="C364" s="2" t="s">
        <v>142</v>
      </c>
      <c r="D364" s="2" t="s">
        <v>106</v>
      </c>
      <c r="E364" s="2" t="s">
        <v>78</v>
      </c>
      <c r="F364" s="2" t="s">
        <v>18</v>
      </c>
      <c r="G364" s="1">
        <v>0</v>
      </c>
      <c r="H364" s="1">
        <v>430</v>
      </c>
      <c r="I364" s="2" t="s">
        <v>19</v>
      </c>
      <c r="J364" s="2" t="s">
        <v>33</v>
      </c>
      <c r="K364" s="1">
        <v>343.44</v>
      </c>
      <c r="L364" s="3">
        <v>45746</v>
      </c>
    </row>
    <row r="365" spans="1:12" x14ac:dyDescent="0.25">
      <c r="A365" s="1">
        <v>100323</v>
      </c>
      <c r="B365" s="2" t="s">
        <v>1535</v>
      </c>
      <c r="C365" s="2" t="s">
        <v>122</v>
      </c>
      <c r="D365" s="2" t="s">
        <v>106</v>
      </c>
      <c r="E365" s="2" t="s">
        <v>17</v>
      </c>
      <c r="F365" s="2" t="s">
        <v>18</v>
      </c>
      <c r="G365" s="1">
        <v>0</v>
      </c>
      <c r="H365" s="1">
        <v>873</v>
      </c>
      <c r="I365" s="2" t="s">
        <v>56</v>
      </c>
      <c r="J365" s="2" t="s">
        <v>20</v>
      </c>
      <c r="K365" s="1">
        <v>299.14999999999998</v>
      </c>
      <c r="L365" s="3">
        <v>45746</v>
      </c>
    </row>
    <row r="366" spans="1:12" x14ac:dyDescent="0.25">
      <c r="A366" s="1">
        <v>101566</v>
      </c>
      <c r="B366" s="2" t="s">
        <v>121</v>
      </c>
      <c r="C366" s="2" t="s">
        <v>122</v>
      </c>
      <c r="D366" s="2" t="s">
        <v>106</v>
      </c>
      <c r="E366" s="2" t="s">
        <v>60</v>
      </c>
      <c r="F366" s="2" t="s">
        <v>18</v>
      </c>
      <c r="G366" s="1">
        <v>0</v>
      </c>
      <c r="H366" s="1">
        <v>823</v>
      </c>
      <c r="I366" s="2" t="s">
        <v>19</v>
      </c>
      <c r="J366" s="2" t="s">
        <v>33</v>
      </c>
      <c r="K366" s="1">
        <v>202.68</v>
      </c>
      <c r="L366" s="3">
        <v>45746</v>
      </c>
    </row>
    <row r="367" spans="1:12" x14ac:dyDescent="0.25">
      <c r="A367" s="1">
        <v>100288</v>
      </c>
      <c r="B367" s="2" t="s">
        <v>251</v>
      </c>
      <c r="C367" s="2" t="s">
        <v>72</v>
      </c>
      <c r="D367" s="2" t="s">
        <v>16</v>
      </c>
      <c r="E367" s="2" t="s">
        <v>78</v>
      </c>
      <c r="F367" s="2" t="s">
        <v>25</v>
      </c>
      <c r="G367" s="1">
        <v>29</v>
      </c>
      <c r="H367" s="1">
        <v>673</v>
      </c>
      <c r="I367" s="2" t="s">
        <v>32</v>
      </c>
      <c r="J367" s="2" t="s">
        <v>33</v>
      </c>
      <c r="K367" s="1">
        <v>602.79999999999995</v>
      </c>
      <c r="L367" s="3">
        <v>45745</v>
      </c>
    </row>
    <row r="368" spans="1:12" x14ac:dyDescent="0.25">
      <c r="A368" s="1">
        <v>101456</v>
      </c>
      <c r="B368" s="2" t="s">
        <v>807</v>
      </c>
      <c r="C368" s="2" t="s">
        <v>85</v>
      </c>
      <c r="D368" s="2" t="s">
        <v>106</v>
      </c>
      <c r="E368" s="2" t="s">
        <v>35</v>
      </c>
      <c r="F368" s="2" t="s">
        <v>42</v>
      </c>
      <c r="G368" s="1">
        <v>84</v>
      </c>
      <c r="H368" s="1">
        <v>443</v>
      </c>
      <c r="I368" s="2" t="s">
        <v>37</v>
      </c>
      <c r="J368" s="2" t="s">
        <v>33</v>
      </c>
      <c r="K368" s="1">
        <v>523.04999999999995</v>
      </c>
      <c r="L368" s="3">
        <v>45745</v>
      </c>
    </row>
    <row r="369" spans="1:12" x14ac:dyDescent="0.25">
      <c r="A369" s="1">
        <v>101336</v>
      </c>
      <c r="B369" s="2" t="s">
        <v>164</v>
      </c>
      <c r="C369" s="2" t="s">
        <v>126</v>
      </c>
      <c r="D369" s="2" t="s">
        <v>64</v>
      </c>
      <c r="E369" s="2" t="s">
        <v>70</v>
      </c>
      <c r="F369" s="2" t="s">
        <v>25</v>
      </c>
      <c r="G369" s="1">
        <v>3</v>
      </c>
      <c r="H369" s="1">
        <v>722</v>
      </c>
      <c r="I369" s="2" t="s">
        <v>56</v>
      </c>
      <c r="J369" s="2" t="s">
        <v>20</v>
      </c>
      <c r="K369" s="1">
        <v>155.33000000000001</v>
      </c>
      <c r="L369" s="3">
        <v>45745</v>
      </c>
    </row>
    <row r="370" spans="1:12" x14ac:dyDescent="0.25">
      <c r="A370" s="1">
        <v>101760</v>
      </c>
      <c r="B370" s="2" t="s">
        <v>807</v>
      </c>
      <c r="C370" s="2" t="s">
        <v>35</v>
      </c>
      <c r="D370" s="2" t="s">
        <v>16</v>
      </c>
      <c r="E370" s="2" t="s">
        <v>17</v>
      </c>
      <c r="F370" s="2" t="s">
        <v>18</v>
      </c>
      <c r="G370" s="1" t="s">
        <v>35</v>
      </c>
      <c r="H370" s="1">
        <v>443</v>
      </c>
      <c r="I370" s="2" t="s">
        <v>37</v>
      </c>
      <c r="J370" s="2" t="s">
        <v>20</v>
      </c>
      <c r="K370" s="1">
        <v>144.88</v>
      </c>
      <c r="L370" s="3">
        <v>45745</v>
      </c>
    </row>
    <row r="371" spans="1:12" x14ac:dyDescent="0.25">
      <c r="A371" s="1">
        <v>100761</v>
      </c>
      <c r="B371" s="2" t="s">
        <v>157</v>
      </c>
      <c r="C371" s="2" t="s">
        <v>103</v>
      </c>
      <c r="D371" s="2" t="s">
        <v>50</v>
      </c>
      <c r="E371" s="2" t="s">
        <v>70</v>
      </c>
      <c r="F371" s="2" t="s">
        <v>18</v>
      </c>
      <c r="G371" s="1">
        <v>0</v>
      </c>
      <c r="H371" s="1">
        <v>897</v>
      </c>
      <c r="I371" s="2" t="s">
        <v>37</v>
      </c>
      <c r="J371" s="2" t="s">
        <v>26</v>
      </c>
      <c r="K371" s="1">
        <v>87.14</v>
      </c>
      <c r="L371" s="3">
        <v>45745</v>
      </c>
    </row>
    <row r="372" spans="1:12" x14ac:dyDescent="0.25">
      <c r="A372" s="1">
        <v>101446</v>
      </c>
      <c r="B372" s="2" t="s">
        <v>27</v>
      </c>
      <c r="C372" s="2" t="s">
        <v>28</v>
      </c>
      <c r="D372" s="2" t="s">
        <v>64</v>
      </c>
      <c r="E372" s="2" t="s">
        <v>31</v>
      </c>
      <c r="F372" s="2" t="s">
        <v>18</v>
      </c>
      <c r="G372" s="1">
        <v>0</v>
      </c>
      <c r="H372" s="1">
        <v>849</v>
      </c>
      <c r="I372" s="2" t="s">
        <v>19</v>
      </c>
      <c r="J372" s="2" t="s">
        <v>26</v>
      </c>
      <c r="K372" s="1">
        <v>590.82000000000005</v>
      </c>
      <c r="L372" s="3">
        <v>45744</v>
      </c>
    </row>
    <row r="373" spans="1:12" x14ac:dyDescent="0.25">
      <c r="A373" s="1">
        <v>101528</v>
      </c>
      <c r="B373" s="2" t="s">
        <v>396</v>
      </c>
      <c r="C373" s="2" t="s">
        <v>103</v>
      </c>
      <c r="D373" s="2" t="s">
        <v>64</v>
      </c>
      <c r="E373" s="2" t="s">
        <v>78</v>
      </c>
      <c r="F373" s="2" t="s">
        <v>42</v>
      </c>
      <c r="G373" s="1">
        <v>78</v>
      </c>
      <c r="H373" s="1">
        <v>437</v>
      </c>
      <c r="I373" s="2" t="s">
        <v>32</v>
      </c>
      <c r="J373" s="2" t="s">
        <v>33</v>
      </c>
      <c r="K373" s="1">
        <v>492.8</v>
      </c>
      <c r="L373" s="3">
        <v>45744</v>
      </c>
    </row>
    <row r="374" spans="1:12" x14ac:dyDescent="0.25">
      <c r="A374" s="1">
        <v>100696</v>
      </c>
      <c r="B374" s="2" t="s">
        <v>131</v>
      </c>
      <c r="C374" s="2" t="s">
        <v>39</v>
      </c>
      <c r="D374" s="2" t="s">
        <v>64</v>
      </c>
      <c r="E374" s="2" t="s">
        <v>60</v>
      </c>
      <c r="F374" s="2" t="s">
        <v>18</v>
      </c>
      <c r="G374" s="1">
        <v>0</v>
      </c>
      <c r="H374" s="1">
        <v>867</v>
      </c>
      <c r="I374" s="2" t="s">
        <v>56</v>
      </c>
      <c r="J374" s="2" t="s">
        <v>33</v>
      </c>
      <c r="K374" s="1">
        <v>346.89</v>
      </c>
      <c r="L374" s="3">
        <v>45744</v>
      </c>
    </row>
    <row r="375" spans="1:12" x14ac:dyDescent="0.25">
      <c r="A375" s="1">
        <v>100389</v>
      </c>
      <c r="B375" s="2" t="s">
        <v>220</v>
      </c>
      <c r="C375" s="2" t="s">
        <v>152</v>
      </c>
      <c r="D375" s="2" t="s">
        <v>16</v>
      </c>
      <c r="E375" s="2" t="s">
        <v>78</v>
      </c>
      <c r="F375" s="2" t="s">
        <v>25</v>
      </c>
      <c r="G375" s="1">
        <v>6</v>
      </c>
      <c r="H375" s="1">
        <v>710</v>
      </c>
      <c r="I375" s="2" t="s">
        <v>32</v>
      </c>
      <c r="J375" s="2" t="s">
        <v>20</v>
      </c>
      <c r="K375" s="1">
        <v>178.72</v>
      </c>
      <c r="L375" s="3">
        <v>45744</v>
      </c>
    </row>
    <row r="376" spans="1:12" x14ac:dyDescent="0.25">
      <c r="A376" s="1">
        <v>101270</v>
      </c>
      <c r="B376" s="2" t="s">
        <v>34</v>
      </c>
      <c r="C376" s="2" t="s">
        <v>35</v>
      </c>
      <c r="D376" s="2" t="s">
        <v>16</v>
      </c>
      <c r="E376" s="2" t="s">
        <v>31</v>
      </c>
      <c r="F376" s="2" t="s">
        <v>18</v>
      </c>
      <c r="G376" s="1">
        <v>0</v>
      </c>
      <c r="H376" s="1">
        <v>672</v>
      </c>
      <c r="I376" s="2" t="s">
        <v>37</v>
      </c>
      <c r="J376" s="2" t="s">
        <v>20</v>
      </c>
      <c r="K376" s="1">
        <v>344.47</v>
      </c>
      <c r="L376" s="3">
        <v>45743</v>
      </c>
    </row>
    <row r="377" spans="1:12" x14ac:dyDescent="0.25">
      <c r="A377" s="1">
        <v>100841</v>
      </c>
      <c r="B377" s="2" t="s">
        <v>43</v>
      </c>
      <c r="C377" s="2" t="s">
        <v>22</v>
      </c>
      <c r="D377" s="2" t="s">
        <v>41</v>
      </c>
      <c r="E377" s="2" t="s">
        <v>81</v>
      </c>
      <c r="F377" s="2" t="s">
        <v>18</v>
      </c>
      <c r="G377" s="1">
        <v>0</v>
      </c>
      <c r="H377" s="1">
        <v>396</v>
      </c>
      <c r="I377" s="2" t="s">
        <v>56</v>
      </c>
      <c r="J377" s="2" t="s">
        <v>20</v>
      </c>
      <c r="K377" s="1">
        <v>93.97</v>
      </c>
      <c r="L377" s="3">
        <v>45743</v>
      </c>
    </row>
    <row r="378" spans="1:12" x14ac:dyDescent="0.25">
      <c r="A378" s="1">
        <v>101072</v>
      </c>
      <c r="B378" s="2" t="s">
        <v>276</v>
      </c>
      <c r="C378" s="2" t="s">
        <v>52</v>
      </c>
      <c r="D378" s="2" t="s">
        <v>50</v>
      </c>
      <c r="E378" s="2" t="s">
        <v>78</v>
      </c>
      <c r="F378" s="2" t="s">
        <v>18</v>
      </c>
      <c r="G378" s="1">
        <v>0</v>
      </c>
      <c r="H378" s="1">
        <v>638</v>
      </c>
      <c r="I378" s="2" t="s">
        <v>56</v>
      </c>
      <c r="J378" s="2" t="s">
        <v>26</v>
      </c>
      <c r="K378" s="1">
        <v>474.83</v>
      </c>
      <c r="L378" s="3">
        <v>45742</v>
      </c>
    </row>
    <row r="379" spans="1:12" x14ac:dyDescent="0.25">
      <c r="A379" s="1">
        <v>100800</v>
      </c>
      <c r="B379" s="2" t="s">
        <v>179</v>
      </c>
      <c r="C379" s="2" t="s">
        <v>149</v>
      </c>
      <c r="D379" s="2" t="s">
        <v>16</v>
      </c>
      <c r="E379" s="2" t="s">
        <v>55</v>
      </c>
      <c r="F379" s="2" t="s">
        <v>42</v>
      </c>
      <c r="G379" s="1">
        <v>177</v>
      </c>
      <c r="H379" s="1">
        <v>518</v>
      </c>
      <c r="I379" s="2" t="s">
        <v>37</v>
      </c>
      <c r="J379" s="2" t="s">
        <v>20</v>
      </c>
      <c r="K379" s="1">
        <v>461.05</v>
      </c>
      <c r="L379" s="3">
        <v>45742</v>
      </c>
    </row>
    <row r="380" spans="1:12" x14ac:dyDescent="0.25">
      <c r="A380" s="1">
        <v>101410</v>
      </c>
      <c r="B380" s="2" t="s">
        <v>102</v>
      </c>
      <c r="C380" s="2" t="s">
        <v>103</v>
      </c>
      <c r="D380" s="2" t="s">
        <v>50</v>
      </c>
      <c r="E380" s="2" t="s">
        <v>31</v>
      </c>
      <c r="F380" s="2" t="s">
        <v>83</v>
      </c>
      <c r="G380" s="1">
        <v>0</v>
      </c>
      <c r="H380" s="1">
        <v>733</v>
      </c>
      <c r="I380" s="2" t="s">
        <v>32</v>
      </c>
      <c r="J380" s="2" t="s">
        <v>20</v>
      </c>
      <c r="K380" s="1">
        <v>155.79</v>
      </c>
      <c r="L380" s="3">
        <v>45742</v>
      </c>
    </row>
    <row r="381" spans="1:12" x14ac:dyDescent="0.25">
      <c r="A381" s="1">
        <v>101051</v>
      </c>
      <c r="B381" s="2" t="s">
        <v>99</v>
      </c>
      <c r="C381" s="2" t="s">
        <v>100</v>
      </c>
      <c r="D381" s="2" t="s">
        <v>16</v>
      </c>
      <c r="E381" s="2" t="s">
        <v>70</v>
      </c>
      <c r="F381" s="2" t="s">
        <v>83</v>
      </c>
      <c r="G381" s="1">
        <v>0</v>
      </c>
      <c r="H381" s="1">
        <v>414</v>
      </c>
      <c r="I381" s="2" t="s">
        <v>45</v>
      </c>
      <c r="J381" s="2" t="s">
        <v>20</v>
      </c>
      <c r="K381" s="1">
        <v>566.52</v>
      </c>
      <c r="L381" s="3">
        <v>45741</v>
      </c>
    </row>
    <row r="382" spans="1:12" x14ac:dyDescent="0.25">
      <c r="A382" s="1">
        <v>100650</v>
      </c>
      <c r="B382" s="2" t="s">
        <v>327</v>
      </c>
      <c r="C382" s="2" t="s">
        <v>100</v>
      </c>
      <c r="D382" s="2" t="s">
        <v>50</v>
      </c>
      <c r="E382" s="2" t="s">
        <v>31</v>
      </c>
      <c r="F382" s="2" t="s">
        <v>18</v>
      </c>
      <c r="G382" s="1">
        <v>0</v>
      </c>
      <c r="H382" s="1">
        <v>721</v>
      </c>
      <c r="I382" s="2" t="s">
        <v>56</v>
      </c>
      <c r="J382" s="2" t="s">
        <v>20</v>
      </c>
      <c r="K382" s="1">
        <v>460.33</v>
      </c>
      <c r="L382" s="3">
        <v>45741</v>
      </c>
    </row>
    <row r="383" spans="1:12" x14ac:dyDescent="0.25">
      <c r="A383" s="1">
        <v>102069</v>
      </c>
      <c r="B383" s="2" t="s">
        <v>319</v>
      </c>
      <c r="C383" s="2" t="s">
        <v>100</v>
      </c>
      <c r="D383" s="2" t="s">
        <v>41</v>
      </c>
      <c r="E383" s="2" t="s">
        <v>31</v>
      </c>
      <c r="F383" s="2" t="s">
        <v>83</v>
      </c>
      <c r="G383" s="1">
        <v>0</v>
      </c>
      <c r="H383" s="1">
        <v>411</v>
      </c>
      <c r="I383" s="2" t="s">
        <v>32</v>
      </c>
      <c r="J383" s="2" t="s">
        <v>33</v>
      </c>
      <c r="K383" s="1">
        <v>252.86</v>
      </c>
      <c r="L383" s="3">
        <v>45741</v>
      </c>
    </row>
    <row r="384" spans="1:12" x14ac:dyDescent="0.25">
      <c r="A384" s="1">
        <v>100415</v>
      </c>
      <c r="B384" s="2" t="s">
        <v>255</v>
      </c>
      <c r="C384" s="2" t="s">
        <v>52</v>
      </c>
      <c r="D384" s="2" t="s">
        <v>106</v>
      </c>
      <c r="E384" s="2" t="s">
        <v>81</v>
      </c>
      <c r="F384" s="2" t="s">
        <v>18</v>
      </c>
      <c r="G384" s="1">
        <v>0</v>
      </c>
      <c r="H384" s="1">
        <v>639</v>
      </c>
      <c r="I384" s="2" t="s">
        <v>56</v>
      </c>
      <c r="J384" s="2" t="s">
        <v>20</v>
      </c>
      <c r="K384" s="1">
        <v>66.5</v>
      </c>
      <c r="L384" s="3">
        <v>45741</v>
      </c>
    </row>
    <row r="385" spans="1:12" x14ac:dyDescent="0.25">
      <c r="A385" s="1">
        <v>100706</v>
      </c>
      <c r="B385" s="2" t="s">
        <v>160</v>
      </c>
      <c r="C385" s="2" t="s">
        <v>72</v>
      </c>
      <c r="D385" s="2" t="s">
        <v>50</v>
      </c>
      <c r="E385" s="2" t="s">
        <v>55</v>
      </c>
      <c r="F385" s="2" t="s">
        <v>18</v>
      </c>
      <c r="G385" s="1">
        <v>0</v>
      </c>
      <c r="H385" s="1">
        <v>585</v>
      </c>
      <c r="I385" s="2" t="s">
        <v>19</v>
      </c>
      <c r="J385" s="2" t="s">
        <v>26</v>
      </c>
      <c r="K385" s="1">
        <v>344.45</v>
      </c>
      <c r="L385" s="3">
        <v>45740</v>
      </c>
    </row>
    <row r="386" spans="1:12" x14ac:dyDescent="0.25">
      <c r="A386" s="1">
        <v>100062</v>
      </c>
      <c r="B386" s="2" t="s">
        <v>204</v>
      </c>
      <c r="C386" s="2" t="s">
        <v>152</v>
      </c>
      <c r="D386" s="2" t="s">
        <v>50</v>
      </c>
      <c r="E386" s="2" t="s">
        <v>78</v>
      </c>
      <c r="F386" s="2" t="s">
        <v>42</v>
      </c>
      <c r="G386" s="1">
        <v>165</v>
      </c>
      <c r="H386" s="1">
        <v>362</v>
      </c>
      <c r="I386" s="2" t="s">
        <v>37</v>
      </c>
      <c r="J386" s="2" t="s">
        <v>20</v>
      </c>
      <c r="K386" s="1">
        <v>242.81</v>
      </c>
      <c r="L386" s="3">
        <v>45740</v>
      </c>
    </row>
    <row r="387" spans="1:12" x14ac:dyDescent="0.25">
      <c r="A387" s="1">
        <v>101081</v>
      </c>
      <c r="B387" s="2" t="s">
        <v>866</v>
      </c>
      <c r="C387" s="2" t="s">
        <v>168</v>
      </c>
      <c r="D387" s="2" t="s">
        <v>41</v>
      </c>
      <c r="E387" s="2" t="s">
        <v>81</v>
      </c>
      <c r="F387" s="2" t="s">
        <v>18</v>
      </c>
      <c r="G387" s="1" t="s">
        <v>35</v>
      </c>
      <c r="H387" s="1">
        <v>458</v>
      </c>
      <c r="I387" s="2" t="s">
        <v>37</v>
      </c>
      <c r="J387" s="2" t="s">
        <v>20</v>
      </c>
      <c r="K387" s="1">
        <v>234.07</v>
      </c>
      <c r="L387" s="3">
        <v>45740</v>
      </c>
    </row>
    <row r="388" spans="1:12" x14ac:dyDescent="0.25">
      <c r="A388" s="1">
        <v>101154</v>
      </c>
      <c r="B388" s="2" t="s">
        <v>347</v>
      </c>
      <c r="C388" s="2" t="s">
        <v>95</v>
      </c>
      <c r="D388" s="2" t="s">
        <v>64</v>
      </c>
      <c r="E388" s="2" t="s">
        <v>55</v>
      </c>
      <c r="F388" s="2" t="s">
        <v>83</v>
      </c>
      <c r="G388" s="1">
        <v>0</v>
      </c>
      <c r="H388" s="1">
        <v>699</v>
      </c>
      <c r="I388" s="2" t="s">
        <v>37</v>
      </c>
      <c r="J388" s="2" t="s">
        <v>33</v>
      </c>
      <c r="K388" s="1">
        <v>304.05</v>
      </c>
      <c r="L388" s="3">
        <v>45739</v>
      </c>
    </row>
    <row r="389" spans="1:12" x14ac:dyDescent="0.25">
      <c r="A389" s="1">
        <v>101488</v>
      </c>
      <c r="B389" s="2" t="s">
        <v>563</v>
      </c>
      <c r="C389" s="2" t="s">
        <v>58</v>
      </c>
      <c r="D389" s="2" t="s">
        <v>64</v>
      </c>
      <c r="E389" s="2" t="s">
        <v>81</v>
      </c>
      <c r="F389" s="2" t="s">
        <v>83</v>
      </c>
      <c r="G389" s="1">
        <v>0</v>
      </c>
      <c r="H389" s="1">
        <v>893</v>
      </c>
      <c r="I389" s="2" t="s">
        <v>37</v>
      </c>
      <c r="J389" s="2" t="s">
        <v>26</v>
      </c>
      <c r="K389" s="1">
        <v>143.99</v>
      </c>
      <c r="L389" s="3">
        <v>45739</v>
      </c>
    </row>
    <row r="390" spans="1:12" x14ac:dyDescent="0.25">
      <c r="A390" s="1">
        <v>101303</v>
      </c>
      <c r="B390" s="2" t="s">
        <v>148</v>
      </c>
      <c r="C390" s="2" t="s">
        <v>149</v>
      </c>
      <c r="D390" s="2" t="s">
        <v>106</v>
      </c>
      <c r="E390" s="2" t="s">
        <v>78</v>
      </c>
      <c r="F390" s="2" t="s">
        <v>83</v>
      </c>
      <c r="G390" s="1">
        <v>0</v>
      </c>
      <c r="H390" s="1">
        <v>876</v>
      </c>
      <c r="I390" s="2" t="s">
        <v>19</v>
      </c>
      <c r="J390" s="2" t="s">
        <v>35</v>
      </c>
      <c r="K390" s="1">
        <v>83.89</v>
      </c>
      <c r="L390" s="3">
        <v>45739</v>
      </c>
    </row>
    <row r="391" spans="1:12" x14ac:dyDescent="0.25">
      <c r="A391" s="1">
        <v>100385</v>
      </c>
      <c r="B391" s="2" t="s">
        <v>581</v>
      </c>
      <c r="C391" s="2" t="s">
        <v>103</v>
      </c>
      <c r="D391" s="2" t="s">
        <v>50</v>
      </c>
      <c r="E391" s="2" t="s">
        <v>60</v>
      </c>
      <c r="F391" s="2" t="s">
        <v>18</v>
      </c>
      <c r="G391" s="1">
        <v>0</v>
      </c>
      <c r="H391" s="1">
        <v>435</v>
      </c>
      <c r="I391" s="2" t="s">
        <v>56</v>
      </c>
      <c r="J391" s="2" t="s">
        <v>20</v>
      </c>
      <c r="K391" s="1">
        <v>858.19</v>
      </c>
      <c r="L391" s="3">
        <v>45738</v>
      </c>
    </row>
    <row r="392" spans="1:12" x14ac:dyDescent="0.25">
      <c r="A392" s="1">
        <v>101461</v>
      </c>
      <c r="B392" s="2" t="s">
        <v>832</v>
      </c>
      <c r="C392" s="2" t="s">
        <v>134</v>
      </c>
      <c r="D392" s="2" t="s">
        <v>16</v>
      </c>
      <c r="E392" s="2" t="s">
        <v>60</v>
      </c>
      <c r="F392" s="2" t="s">
        <v>83</v>
      </c>
      <c r="G392" s="1">
        <v>0</v>
      </c>
      <c r="H392" s="1">
        <v>641</v>
      </c>
      <c r="I392" s="2" t="s">
        <v>45</v>
      </c>
      <c r="J392" s="2" t="s">
        <v>20</v>
      </c>
      <c r="K392" s="1">
        <v>836.25</v>
      </c>
      <c r="L392" s="3">
        <v>45738</v>
      </c>
    </row>
    <row r="393" spans="1:12" x14ac:dyDescent="0.25">
      <c r="A393" s="1">
        <v>100625</v>
      </c>
      <c r="B393" s="2" t="s">
        <v>671</v>
      </c>
      <c r="C393" s="2" t="s">
        <v>35</v>
      </c>
      <c r="D393" s="2" t="s">
        <v>16</v>
      </c>
      <c r="E393" s="2" t="s">
        <v>78</v>
      </c>
      <c r="F393" s="2" t="s">
        <v>18</v>
      </c>
      <c r="G393" s="1">
        <v>0</v>
      </c>
      <c r="H393" s="1">
        <v>302</v>
      </c>
      <c r="I393" s="2" t="s">
        <v>35</v>
      </c>
      <c r="J393" s="2" t="s">
        <v>20</v>
      </c>
      <c r="K393" s="1">
        <v>658.4</v>
      </c>
      <c r="L393" s="3">
        <v>45738</v>
      </c>
    </row>
    <row r="394" spans="1:12" x14ac:dyDescent="0.25">
      <c r="A394" s="1">
        <v>100930</v>
      </c>
      <c r="B394" s="2" t="s">
        <v>303</v>
      </c>
      <c r="C394" s="2" t="s">
        <v>187</v>
      </c>
      <c r="D394" s="2" t="s">
        <v>50</v>
      </c>
      <c r="E394" s="2" t="s">
        <v>17</v>
      </c>
      <c r="F394" s="2" t="s">
        <v>42</v>
      </c>
      <c r="G394" s="1">
        <v>141</v>
      </c>
      <c r="H394" s="1">
        <v>800</v>
      </c>
      <c r="I394" s="2" t="s">
        <v>45</v>
      </c>
      <c r="J394" s="2" t="s">
        <v>26</v>
      </c>
      <c r="K394" s="1">
        <v>452.72</v>
      </c>
      <c r="L394" s="3">
        <v>45738</v>
      </c>
    </row>
    <row r="395" spans="1:12" x14ac:dyDescent="0.25">
      <c r="A395" s="1">
        <v>100568</v>
      </c>
      <c r="B395" s="2" t="s">
        <v>463</v>
      </c>
      <c r="C395" s="2" t="s">
        <v>126</v>
      </c>
      <c r="D395" s="2" t="s">
        <v>41</v>
      </c>
      <c r="E395" s="2" t="s">
        <v>70</v>
      </c>
      <c r="F395" s="2" t="s">
        <v>18</v>
      </c>
      <c r="G395" s="1">
        <v>0</v>
      </c>
      <c r="H395" s="1">
        <v>765</v>
      </c>
      <c r="I395" s="2" t="s">
        <v>56</v>
      </c>
      <c r="J395" s="2" t="s">
        <v>26</v>
      </c>
      <c r="K395" s="1">
        <v>284.54000000000002</v>
      </c>
      <c r="L395" s="3">
        <v>45738</v>
      </c>
    </row>
    <row r="396" spans="1:12" x14ac:dyDescent="0.25">
      <c r="A396" s="1">
        <v>100013</v>
      </c>
      <c r="B396" s="2" t="s">
        <v>129</v>
      </c>
      <c r="C396" s="2" t="s">
        <v>13</v>
      </c>
      <c r="D396" s="2" t="s">
        <v>50</v>
      </c>
      <c r="E396" s="2" t="s">
        <v>60</v>
      </c>
      <c r="F396" s="2" t="s">
        <v>18</v>
      </c>
      <c r="G396" s="1">
        <v>0</v>
      </c>
      <c r="H396" s="1">
        <v>336</v>
      </c>
      <c r="I396" s="2" t="s">
        <v>37</v>
      </c>
      <c r="J396" s="2" t="s">
        <v>33</v>
      </c>
      <c r="K396" s="1">
        <v>840.69</v>
      </c>
      <c r="L396" s="3">
        <v>45737</v>
      </c>
    </row>
    <row r="397" spans="1:12" x14ac:dyDescent="0.25">
      <c r="A397" s="1">
        <v>101135</v>
      </c>
      <c r="B397" s="2" t="s">
        <v>2124</v>
      </c>
      <c r="C397" s="2" t="s">
        <v>134</v>
      </c>
      <c r="D397" s="2" t="s">
        <v>106</v>
      </c>
      <c r="E397" s="2" t="s">
        <v>70</v>
      </c>
      <c r="F397" s="2" t="s">
        <v>18</v>
      </c>
      <c r="G397" s="1">
        <v>0</v>
      </c>
      <c r="H397" s="1">
        <v>340</v>
      </c>
      <c r="I397" s="2" t="s">
        <v>56</v>
      </c>
      <c r="J397" s="2" t="s">
        <v>26</v>
      </c>
      <c r="K397" s="1">
        <v>467.29</v>
      </c>
      <c r="L397" s="3">
        <v>45737</v>
      </c>
    </row>
    <row r="398" spans="1:12" x14ac:dyDescent="0.25">
      <c r="A398" s="1">
        <v>101560</v>
      </c>
      <c r="B398" s="2" t="s">
        <v>390</v>
      </c>
      <c r="C398" s="2" t="s">
        <v>110</v>
      </c>
      <c r="D398" s="2" t="s">
        <v>16</v>
      </c>
      <c r="E398" s="2" t="s">
        <v>60</v>
      </c>
      <c r="F398" s="2" t="s">
        <v>18</v>
      </c>
      <c r="G398" s="1">
        <v>0</v>
      </c>
      <c r="H398" s="1">
        <v>773</v>
      </c>
      <c r="I398" s="2" t="s">
        <v>45</v>
      </c>
      <c r="J398" s="2" t="s">
        <v>20</v>
      </c>
      <c r="K398" s="1">
        <v>415.62</v>
      </c>
      <c r="L398" s="3">
        <v>45737</v>
      </c>
    </row>
    <row r="399" spans="1:12" x14ac:dyDescent="0.25">
      <c r="A399" s="1">
        <v>101360</v>
      </c>
      <c r="B399" s="2" t="s">
        <v>525</v>
      </c>
      <c r="C399" s="2" t="s">
        <v>58</v>
      </c>
      <c r="D399" s="2" t="s">
        <v>16</v>
      </c>
      <c r="E399" s="2" t="s">
        <v>55</v>
      </c>
      <c r="F399" s="2" t="s">
        <v>83</v>
      </c>
      <c r="G399" s="1">
        <v>0</v>
      </c>
      <c r="H399" s="1">
        <v>501</v>
      </c>
      <c r="I399" s="2" t="s">
        <v>19</v>
      </c>
      <c r="J399" s="2" t="s">
        <v>26</v>
      </c>
      <c r="K399" s="1">
        <v>291.42</v>
      </c>
      <c r="L399" s="3">
        <v>45737</v>
      </c>
    </row>
    <row r="400" spans="1:12" x14ac:dyDescent="0.25">
      <c r="A400" s="1">
        <v>101862</v>
      </c>
      <c r="B400" s="2" t="s">
        <v>847</v>
      </c>
      <c r="C400" s="2" t="s">
        <v>22</v>
      </c>
      <c r="D400" s="2" t="s">
        <v>16</v>
      </c>
      <c r="E400" s="2" t="s">
        <v>31</v>
      </c>
      <c r="F400" s="2" t="s">
        <v>18</v>
      </c>
      <c r="G400" s="1">
        <v>0</v>
      </c>
      <c r="H400" s="1">
        <v>612</v>
      </c>
      <c r="I400" s="2" t="s">
        <v>19</v>
      </c>
      <c r="J400" s="2" t="s">
        <v>20</v>
      </c>
      <c r="K400" s="1">
        <v>148.06</v>
      </c>
      <c r="L400" s="3">
        <v>45737</v>
      </c>
    </row>
    <row r="401" spans="1:12" x14ac:dyDescent="0.25">
      <c r="A401" s="1">
        <v>101631</v>
      </c>
      <c r="B401" s="2" t="s">
        <v>141</v>
      </c>
      <c r="C401" s="2" t="s">
        <v>142</v>
      </c>
      <c r="D401" s="2" t="s">
        <v>64</v>
      </c>
      <c r="E401" s="2" t="s">
        <v>31</v>
      </c>
      <c r="F401" s="2" t="s">
        <v>18</v>
      </c>
      <c r="G401" s="1">
        <v>0</v>
      </c>
      <c r="H401" s="1">
        <v>430</v>
      </c>
      <c r="I401" s="2" t="s">
        <v>45</v>
      </c>
      <c r="J401" s="2" t="s">
        <v>33</v>
      </c>
      <c r="K401" s="1">
        <v>843.88</v>
      </c>
      <c r="L401" s="3">
        <v>45736</v>
      </c>
    </row>
    <row r="402" spans="1:12" x14ac:dyDescent="0.25">
      <c r="A402" s="1">
        <v>100822</v>
      </c>
      <c r="B402" s="2" t="s">
        <v>794</v>
      </c>
      <c r="C402" s="2" t="s">
        <v>52</v>
      </c>
      <c r="D402" s="2" t="s">
        <v>64</v>
      </c>
      <c r="E402" s="2" t="s">
        <v>78</v>
      </c>
      <c r="F402" s="2" t="s">
        <v>18</v>
      </c>
      <c r="G402" s="1" t="s">
        <v>35</v>
      </c>
      <c r="H402" s="1">
        <v>733</v>
      </c>
      <c r="I402" s="2" t="s">
        <v>37</v>
      </c>
      <c r="J402" s="2" t="s">
        <v>33</v>
      </c>
      <c r="K402" s="1">
        <v>341.26</v>
      </c>
      <c r="L402" s="3">
        <v>45736</v>
      </c>
    </row>
    <row r="403" spans="1:12" x14ac:dyDescent="0.25">
      <c r="A403" s="1">
        <v>100292</v>
      </c>
      <c r="B403" s="2" t="s">
        <v>364</v>
      </c>
      <c r="C403" s="2" t="s">
        <v>103</v>
      </c>
      <c r="D403" s="2" t="s">
        <v>64</v>
      </c>
      <c r="E403" s="2" t="s">
        <v>78</v>
      </c>
      <c r="F403" s="2" t="s">
        <v>18</v>
      </c>
      <c r="G403" s="1">
        <v>0</v>
      </c>
      <c r="H403" s="1">
        <v>351</v>
      </c>
      <c r="I403" s="2" t="s">
        <v>19</v>
      </c>
      <c r="J403" s="2" t="s">
        <v>20</v>
      </c>
      <c r="K403" s="1">
        <v>291.33</v>
      </c>
      <c r="L403" s="3">
        <v>45736</v>
      </c>
    </row>
    <row r="404" spans="1:12" x14ac:dyDescent="0.25">
      <c r="A404" s="1">
        <v>100294</v>
      </c>
      <c r="B404" s="2" t="s">
        <v>174</v>
      </c>
      <c r="C404" s="2" t="s">
        <v>134</v>
      </c>
      <c r="D404" s="2" t="s">
        <v>41</v>
      </c>
      <c r="E404" s="2" t="s">
        <v>31</v>
      </c>
      <c r="F404" s="2" t="s">
        <v>18</v>
      </c>
      <c r="G404" s="1">
        <v>0</v>
      </c>
      <c r="H404" s="1">
        <v>554</v>
      </c>
      <c r="I404" s="2" t="s">
        <v>45</v>
      </c>
      <c r="J404" s="2" t="s">
        <v>26</v>
      </c>
      <c r="K404" s="1">
        <v>96.07</v>
      </c>
      <c r="L404" s="3">
        <v>45736</v>
      </c>
    </row>
    <row r="405" spans="1:12" x14ac:dyDescent="0.25">
      <c r="A405" s="1">
        <v>101206</v>
      </c>
      <c r="B405" s="2" t="s">
        <v>212</v>
      </c>
      <c r="C405" s="2" t="s">
        <v>95</v>
      </c>
      <c r="D405" s="2" t="s">
        <v>16</v>
      </c>
      <c r="E405" s="2" t="s">
        <v>60</v>
      </c>
      <c r="F405" s="2" t="s">
        <v>18</v>
      </c>
      <c r="G405" s="1">
        <v>0</v>
      </c>
      <c r="H405" s="1">
        <v>662</v>
      </c>
      <c r="I405" s="2" t="s">
        <v>56</v>
      </c>
      <c r="J405" s="2" t="s">
        <v>20</v>
      </c>
      <c r="K405" s="1">
        <v>701.62</v>
      </c>
      <c r="L405" s="3">
        <v>45735</v>
      </c>
    </row>
    <row r="406" spans="1:12" x14ac:dyDescent="0.25">
      <c r="A406" s="1">
        <v>100220</v>
      </c>
      <c r="B406" s="2" t="s">
        <v>347</v>
      </c>
      <c r="C406" s="2" t="s">
        <v>95</v>
      </c>
      <c r="D406" s="2" t="s">
        <v>16</v>
      </c>
      <c r="E406" s="2" t="s">
        <v>55</v>
      </c>
      <c r="F406" s="2" t="s">
        <v>42</v>
      </c>
      <c r="G406" s="1">
        <v>161</v>
      </c>
      <c r="H406" s="1">
        <v>699</v>
      </c>
      <c r="I406" s="2" t="s">
        <v>45</v>
      </c>
      <c r="J406" s="2" t="s">
        <v>20</v>
      </c>
      <c r="K406" s="1">
        <v>596.20500000000004</v>
      </c>
      <c r="L406" s="3">
        <v>45735</v>
      </c>
    </row>
    <row r="407" spans="1:12" x14ac:dyDescent="0.25">
      <c r="A407" s="1">
        <v>101540</v>
      </c>
      <c r="B407" s="2" t="s">
        <v>241</v>
      </c>
      <c r="C407" s="2" t="s">
        <v>58</v>
      </c>
      <c r="D407" s="2" t="s">
        <v>16</v>
      </c>
      <c r="E407" s="2" t="s">
        <v>78</v>
      </c>
      <c r="F407" s="2" t="s">
        <v>83</v>
      </c>
      <c r="G407" s="1">
        <v>0</v>
      </c>
      <c r="H407" s="1">
        <v>468</v>
      </c>
      <c r="I407" s="2" t="s">
        <v>56</v>
      </c>
      <c r="J407" s="2" t="s">
        <v>20</v>
      </c>
      <c r="K407" s="1">
        <v>580.82000000000005</v>
      </c>
      <c r="L407" s="3">
        <v>45735</v>
      </c>
    </row>
    <row r="408" spans="1:12" x14ac:dyDescent="0.25">
      <c r="A408" s="1">
        <v>100171</v>
      </c>
      <c r="B408" s="2" t="s">
        <v>75</v>
      </c>
      <c r="C408" s="2" t="s">
        <v>39</v>
      </c>
      <c r="D408" s="2" t="s">
        <v>41</v>
      </c>
      <c r="E408" s="2" t="s">
        <v>81</v>
      </c>
      <c r="F408" s="2" t="s">
        <v>18</v>
      </c>
      <c r="G408" s="1">
        <v>0</v>
      </c>
      <c r="H408" s="1">
        <v>554</v>
      </c>
      <c r="I408" s="2" t="s">
        <v>56</v>
      </c>
      <c r="J408" s="2" t="s">
        <v>20</v>
      </c>
      <c r="K408" s="1">
        <v>502.44</v>
      </c>
      <c r="L408" s="3">
        <v>45735</v>
      </c>
    </row>
    <row r="409" spans="1:12" x14ac:dyDescent="0.25">
      <c r="A409" s="1">
        <v>102109</v>
      </c>
      <c r="B409" s="2" t="s">
        <v>1211</v>
      </c>
      <c r="C409" s="2" t="s">
        <v>62</v>
      </c>
      <c r="D409" s="2" t="s">
        <v>41</v>
      </c>
      <c r="E409" s="2" t="s">
        <v>31</v>
      </c>
      <c r="F409" s="2" t="s">
        <v>18</v>
      </c>
      <c r="G409" s="1" t="s">
        <v>35</v>
      </c>
      <c r="H409" s="1">
        <v>741</v>
      </c>
      <c r="I409" s="2" t="s">
        <v>56</v>
      </c>
      <c r="J409" s="2" t="s">
        <v>20</v>
      </c>
      <c r="K409" s="1">
        <v>97.14</v>
      </c>
      <c r="L409" s="3">
        <v>45735</v>
      </c>
    </row>
    <row r="410" spans="1:12" x14ac:dyDescent="0.25">
      <c r="A410" s="1">
        <v>100972</v>
      </c>
      <c r="B410" s="2" t="s">
        <v>487</v>
      </c>
      <c r="C410" s="2" t="s">
        <v>22</v>
      </c>
      <c r="D410" s="2" t="s">
        <v>106</v>
      </c>
      <c r="E410" s="2" t="s">
        <v>70</v>
      </c>
      <c r="F410" s="2" t="s">
        <v>18</v>
      </c>
      <c r="G410" s="1" t="s">
        <v>35</v>
      </c>
      <c r="H410" s="1">
        <v>647</v>
      </c>
      <c r="I410" s="2" t="s">
        <v>19</v>
      </c>
      <c r="J410" s="2" t="s">
        <v>20</v>
      </c>
      <c r="K410" s="1">
        <v>434.66</v>
      </c>
      <c r="L410" s="3">
        <v>45734</v>
      </c>
    </row>
    <row r="411" spans="1:12" x14ac:dyDescent="0.25">
      <c r="A411" s="1">
        <v>101938</v>
      </c>
      <c r="B411" s="2" t="s">
        <v>540</v>
      </c>
      <c r="C411" s="2" t="s">
        <v>13</v>
      </c>
      <c r="D411" s="2" t="s">
        <v>41</v>
      </c>
      <c r="E411" s="2" t="s">
        <v>17</v>
      </c>
      <c r="F411" s="2" t="s">
        <v>18</v>
      </c>
      <c r="G411" s="1">
        <v>0</v>
      </c>
      <c r="H411" s="1">
        <v>487</v>
      </c>
      <c r="I411" s="2" t="s">
        <v>37</v>
      </c>
      <c r="J411" s="2" t="s">
        <v>26</v>
      </c>
      <c r="K411" s="1">
        <v>255.7</v>
      </c>
      <c r="L411" s="3">
        <v>45734</v>
      </c>
    </row>
    <row r="412" spans="1:12" x14ac:dyDescent="0.25">
      <c r="A412" s="1">
        <v>100897</v>
      </c>
      <c r="B412" s="2" t="s">
        <v>953</v>
      </c>
      <c r="C412" s="2" t="s">
        <v>270</v>
      </c>
      <c r="D412" s="2" t="s">
        <v>64</v>
      </c>
      <c r="E412" s="2" t="s">
        <v>17</v>
      </c>
      <c r="F412" s="2" t="s">
        <v>25</v>
      </c>
      <c r="G412" s="1">
        <v>28</v>
      </c>
      <c r="H412" s="1">
        <v>759</v>
      </c>
      <c r="I412" s="2" t="s">
        <v>32</v>
      </c>
      <c r="J412" s="2" t="s">
        <v>26</v>
      </c>
      <c r="K412" s="1">
        <v>253.58</v>
      </c>
      <c r="L412" s="3">
        <v>45734</v>
      </c>
    </row>
    <row r="413" spans="1:12" x14ac:dyDescent="0.25">
      <c r="A413" s="1">
        <v>101236</v>
      </c>
      <c r="B413" s="2" t="s">
        <v>576</v>
      </c>
      <c r="C413" s="2" t="s">
        <v>22</v>
      </c>
      <c r="D413" s="2" t="s">
        <v>64</v>
      </c>
      <c r="E413" s="2" t="s">
        <v>55</v>
      </c>
      <c r="F413" s="2" t="s">
        <v>18</v>
      </c>
      <c r="G413" s="1">
        <v>0</v>
      </c>
      <c r="H413" s="1">
        <v>418</v>
      </c>
      <c r="I413" s="2" t="s">
        <v>56</v>
      </c>
      <c r="J413" s="2" t="s">
        <v>20</v>
      </c>
      <c r="K413" s="1">
        <v>233.15</v>
      </c>
      <c r="L413" s="3">
        <v>45734</v>
      </c>
    </row>
    <row r="414" spans="1:12" x14ac:dyDescent="0.25">
      <c r="A414" s="1">
        <v>100797</v>
      </c>
      <c r="B414" s="2" t="s">
        <v>765</v>
      </c>
      <c r="C414" s="2" t="s">
        <v>22</v>
      </c>
      <c r="D414" s="2" t="s">
        <v>16</v>
      </c>
      <c r="E414" s="2" t="s">
        <v>70</v>
      </c>
      <c r="F414" s="2" t="s">
        <v>18</v>
      </c>
      <c r="G414" s="1">
        <v>0</v>
      </c>
      <c r="H414" s="1">
        <v>851</v>
      </c>
      <c r="I414" s="2" t="s">
        <v>19</v>
      </c>
      <c r="J414" s="2" t="s">
        <v>20</v>
      </c>
      <c r="K414" s="1">
        <v>182.13</v>
      </c>
      <c r="L414" s="3">
        <v>45734</v>
      </c>
    </row>
    <row r="415" spans="1:12" x14ac:dyDescent="0.25">
      <c r="A415" s="1">
        <v>100683</v>
      </c>
      <c r="B415" s="2" t="s">
        <v>767</v>
      </c>
      <c r="C415" s="2" t="s">
        <v>110</v>
      </c>
      <c r="D415" s="2" t="s">
        <v>41</v>
      </c>
      <c r="E415" s="2" t="s">
        <v>81</v>
      </c>
      <c r="F415" s="2" t="s">
        <v>25</v>
      </c>
      <c r="G415" s="1">
        <v>23</v>
      </c>
      <c r="H415" s="1">
        <v>543</v>
      </c>
      <c r="I415" s="2" t="s">
        <v>45</v>
      </c>
      <c r="J415" s="2" t="s">
        <v>20</v>
      </c>
      <c r="K415" s="1">
        <v>795.52</v>
      </c>
      <c r="L415" s="3">
        <v>45733</v>
      </c>
    </row>
    <row r="416" spans="1:12" x14ac:dyDescent="0.25">
      <c r="A416" s="1">
        <v>100663</v>
      </c>
      <c r="B416" s="2" t="s">
        <v>160</v>
      </c>
      <c r="C416" s="2" t="s">
        <v>72</v>
      </c>
      <c r="D416" s="2" t="s">
        <v>64</v>
      </c>
      <c r="E416" s="2" t="s">
        <v>17</v>
      </c>
      <c r="F416" s="2" t="s">
        <v>83</v>
      </c>
      <c r="G416" s="1">
        <v>0</v>
      </c>
      <c r="H416" s="1">
        <v>585</v>
      </c>
      <c r="I416" s="2" t="s">
        <v>32</v>
      </c>
      <c r="J416" s="2" t="s">
        <v>20</v>
      </c>
      <c r="K416" s="1">
        <v>639.89</v>
      </c>
      <c r="L416" s="3">
        <v>45733</v>
      </c>
    </row>
    <row r="417" spans="1:12" x14ac:dyDescent="0.25">
      <c r="A417" s="1">
        <v>100034</v>
      </c>
      <c r="B417" s="2" t="s">
        <v>215</v>
      </c>
      <c r="C417" s="2" t="s">
        <v>126</v>
      </c>
      <c r="D417" s="2" t="s">
        <v>106</v>
      </c>
      <c r="E417" s="2" t="s">
        <v>55</v>
      </c>
      <c r="F417" s="2" t="s">
        <v>42</v>
      </c>
      <c r="G417" s="1">
        <v>93</v>
      </c>
      <c r="H417" s="1">
        <v>395</v>
      </c>
      <c r="I417" s="2" t="s">
        <v>37</v>
      </c>
      <c r="J417" s="2" t="s">
        <v>26</v>
      </c>
      <c r="K417" s="1">
        <v>509.99</v>
      </c>
      <c r="L417" s="3">
        <v>45733</v>
      </c>
    </row>
    <row r="418" spans="1:12" x14ac:dyDescent="0.25">
      <c r="A418" s="1">
        <v>101078</v>
      </c>
      <c r="B418" s="2" t="s">
        <v>446</v>
      </c>
      <c r="C418" s="2" t="s">
        <v>168</v>
      </c>
      <c r="D418" s="2" t="s">
        <v>64</v>
      </c>
      <c r="E418" s="2" t="s">
        <v>35</v>
      </c>
      <c r="F418" s="2" t="s">
        <v>25</v>
      </c>
      <c r="G418" s="1">
        <v>1</v>
      </c>
      <c r="H418" s="1">
        <v>515</v>
      </c>
      <c r="I418" s="2" t="s">
        <v>45</v>
      </c>
      <c r="J418" s="2" t="s">
        <v>26</v>
      </c>
      <c r="K418" s="1">
        <v>156.82</v>
      </c>
      <c r="L418" s="3">
        <v>45733</v>
      </c>
    </row>
    <row r="419" spans="1:12" x14ac:dyDescent="0.25">
      <c r="A419" s="1">
        <v>101153</v>
      </c>
      <c r="B419" s="2" t="s">
        <v>329</v>
      </c>
      <c r="C419" s="2" t="s">
        <v>270</v>
      </c>
      <c r="D419" s="2" t="s">
        <v>50</v>
      </c>
      <c r="E419" s="2" t="s">
        <v>60</v>
      </c>
      <c r="F419" s="2" t="s">
        <v>25</v>
      </c>
      <c r="G419" s="1">
        <v>4</v>
      </c>
      <c r="H419" s="1">
        <v>328</v>
      </c>
      <c r="I419" s="2" t="s">
        <v>37</v>
      </c>
      <c r="J419" s="2" t="s">
        <v>20</v>
      </c>
      <c r="K419" s="1">
        <v>22.32</v>
      </c>
      <c r="L419" s="3">
        <v>45733</v>
      </c>
    </row>
    <row r="420" spans="1:12" x14ac:dyDescent="0.25">
      <c r="A420" s="1">
        <v>102031</v>
      </c>
      <c r="B420" s="2" t="s">
        <v>570</v>
      </c>
      <c r="C420" s="2" t="s">
        <v>39</v>
      </c>
      <c r="D420" s="2" t="s">
        <v>64</v>
      </c>
      <c r="E420" s="2" t="s">
        <v>78</v>
      </c>
      <c r="F420" s="2" t="s">
        <v>25</v>
      </c>
      <c r="G420" s="1">
        <v>28</v>
      </c>
      <c r="H420" s="1">
        <v>371</v>
      </c>
      <c r="I420" s="2" t="s">
        <v>19</v>
      </c>
      <c r="J420" s="2" t="s">
        <v>26</v>
      </c>
      <c r="K420" s="1">
        <v>722.96</v>
      </c>
      <c r="L420" s="3">
        <v>45732</v>
      </c>
    </row>
    <row r="421" spans="1:12" x14ac:dyDescent="0.25">
      <c r="A421" s="1">
        <v>100931</v>
      </c>
      <c r="B421" s="2" t="s">
        <v>558</v>
      </c>
      <c r="C421" s="2" t="s">
        <v>218</v>
      </c>
      <c r="D421" s="2" t="s">
        <v>16</v>
      </c>
      <c r="E421" s="2" t="s">
        <v>78</v>
      </c>
      <c r="F421" s="2" t="s">
        <v>18</v>
      </c>
      <c r="G421" s="1">
        <v>0</v>
      </c>
      <c r="H421" s="1">
        <v>784</v>
      </c>
      <c r="I421" s="2" t="s">
        <v>32</v>
      </c>
      <c r="J421" s="2" t="s">
        <v>20</v>
      </c>
      <c r="K421" s="1">
        <v>720.77</v>
      </c>
      <c r="L421" s="3">
        <v>45732</v>
      </c>
    </row>
    <row r="422" spans="1:12" x14ac:dyDescent="0.25">
      <c r="A422" s="1">
        <v>100600</v>
      </c>
      <c r="B422" s="2" t="s">
        <v>451</v>
      </c>
      <c r="C422" s="2" t="s">
        <v>103</v>
      </c>
      <c r="D422" s="2" t="s">
        <v>41</v>
      </c>
      <c r="E422" s="2" t="s">
        <v>17</v>
      </c>
      <c r="F422" s="2" t="s">
        <v>83</v>
      </c>
      <c r="G422" s="1" t="s">
        <v>35</v>
      </c>
      <c r="H422" s="1">
        <v>418</v>
      </c>
      <c r="I422" s="2" t="s">
        <v>45</v>
      </c>
      <c r="J422" s="2" t="s">
        <v>20</v>
      </c>
      <c r="K422" s="1">
        <v>677.21</v>
      </c>
      <c r="L422" s="3">
        <v>45732</v>
      </c>
    </row>
    <row r="423" spans="1:12" x14ac:dyDescent="0.25">
      <c r="A423" s="1">
        <v>100892</v>
      </c>
      <c r="B423" s="2" t="s">
        <v>207</v>
      </c>
      <c r="C423" s="2" t="s">
        <v>103</v>
      </c>
      <c r="D423" s="2" t="s">
        <v>50</v>
      </c>
      <c r="E423" s="2" t="s">
        <v>17</v>
      </c>
      <c r="F423" s="2" t="s">
        <v>83</v>
      </c>
      <c r="G423" s="1">
        <v>0</v>
      </c>
      <c r="H423" s="1">
        <v>360</v>
      </c>
      <c r="I423" s="2" t="s">
        <v>37</v>
      </c>
      <c r="J423" s="2" t="s">
        <v>33</v>
      </c>
      <c r="K423" s="1">
        <v>185.79</v>
      </c>
      <c r="L423" s="3">
        <v>45732</v>
      </c>
    </row>
    <row r="424" spans="1:12" x14ac:dyDescent="0.25">
      <c r="A424" s="1">
        <v>100851</v>
      </c>
      <c r="B424" s="2" t="s">
        <v>908</v>
      </c>
      <c r="C424" s="2" t="s">
        <v>110</v>
      </c>
      <c r="D424" s="2" t="s">
        <v>16</v>
      </c>
      <c r="E424" s="2" t="s">
        <v>78</v>
      </c>
      <c r="F424" s="2" t="s">
        <v>18</v>
      </c>
      <c r="G424" s="1">
        <v>0</v>
      </c>
      <c r="H424" s="1">
        <v>550</v>
      </c>
      <c r="I424" s="2" t="s">
        <v>56</v>
      </c>
      <c r="J424" s="2" t="s">
        <v>20</v>
      </c>
      <c r="K424" s="1">
        <v>172.28</v>
      </c>
      <c r="L424" s="3">
        <v>45732</v>
      </c>
    </row>
    <row r="425" spans="1:12" x14ac:dyDescent="0.25">
      <c r="A425" s="1">
        <v>101670</v>
      </c>
      <c r="B425" s="2" t="s">
        <v>537</v>
      </c>
      <c r="C425" s="2" t="s">
        <v>187</v>
      </c>
      <c r="D425" s="2" t="s">
        <v>50</v>
      </c>
      <c r="E425" s="2" t="s">
        <v>81</v>
      </c>
      <c r="F425" s="2" t="s">
        <v>18</v>
      </c>
      <c r="G425" s="1">
        <v>0</v>
      </c>
      <c r="H425" s="1">
        <v>874</v>
      </c>
      <c r="I425" s="2" t="s">
        <v>19</v>
      </c>
      <c r="J425" s="2" t="s">
        <v>26</v>
      </c>
      <c r="K425" s="1">
        <v>1046.8599999999999</v>
      </c>
      <c r="L425" s="3">
        <v>45731</v>
      </c>
    </row>
    <row r="426" spans="1:12" x14ac:dyDescent="0.25">
      <c r="A426" s="1">
        <v>101872</v>
      </c>
      <c r="B426" s="2" t="s">
        <v>269</v>
      </c>
      <c r="C426" s="2" t="s">
        <v>270</v>
      </c>
      <c r="D426" s="2" t="s">
        <v>50</v>
      </c>
      <c r="E426" s="2" t="s">
        <v>70</v>
      </c>
      <c r="F426" s="2" t="s">
        <v>83</v>
      </c>
      <c r="G426" s="1">
        <v>0</v>
      </c>
      <c r="H426" s="1">
        <v>515</v>
      </c>
      <c r="I426" s="2" t="s">
        <v>45</v>
      </c>
      <c r="J426" s="2" t="s">
        <v>20</v>
      </c>
      <c r="K426" s="1">
        <v>1005.2</v>
      </c>
      <c r="L426" s="3">
        <v>45731</v>
      </c>
    </row>
    <row r="427" spans="1:12" x14ac:dyDescent="0.25">
      <c r="A427" s="1">
        <v>100562</v>
      </c>
      <c r="B427" s="2" t="s">
        <v>738</v>
      </c>
      <c r="C427" s="2" t="s">
        <v>100</v>
      </c>
      <c r="D427" s="2" t="s">
        <v>41</v>
      </c>
      <c r="E427" s="2" t="s">
        <v>35</v>
      </c>
      <c r="F427" s="2" t="s">
        <v>18</v>
      </c>
      <c r="G427" s="1">
        <v>0</v>
      </c>
      <c r="H427" s="1">
        <v>585</v>
      </c>
      <c r="I427" s="2" t="s">
        <v>56</v>
      </c>
      <c r="J427" s="2" t="s">
        <v>20</v>
      </c>
      <c r="K427" s="1">
        <v>568.66999999999996</v>
      </c>
      <c r="L427" s="3">
        <v>45731</v>
      </c>
    </row>
    <row r="428" spans="1:12" x14ac:dyDescent="0.25">
      <c r="A428" s="1">
        <v>100610</v>
      </c>
      <c r="B428" s="2" t="s">
        <v>392</v>
      </c>
      <c r="C428" s="2" t="s">
        <v>72</v>
      </c>
      <c r="D428" s="2" t="s">
        <v>16</v>
      </c>
      <c r="E428" s="2" t="s">
        <v>70</v>
      </c>
      <c r="F428" s="2" t="s">
        <v>18</v>
      </c>
      <c r="G428" s="1">
        <v>0</v>
      </c>
      <c r="H428" s="1">
        <v>433</v>
      </c>
      <c r="I428" s="2" t="s">
        <v>56</v>
      </c>
      <c r="J428" s="2" t="s">
        <v>20</v>
      </c>
      <c r="K428" s="1">
        <v>563.75</v>
      </c>
      <c r="L428" s="3">
        <v>45731</v>
      </c>
    </row>
    <row r="429" spans="1:12" x14ac:dyDescent="0.25">
      <c r="A429" s="1">
        <v>101624</v>
      </c>
      <c r="B429" s="2" t="s">
        <v>157</v>
      </c>
      <c r="C429" s="2" t="s">
        <v>103</v>
      </c>
      <c r="D429" s="2" t="s">
        <v>16</v>
      </c>
      <c r="E429" s="2" t="s">
        <v>17</v>
      </c>
      <c r="F429" s="2" t="s">
        <v>83</v>
      </c>
      <c r="G429" s="1">
        <v>0</v>
      </c>
      <c r="H429" s="1">
        <v>897</v>
      </c>
      <c r="I429" s="2" t="s">
        <v>56</v>
      </c>
      <c r="J429" s="2" t="s">
        <v>26</v>
      </c>
      <c r="K429" s="1">
        <v>308.22000000000003</v>
      </c>
      <c r="L429" s="3">
        <v>45731</v>
      </c>
    </row>
    <row r="430" spans="1:12" x14ac:dyDescent="0.25">
      <c r="A430" s="1">
        <v>101317</v>
      </c>
      <c r="B430" s="2" t="s">
        <v>825</v>
      </c>
      <c r="C430" s="2" t="s">
        <v>58</v>
      </c>
      <c r="D430" s="2" t="s">
        <v>50</v>
      </c>
      <c r="E430" s="2" t="s">
        <v>78</v>
      </c>
      <c r="F430" s="2" t="s">
        <v>18</v>
      </c>
      <c r="G430" s="1">
        <v>0</v>
      </c>
      <c r="H430" s="1">
        <v>636</v>
      </c>
      <c r="I430" s="2" t="s">
        <v>32</v>
      </c>
      <c r="J430" s="2" t="s">
        <v>20</v>
      </c>
      <c r="K430" s="1">
        <v>253.12</v>
      </c>
      <c r="L430" s="3">
        <v>45731</v>
      </c>
    </row>
    <row r="431" spans="1:12" x14ac:dyDescent="0.25">
      <c r="A431" s="1">
        <v>101190</v>
      </c>
      <c r="B431" s="2" t="s">
        <v>545</v>
      </c>
      <c r="C431" s="2" t="s">
        <v>126</v>
      </c>
      <c r="D431" s="2" t="s">
        <v>50</v>
      </c>
      <c r="E431" s="2" t="s">
        <v>31</v>
      </c>
      <c r="F431" s="2" t="s">
        <v>83</v>
      </c>
      <c r="G431" s="1">
        <v>0</v>
      </c>
      <c r="H431" s="1">
        <v>494</v>
      </c>
      <c r="I431" s="2" t="s">
        <v>19</v>
      </c>
      <c r="J431" s="2" t="s">
        <v>20</v>
      </c>
      <c r="K431" s="1">
        <v>879.05</v>
      </c>
      <c r="L431" s="3">
        <v>45730</v>
      </c>
    </row>
    <row r="432" spans="1:12" x14ac:dyDescent="0.25">
      <c r="A432" s="1">
        <v>101038</v>
      </c>
      <c r="B432" s="2" t="s">
        <v>1026</v>
      </c>
      <c r="C432" s="2" t="s">
        <v>244</v>
      </c>
      <c r="D432" s="2" t="s">
        <v>50</v>
      </c>
      <c r="E432" s="2" t="s">
        <v>31</v>
      </c>
      <c r="F432" s="2" t="s">
        <v>18</v>
      </c>
      <c r="G432" s="1">
        <v>0</v>
      </c>
      <c r="H432" s="1">
        <v>560</v>
      </c>
      <c r="I432" s="2" t="s">
        <v>19</v>
      </c>
      <c r="J432" s="2" t="s">
        <v>33</v>
      </c>
      <c r="K432" s="1">
        <v>635.25</v>
      </c>
      <c r="L432" s="3">
        <v>45730</v>
      </c>
    </row>
    <row r="433" spans="1:12" x14ac:dyDescent="0.25">
      <c r="A433" s="1">
        <v>100932</v>
      </c>
      <c r="B433" s="2" t="s">
        <v>616</v>
      </c>
      <c r="C433" s="2" t="s">
        <v>95</v>
      </c>
      <c r="D433" s="2" t="s">
        <v>64</v>
      </c>
      <c r="E433" s="2" t="s">
        <v>70</v>
      </c>
      <c r="F433" s="2" t="s">
        <v>25</v>
      </c>
      <c r="G433" s="1">
        <v>29</v>
      </c>
      <c r="H433" s="1">
        <v>898</v>
      </c>
      <c r="I433" s="2" t="s">
        <v>19</v>
      </c>
      <c r="J433" s="2" t="s">
        <v>35</v>
      </c>
      <c r="K433" s="1">
        <v>386.11</v>
      </c>
      <c r="L433" s="3">
        <v>45730</v>
      </c>
    </row>
    <row r="434" spans="1:12" x14ac:dyDescent="0.25">
      <c r="A434" s="1">
        <v>101824</v>
      </c>
      <c r="B434" s="2" t="s">
        <v>794</v>
      </c>
      <c r="C434" s="2" t="s">
        <v>52</v>
      </c>
      <c r="D434" s="2" t="s">
        <v>106</v>
      </c>
      <c r="E434" s="2" t="s">
        <v>70</v>
      </c>
      <c r="F434" s="2" t="s">
        <v>18</v>
      </c>
      <c r="G434" s="1">
        <v>0</v>
      </c>
      <c r="H434" s="1">
        <v>733</v>
      </c>
      <c r="I434" s="2" t="s">
        <v>45</v>
      </c>
      <c r="J434" s="2" t="s">
        <v>20</v>
      </c>
      <c r="K434" s="1">
        <v>204.06</v>
      </c>
      <c r="L434" s="3">
        <v>45730</v>
      </c>
    </row>
    <row r="435" spans="1:12" x14ac:dyDescent="0.25">
      <c r="A435" s="1">
        <v>101519</v>
      </c>
      <c r="B435" s="2" t="s">
        <v>986</v>
      </c>
      <c r="C435" s="2" t="s">
        <v>28</v>
      </c>
      <c r="D435" s="2" t="s">
        <v>16</v>
      </c>
      <c r="E435" s="2" t="s">
        <v>17</v>
      </c>
      <c r="F435" s="2" t="s">
        <v>18</v>
      </c>
      <c r="G435" s="1">
        <v>0</v>
      </c>
      <c r="H435" s="1">
        <v>459</v>
      </c>
      <c r="I435" s="2" t="s">
        <v>45</v>
      </c>
      <c r="J435" s="2" t="s">
        <v>33</v>
      </c>
      <c r="K435" s="1">
        <v>184.48</v>
      </c>
      <c r="L435" s="3">
        <v>45730</v>
      </c>
    </row>
    <row r="436" spans="1:12" x14ac:dyDescent="0.25">
      <c r="A436" s="1">
        <v>100307</v>
      </c>
      <c r="B436" s="2" t="s">
        <v>786</v>
      </c>
      <c r="C436" s="2" t="s">
        <v>95</v>
      </c>
      <c r="D436" s="2" t="s">
        <v>41</v>
      </c>
      <c r="E436" s="2" t="s">
        <v>17</v>
      </c>
      <c r="F436" s="2" t="s">
        <v>25</v>
      </c>
      <c r="G436" s="1">
        <v>25</v>
      </c>
      <c r="H436" s="1">
        <v>835</v>
      </c>
      <c r="I436" s="2" t="s">
        <v>19</v>
      </c>
      <c r="J436" s="2" t="s">
        <v>26</v>
      </c>
      <c r="K436" s="1">
        <v>496.77</v>
      </c>
      <c r="L436" s="3">
        <v>45729</v>
      </c>
    </row>
    <row r="437" spans="1:12" x14ac:dyDescent="0.25">
      <c r="A437" s="1">
        <v>100539</v>
      </c>
      <c r="B437" s="2" t="s">
        <v>280</v>
      </c>
      <c r="C437" s="2" t="s">
        <v>187</v>
      </c>
      <c r="D437" s="2" t="s">
        <v>41</v>
      </c>
      <c r="E437" s="2" t="s">
        <v>17</v>
      </c>
      <c r="F437" s="2" t="s">
        <v>18</v>
      </c>
      <c r="G437" s="1">
        <v>0</v>
      </c>
      <c r="H437" s="1">
        <v>621</v>
      </c>
      <c r="I437" s="2" t="s">
        <v>19</v>
      </c>
      <c r="J437" s="2" t="s">
        <v>20</v>
      </c>
      <c r="K437" s="1">
        <v>109.25</v>
      </c>
      <c r="L437" s="3">
        <v>45729</v>
      </c>
    </row>
    <row r="438" spans="1:12" x14ac:dyDescent="0.25">
      <c r="A438" s="1">
        <v>100433</v>
      </c>
      <c r="B438" s="2" t="s">
        <v>545</v>
      </c>
      <c r="C438" s="2" t="s">
        <v>126</v>
      </c>
      <c r="D438" s="2" t="s">
        <v>16</v>
      </c>
      <c r="E438" s="2" t="s">
        <v>70</v>
      </c>
      <c r="F438" s="2" t="s">
        <v>18</v>
      </c>
      <c r="G438" s="1">
        <v>0</v>
      </c>
      <c r="H438" s="1">
        <v>494</v>
      </c>
      <c r="I438" s="2" t="s">
        <v>19</v>
      </c>
      <c r="J438" s="2" t="s">
        <v>33</v>
      </c>
      <c r="K438" s="1">
        <v>667.44</v>
      </c>
      <c r="L438" s="3">
        <v>45728</v>
      </c>
    </row>
    <row r="439" spans="1:12" x14ac:dyDescent="0.25">
      <c r="A439" s="1">
        <v>100789</v>
      </c>
      <c r="B439" s="2" t="s">
        <v>765</v>
      </c>
      <c r="C439" s="2" t="s">
        <v>22</v>
      </c>
      <c r="D439" s="2" t="s">
        <v>64</v>
      </c>
      <c r="E439" s="2" t="s">
        <v>55</v>
      </c>
      <c r="F439" s="2" t="s">
        <v>83</v>
      </c>
      <c r="G439" s="1">
        <v>0</v>
      </c>
      <c r="H439" s="1">
        <v>851</v>
      </c>
      <c r="I439" s="2" t="s">
        <v>37</v>
      </c>
      <c r="J439" s="2" t="s">
        <v>20</v>
      </c>
      <c r="K439" s="1">
        <v>383.49</v>
      </c>
      <c r="L439" s="3">
        <v>45728</v>
      </c>
    </row>
    <row r="440" spans="1:12" x14ac:dyDescent="0.25">
      <c r="A440" s="1">
        <v>100337</v>
      </c>
      <c r="B440" s="2" t="s">
        <v>765</v>
      </c>
      <c r="C440" s="2" t="s">
        <v>22</v>
      </c>
      <c r="D440" s="2" t="s">
        <v>106</v>
      </c>
      <c r="E440" s="2" t="s">
        <v>78</v>
      </c>
      <c r="F440" s="2" t="s">
        <v>83</v>
      </c>
      <c r="G440" s="1">
        <v>0</v>
      </c>
      <c r="H440" s="1">
        <v>851</v>
      </c>
      <c r="I440" s="2" t="s">
        <v>56</v>
      </c>
      <c r="J440" s="2" t="s">
        <v>26</v>
      </c>
      <c r="K440" s="1">
        <v>703.07</v>
      </c>
      <c r="L440" s="3">
        <v>45727</v>
      </c>
    </row>
    <row r="441" spans="1:12" x14ac:dyDescent="0.25">
      <c r="A441" s="1">
        <v>100390</v>
      </c>
      <c r="B441" s="2" t="s">
        <v>241</v>
      </c>
      <c r="C441" s="2" t="s">
        <v>58</v>
      </c>
      <c r="D441" s="2" t="s">
        <v>41</v>
      </c>
      <c r="E441" s="2" t="s">
        <v>60</v>
      </c>
      <c r="F441" s="2" t="s">
        <v>18</v>
      </c>
      <c r="G441" s="1">
        <v>0</v>
      </c>
      <c r="H441" s="1">
        <v>468</v>
      </c>
      <c r="I441" s="2" t="s">
        <v>19</v>
      </c>
      <c r="J441" s="2" t="s">
        <v>20</v>
      </c>
      <c r="K441" s="1">
        <v>622.64</v>
      </c>
      <c r="L441" s="3">
        <v>45727</v>
      </c>
    </row>
    <row r="442" spans="1:12" x14ac:dyDescent="0.25">
      <c r="A442" s="1">
        <v>101112</v>
      </c>
      <c r="B442" s="2" t="s">
        <v>347</v>
      </c>
      <c r="C442" s="2" t="s">
        <v>95</v>
      </c>
      <c r="D442" s="2" t="s">
        <v>41</v>
      </c>
      <c r="E442" s="2" t="s">
        <v>81</v>
      </c>
      <c r="F442" s="2" t="s">
        <v>18</v>
      </c>
      <c r="G442" s="1">
        <v>0</v>
      </c>
      <c r="H442" s="1">
        <v>699</v>
      </c>
      <c r="I442" s="2" t="s">
        <v>37</v>
      </c>
      <c r="J442" s="2" t="s">
        <v>20</v>
      </c>
      <c r="K442" s="1">
        <v>573.78</v>
      </c>
      <c r="L442" s="3">
        <v>45727</v>
      </c>
    </row>
    <row r="443" spans="1:12" x14ac:dyDescent="0.25">
      <c r="A443" s="1">
        <v>101393</v>
      </c>
      <c r="B443" s="2" t="s">
        <v>177</v>
      </c>
      <c r="C443" s="2" t="s">
        <v>85</v>
      </c>
      <c r="D443" s="2" t="s">
        <v>16</v>
      </c>
      <c r="E443" s="2" t="s">
        <v>60</v>
      </c>
      <c r="F443" s="2" t="s">
        <v>18</v>
      </c>
      <c r="G443" s="1">
        <v>0</v>
      </c>
      <c r="H443" s="1">
        <v>375</v>
      </c>
      <c r="I443" s="2" t="s">
        <v>45</v>
      </c>
      <c r="J443" s="2" t="s">
        <v>20</v>
      </c>
      <c r="K443" s="1">
        <v>570.26</v>
      </c>
      <c r="L443" s="3">
        <v>45727</v>
      </c>
    </row>
    <row r="444" spans="1:12" x14ac:dyDescent="0.25">
      <c r="A444" s="1">
        <v>100553</v>
      </c>
      <c r="B444" s="2" t="s">
        <v>1009</v>
      </c>
      <c r="C444" s="2" t="s">
        <v>58</v>
      </c>
      <c r="D444" s="2" t="s">
        <v>41</v>
      </c>
      <c r="E444" s="2" t="s">
        <v>78</v>
      </c>
      <c r="F444" s="2" t="s">
        <v>83</v>
      </c>
      <c r="G444" s="1">
        <v>0</v>
      </c>
      <c r="H444" s="1">
        <v>400</v>
      </c>
      <c r="I444" s="2" t="s">
        <v>56</v>
      </c>
      <c r="J444" s="2" t="s">
        <v>26</v>
      </c>
      <c r="K444" s="1">
        <v>542.26</v>
      </c>
      <c r="L444" s="3">
        <v>45726</v>
      </c>
    </row>
    <row r="445" spans="1:12" x14ac:dyDescent="0.25">
      <c r="A445" s="1">
        <v>100792</v>
      </c>
      <c r="B445" s="2" t="s">
        <v>125</v>
      </c>
      <c r="C445" s="2" t="s">
        <v>126</v>
      </c>
      <c r="D445" s="2" t="s">
        <v>16</v>
      </c>
      <c r="E445" s="2" t="s">
        <v>78</v>
      </c>
      <c r="F445" s="2" t="s">
        <v>83</v>
      </c>
      <c r="G445" s="1">
        <v>0</v>
      </c>
      <c r="H445" s="1">
        <v>461</v>
      </c>
      <c r="I445" s="2" t="s">
        <v>32</v>
      </c>
      <c r="J445" s="2" t="s">
        <v>20</v>
      </c>
      <c r="K445" s="1">
        <v>138.69999999999999</v>
      </c>
      <c r="L445" s="3">
        <v>45726</v>
      </c>
    </row>
    <row r="446" spans="1:12" x14ac:dyDescent="0.25">
      <c r="A446" s="1">
        <v>100875</v>
      </c>
      <c r="B446" s="2" t="s">
        <v>805</v>
      </c>
      <c r="C446" s="2" t="s">
        <v>62</v>
      </c>
      <c r="D446" s="2" t="s">
        <v>16</v>
      </c>
      <c r="E446" s="2" t="s">
        <v>55</v>
      </c>
      <c r="F446" s="2" t="s">
        <v>42</v>
      </c>
      <c r="G446" s="1">
        <v>50</v>
      </c>
      <c r="H446" s="1">
        <v>352</v>
      </c>
      <c r="I446" s="2" t="s">
        <v>32</v>
      </c>
      <c r="J446" s="2" t="s">
        <v>26</v>
      </c>
      <c r="K446" s="1">
        <v>737.07</v>
      </c>
      <c r="L446" s="3">
        <v>45725</v>
      </c>
    </row>
    <row r="447" spans="1:12" x14ac:dyDescent="0.25">
      <c r="A447" s="1">
        <v>101151</v>
      </c>
      <c r="B447" s="2" t="s">
        <v>371</v>
      </c>
      <c r="C447" s="2" t="s">
        <v>52</v>
      </c>
      <c r="D447" s="2" t="s">
        <v>16</v>
      </c>
      <c r="E447" s="2" t="s">
        <v>70</v>
      </c>
      <c r="F447" s="2" t="s">
        <v>18</v>
      </c>
      <c r="G447" s="1">
        <v>0</v>
      </c>
      <c r="H447" s="1">
        <v>339</v>
      </c>
      <c r="I447" s="2" t="s">
        <v>45</v>
      </c>
      <c r="J447" s="2" t="s">
        <v>26</v>
      </c>
      <c r="K447" s="1">
        <v>441.46</v>
      </c>
      <c r="L447" s="3">
        <v>45725</v>
      </c>
    </row>
    <row r="448" spans="1:12" x14ac:dyDescent="0.25">
      <c r="A448" s="1">
        <v>100544</v>
      </c>
      <c r="B448" s="2" t="s">
        <v>1303</v>
      </c>
      <c r="C448" s="2" t="s">
        <v>126</v>
      </c>
      <c r="D448" s="2" t="s">
        <v>50</v>
      </c>
      <c r="E448" s="2" t="s">
        <v>60</v>
      </c>
      <c r="F448" s="2" t="s">
        <v>18</v>
      </c>
      <c r="G448" s="1">
        <v>0</v>
      </c>
      <c r="H448" s="1">
        <v>788</v>
      </c>
      <c r="I448" s="2" t="s">
        <v>45</v>
      </c>
      <c r="J448" s="2" t="s">
        <v>33</v>
      </c>
      <c r="K448" s="1">
        <v>280.10000000000002</v>
      </c>
      <c r="L448" s="3">
        <v>45725</v>
      </c>
    </row>
    <row r="449" spans="1:12" x14ac:dyDescent="0.25">
      <c r="A449" s="1">
        <v>100141</v>
      </c>
      <c r="B449" s="2" t="s">
        <v>179</v>
      </c>
      <c r="C449" s="2" t="s">
        <v>149</v>
      </c>
      <c r="D449" s="2" t="s">
        <v>16</v>
      </c>
      <c r="E449" s="2" t="s">
        <v>17</v>
      </c>
      <c r="F449" s="2" t="s">
        <v>83</v>
      </c>
      <c r="G449" s="1">
        <v>0</v>
      </c>
      <c r="H449" s="1">
        <v>518</v>
      </c>
      <c r="I449" s="2" t="s">
        <v>56</v>
      </c>
      <c r="J449" s="2" t="s">
        <v>20</v>
      </c>
      <c r="K449" s="1">
        <v>199.88</v>
      </c>
      <c r="L449" s="3">
        <v>45725</v>
      </c>
    </row>
    <row r="450" spans="1:12" x14ac:dyDescent="0.25">
      <c r="A450" s="1">
        <v>100439</v>
      </c>
      <c r="B450" s="2" t="s">
        <v>1373</v>
      </c>
      <c r="C450" s="2" t="s">
        <v>122</v>
      </c>
      <c r="D450" s="2" t="s">
        <v>41</v>
      </c>
      <c r="E450" s="2" t="s">
        <v>60</v>
      </c>
      <c r="F450" s="2" t="s">
        <v>25</v>
      </c>
      <c r="G450" s="1">
        <v>4</v>
      </c>
      <c r="H450" s="1">
        <v>359</v>
      </c>
      <c r="I450" s="2" t="s">
        <v>45</v>
      </c>
      <c r="J450" s="2" t="s">
        <v>20</v>
      </c>
      <c r="K450" s="1">
        <v>191.04</v>
      </c>
      <c r="L450" s="3">
        <v>45724</v>
      </c>
    </row>
    <row r="451" spans="1:12" x14ac:dyDescent="0.25">
      <c r="A451" s="1">
        <v>102006</v>
      </c>
      <c r="B451" s="2" t="s">
        <v>286</v>
      </c>
      <c r="C451" s="2" t="s">
        <v>168</v>
      </c>
      <c r="D451" s="2" t="s">
        <v>41</v>
      </c>
      <c r="E451" s="2" t="s">
        <v>55</v>
      </c>
      <c r="F451" s="2" t="s">
        <v>18</v>
      </c>
      <c r="G451" s="1">
        <v>0</v>
      </c>
      <c r="H451" s="1">
        <v>434</v>
      </c>
      <c r="I451" s="2" t="s">
        <v>32</v>
      </c>
      <c r="J451" s="2" t="s">
        <v>20</v>
      </c>
      <c r="K451" s="1">
        <v>550.98</v>
      </c>
      <c r="L451" s="3">
        <v>45722</v>
      </c>
    </row>
    <row r="452" spans="1:12" x14ac:dyDescent="0.25">
      <c r="A452" s="1">
        <v>100109</v>
      </c>
      <c r="B452" s="2" t="s">
        <v>478</v>
      </c>
      <c r="C452" s="2" t="s">
        <v>218</v>
      </c>
      <c r="D452" s="2" t="s">
        <v>50</v>
      </c>
      <c r="E452" s="2" t="s">
        <v>78</v>
      </c>
      <c r="F452" s="2" t="s">
        <v>18</v>
      </c>
      <c r="G452" s="1">
        <v>0</v>
      </c>
      <c r="H452" s="1">
        <v>712</v>
      </c>
      <c r="I452" s="2" t="s">
        <v>56</v>
      </c>
      <c r="J452" s="2" t="s">
        <v>26</v>
      </c>
      <c r="K452" s="1">
        <v>514.54999999999995</v>
      </c>
      <c r="L452" s="3">
        <v>45722</v>
      </c>
    </row>
    <row r="453" spans="1:12" x14ac:dyDescent="0.25">
      <c r="A453" s="1">
        <v>100207</v>
      </c>
      <c r="B453" s="2" t="s">
        <v>329</v>
      </c>
      <c r="C453" s="2" t="s">
        <v>270</v>
      </c>
      <c r="D453" s="2" t="s">
        <v>106</v>
      </c>
      <c r="E453" s="2" t="s">
        <v>70</v>
      </c>
      <c r="F453" s="2" t="s">
        <v>18</v>
      </c>
      <c r="G453" s="1">
        <v>0</v>
      </c>
      <c r="H453" s="1">
        <v>328</v>
      </c>
      <c r="I453" s="2" t="s">
        <v>37</v>
      </c>
      <c r="J453" s="2" t="s">
        <v>33</v>
      </c>
      <c r="K453" s="1">
        <v>286.19</v>
      </c>
      <c r="L453" s="3">
        <v>45722</v>
      </c>
    </row>
    <row r="454" spans="1:12" x14ac:dyDescent="0.25">
      <c r="A454" s="1">
        <v>101678</v>
      </c>
      <c r="B454" s="2" t="s">
        <v>91</v>
      </c>
      <c r="C454" s="2" t="s">
        <v>58</v>
      </c>
      <c r="D454" s="2" t="s">
        <v>41</v>
      </c>
      <c r="E454" s="2" t="s">
        <v>17</v>
      </c>
      <c r="F454" s="2" t="s">
        <v>18</v>
      </c>
      <c r="G454" s="1">
        <v>0</v>
      </c>
      <c r="H454" s="1">
        <v>769</v>
      </c>
      <c r="I454" s="2" t="s">
        <v>32</v>
      </c>
      <c r="J454" s="2" t="s">
        <v>33</v>
      </c>
      <c r="K454" s="1">
        <v>9.92</v>
      </c>
      <c r="L454" s="3">
        <v>45722</v>
      </c>
    </row>
    <row r="455" spans="1:12" x14ac:dyDescent="0.25">
      <c r="A455" s="1">
        <v>101775</v>
      </c>
      <c r="B455" s="2" t="s">
        <v>129</v>
      </c>
      <c r="C455" s="2" t="s">
        <v>13</v>
      </c>
      <c r="D455" s="2" t="s">
        <v>16</v>
      </c>
      <c r="E455" s="2" t="s">
        <v>81</v>
      </c>
      <c r="F455" s="2" t="s">
        <v>18</v>
      </c>
      <c r="G455" s="1">
        <v>0</v>
      </c>
      <c r="H455" s="1">
        <v>336</v>
      </c>
      <c r="I455" s="2" t="s">
        <v>35</v>
      </c>
      <c r="J455" s="2" t="s">
        <v>20</v>
      </c>
      <c r="K455" s="1">
        <v>451.86</v>
      </c>
      <c r="L455" s="3">
        <v>45721</v>
      </c>
    </row>
    <row r="456" spans="1:12" x14ac:dyDescent="0.25">
      <c r="A456" s="1">
        <v>101019</v>
      </c>
      <c r="B456" s="2" t="s">
        <v>807</v>
      </c>
      <c r="C456" s="2" t="s">
        <v>85</v>
      </c>
      <c r="D456" s="2" t="s">
        <v>50</v>
      </c>
      <c r="E456" s="2" t="s">
        <v>55</v>
      </c>
      <c r="F456" s="2" t="s">
        <v>25</v>
      </c>
      <c r="G456" s="1">
        <v>19</v>
      </c>
      <c r="H456" s="1">
        <v>443</v>
      </c>
      <c r="I456" s="2" t="s">
        <v>37</v>
      </c>
      <c r="J456" s="2" t="s">
        <v>33</v>
      </c>
      <c r="K456" s="1">
        <v>373.41</v>
      </c>
      <c r="L456" s="3">
        <v>45721</v>
      </c>
    </row>
    <row r="457" spans="1:12" x14ac:dyDescent="0.25">
      <c r="A457" s="1">
        <v>101318</v>
      </c>
      <c r="B457" s="2" t="s">
        <v>1259</v>
      </c>
      <c r="C457" s="2" t="s">
        <v>35</v>
      </c>
      <c r="D457" s="2" t="s">
        <v>16</v>
      </c>
      <c r="E457" s="2" t="s">
        <v>55</v>
      </c>
      <c r="F457" s="2" t="s">
        <v>42</v>
      </c>
      <c r="G457" s="1">
        <v>107</v>
      </c>
      <c r="H457" s="1">
        <v>748</v>
      </c>
      <c r="I457" s="2" t="s">
        <v>56</v>
      </c>
      <c r="J457" s="2" t="s">
        <v>20</v>
      </c>
      <c r="K457" s="1">
        <v>372.51</v>
      </c>
      <c r="L457" s="3">
        <v>45721</v>
      </c>
    </row>
    <row r="458" spans="1:12" x14ac:dyDescent="0.25">
      <c r="A458" s="1">
        <v>100111</v>
      </c>
      <c r="B458" s="2" t="s">
        <v>292</v>
      </c>
      <c r="C458" s="2" t="s">
        <v>149</v>
      </c>
      <c r="D458" s="2" t="s">
        <v>41</v>
      </c>
      <c r="E458" s="2" t="s">
        <v>81</v>
      </c>
      <c r="F458" s="2" t="s">
        <v>18</v>
      </c>
      <c r="G458" s="1">
        <v>0</v>
      </c>
      <c r="H458" s="1">
        <v>466</v>
      </c>
      <c r="I458" s="2" t="s">
        <v>45</v>
      </c>
      <c r="J458" s="2" t="s">
        <v>20</v>
      </c>
      <c r="K458" s="1">
        <v>135.44999999999999</v>
      </c>
      <c r="L458" s="3">
        <v>45721</v>
      </c>
    </row>
    <row r="459" spans="1:12" x14ac:dyDescent="0.25">
      <c r="A459" s="1">
        <v>100365</v>
      </c>
      <c r="B459" s="2" t="s">
        <v>251</v>
      </c>
      <c r="C459" s="2" t="s">
        <v>72</v>
      </c>
      <c r="D459" s="2" t="s">
        <v>16</v>
      </c>
      <c r="E459" s="2" t="s">
        <v>31</v>
      </c>
      <c r="F459" s="2" t="s">
        <v>18</v>
      </c>
      <c r="G459" s="1">
        <v>0</v>
      </c>
      <c r="H459" s="1">
        <v>673</v>
      </c>
      <c r="I459" s="2" t="s">
        <v>32</v>
      </c>
      <c r="J459" s="2" t="s">
        <v>20</v>
      </c>
      <c r="K459" s="1">
        <v>683.32</v>
      </c>
      <c r="L459" s="3">
        <v>45720</v>
      </c>
    </row>
    <row r="460" spans="1:12" x14ac:dyDescent="0.25">
      <c r="A460" s="1">
        <v>101718</v>
      </c>
      <c r="B460" s="2" t="s">
        <v>162</v>
      </c>
      <c r="C460" s="2" t="s">
        <v>13</v>
      </c>
      <c r="D460" s="2" t="s">
        <v>50</v>
      </c>
      <c r="E460" s="2" t="s">
        <v>78</v>
      </c>
      <c r="F460" s="2" t="s">
        <v>83</v>
      </c>
      <c r="G460" s="1">
        <v>0</v>
      </c>
      <c r="H460" s="1">
        <v>410</v>
      </c>
      <c r="I460" s="2" t="s">
        <v>32</v>
      </c>
      <c r="J460" s="2" t="s">
        <v>26</v>
      </c>
      <c r="K460" s="1">
        <v>662.82</v>
      </c>
      <c r="L460" s="3">
        <v>45720</v>
      </c>
    </row>
    <row r="461" spans="1:12" x14ac:dyDescent="0.25">
      <c r="A461" s="1">
        <v>101705</v>
      </c>
      <c r="B461" s="2" t="s">
        <v>682</v>
      </c>
      <c r="C461" s="2" t="s">
        <v>152</v>
      </c>
      <c r="D461" s="2" t="s">
        <v>41</v>
      </c>
      <c r="E461" s="2" t="s">
        <v>78</v>
      </c>
      <c r="F461" s="2" t="s">
        <v>18</v>
      </c>
      <c r="G461" s="1">
        <v>0</v>
      </c>
      <c r="H461" s="1">
        <v>863</v>
      </c>
      <c r="I461" s="2" t="s">
        <v>37</v>
      </c>
      <c r="J461" s="2" t="s">
        <v>20</v>
      </c>
      <c r="K461" s="1">
        <v>536.77</v>
      </c>
      <c r="L461" s="3">
        <v>45720</v>
      </c>
    </row>
    <row r="462" spans="1:12" x14ac:dyDescent="0.25">
      <c r="A462" s="1">
        <v>100681</v>
      </c>
      <c r="B462" s="2" t="s">
        <v>266</v>
      </c>
      <c r="C462" s="2" t="s">
        <v>122</v>
      </c>
      <c r="D462" s="2" t="s">
        <v>16</v>
      </c>
      <c r="E462" s="2" t="s">
        <v>31</v>
      </c>
      <c r="F462" s="2" t="s">
        <v>18</v>
      </c>
      <c r="G462" s="1">
        <v>0</v>
      </c>
      <c r="H462" s="1">
        <v>504</v>
      </c>
      <c r="I462" s="2" t="s">
        <v>37</v>
      </c>
      <c r="J462" s="2" t="s">
        <v>20</v>
      </c>
      <c r="K462" s="1">
        <v>456.38</v>
      </c>
      <c r="L462" s="3">
        <v>45720</v>
      </c>
    </row>
    <row r="463" spans="1:12" x14ac:dyDescent="0.25">
      <c r="A463" s="1">
        <v>100089</v>
      </c>
      <c r="B463" s="2" t="s">
        <v>230</v>
      </c>
      <c r="C463" s="2" t="s">
        <v>95</v>
      </c>
      <c r="D463" s="2" t="s">
        <v>106</v>
      </c>
      <c r="E463" s="2" t="s">
        <v>31</v>
      </c>
      <c r="F463" s="2" t="s">
        <v>18</v>
      </c>
      <c r="G463" s="1">
        <v>0</v>
      </c>
      <c r="H463" s="1">
        <v>818</v>
      </c>
      <c r="I463" s="2" t="s">
        <v>45</v>
      </c>
      <c r="J463" s="2" t="s">
        <v>33</v>
      </c>
      <c r="K463" s="1">
        <v>404.05</v>
      </c>
      <c r="L463" s="3">
        <v>45720</v>
      </c>
    </row>
    <row r="464" spans="1:12" x14ac:dyDescent="0.25">
      <c r="A464" s="1">
        <v>101387</v>
      </c>
      <c r="B464" s="2" t="s">
        <v>595</v>
      </c>
      <c r="C464" s="2" t="s">
        <v>22</v>
      </c>
      <c r="D464" s="2" t="s">
        <v>41</v>
      </c>
      <c r="E464" s="2" t="s">
        <v>60</v>
      </c>
      <c r="F464" s="2" t="s">
        <v>25</v>
      </c>
      <c r="G464" s="1">
        <v>9</v>
      </c>
      <c r="H464" s="1">
        <v>372</v>
      </c>
      <c r="I464" s="2" t="s">
        <v>56</v>
      </c>
      <c r="J464" s="2" t="s">
        <v>20</v>
      </c>
      <c r="K464" s="1">
        <v>342.28</v>
      </c>
      <c r="L464" s="3">
        <v>45720</v>
      </c>
    </row>
    <row r="465" spans="1:12" x14ac:dyDescent="0.25">
      <c r="A465" s="1">
        <v>101225</v>
      </c>
      <c r="B465" s="2" t="s">
        <v>595</v>
      </c>
      <c r="C465" s="2" t="s">
        <v>22</v>
      </c>
      <c r="D465" s="2" t="s">
        <v>16</v>
      </c>
      <c r="E465" s="2" t="s">
        <v>55</v>
      </c>
      <c r="F465" s="2" t="s">
        <v>25</v>
      </c>
      <c r="G465" s="1">
        <v>9</v>
      </c>
      <c r="H465" s="1">
        <v>372</v>
      </c>
      <c r="I465" s="2" t="s">
        <v>37</v>
      </c>
      <c r="J465" s="2" t="s">
        <v>20</v>
      </c>
      <c r="K465" s="1">
        <v>198.08</v>
      </c>
      <c r="L465" s="3">
        <v>45720</v>
      </c>
    </row>
    <row r="466" spans="1:12" x14ac:dyDescent="0.25">
      <c r="A466" s="1">
        <v>102115</v>
      </c>
      <c r="B466" s="2" t="s">
        <v>61</v>
      </c>
      <c r="C466" s="2" t="s">
        <v>62</v>
      </c>
      <c r="D466" s="2" t="s">
        <v>64</v>
      </c>
      <c r="E466" s="2" t="s">
        <v>60</v>
      </c>
      <c r="F466" s="2" t="s">
        <v>42</v>
      </c>
      <c r="G466" s="1">
        <v>62</v>
      </c>
      <c r="H466" s="1">
        <v>542</v>
      </c>
      <c r="I466" s="2" t="s">
        <v>37</v>
      </c>
      <c r="J466" s="2" t="s">
        <v>20</v>
      </c>
      <c r="K466" s="1">
        <v>166.31</v>
      </c>
      <c r="L466" s="3">
        <v>45720</v>
      </c>
    </row>
    <row r="467" spans="1:12" x14ac:dyDescent="0.25">
      <c r="A467" s="1">
        <v>101026</v>
      </c>
      <c r="B467" s="2" t="s">
        <v>307</v>
      </c>
      <c r="C467" s="2" t="s">
        <v>58</v>
      </c>
      <c r="D467" s="2" t="s">
        <v>106</v>
      </c>
      <c r="E467" s="2" t="s">
        <v>55</v>
      </c>
      <c r="F467" s="2" t="s">
        <v>18</v>
      </c>
      <c r="G467" s="1">
        <v>0</v>
      </c>
      <c r="H467" s="1">
        <v>616</v>
      </c>
      <c r="I467" s="2" t="s">
        <v>56</v>
      </c>
      <c r="J467" s="2" t="s">
        <v>20</v>
      </c>
      <c r="K467" s="1"/>
      <c r="L467" s="3">
        <v>45720</v>
      </c>
    </row>
    <row r="468" spans="1:12" x14ac:dyDescent="0.25">
      <c r="A468" s="1">
        <v>101231</v>
      </c>
      <c r="B468" s="2" t="s">
        <v>706</v>
      </c>
      <c r="C468" s="2" t="s">
        <v>72</v>
      </c>
      <c r="D468" s="2" t="s">
        <v>50</v>
      </c>
      <c r="E468" s="2" t="s">
        <v>55</v>
      </c>
      <c r="F468" s="2" t="s">
        <v>18</v>
      </c>
      <c r="G468" s="1">
        <v>0</v>
      </c>
      <c r="H468" s="1">
        <v>382</v>
      </c>
      <c r="I468" s="2" t="s">
        <v>56</v>
      </c>
      <c r="J468" s="2" t="s">
        <v>33</v>
      </c>
      <c r="K468" s="1">
        <v>466.08</v>
      </c>
      <c r="L468" s="3">
        <v>45719</v>
      </c>
    </row>
    <row r="469" spans="1:12" x14ac:dyDescent="0.25">
      <c r="A469" s="1">
        <v>101005</v>
      </c>
      <c r="B469" s="2" t="s">
        <v>84</v>
      </c>
      <c r="C469" s="2" t="s">
        <v>85</v>
      </c>
      <c r="D469" s="2" t="s">
        <v>106</v>
      </c>
      <c r="E469" s="2" t="s">
        <v>55</v>
      </c>
      <c r="F469" s="2" t="s">
        <v>42</v>
      </c>
      <c r="G469" s="1">
        <v>144</v>
      </c>
      <c r="H469" s="1">
        <v>400</v>
      </c>
      <c r="I469" s="2" t="s">
        <v>45</v>
      </c>
      <c r="J469" s="2" t="s">
        <v>20</v>
      </c>
      <c r="K469" s="1">
        <v>356.68</v>
      </c>
      <c r="L469" s="3">
        <v>45719</v>
      </c>
    </row>
    <row r="470" spans="1:12" x14ac:dyDescent="0.25">
      <c r="A470" s="1">
        <v>101633</v>
      </c>
      <c r="B470" s="2" t="s">
        <v>540</v>
      </c>
      <c r="C470" s="2" t="s">
        <v>13</v>
      </c>
      <c r="D470" s="2" t="s">
        <v>106</v>
      </c>
      <c r="E470" s="2" t="s">
        <v>31</v>
      </c>
      <c r="F470" s="2" t="s">
        <v>18</v>
      </c>
      <c r="G470" s="1">
        <v>0</v>
      </c>
      <c r="H470" s="1">
        <v>487</v>
      </c>
      <c r="I470" s="2" t="s">
        <v>56</v>
      </c>
      <c r="J470" s="2" t="s">
        <v>20</v>
      </c>
      <c r="K470" s="1">
        <v>282.64999999999998</v>
      </c>
      <c r="L470" s="3">
        <v>45719</v>
      </c>
    </row>
    <row r="471" spans="1:12" x14ac:dyDescent="0.25">
      <c r="A471" s="1">
        <v>100942</v>
      </c>
      <c r="B471" s="2" t="s">
        <v>446</v>
      </c>
      <c r="C471" s="2" t="s">
        <v>168</v>
      </c>
      <c r="D471" s="2" t="s">
        <v>64</v>
      </c>
      <c r="E471" s="2" t="s">
        <v>78</v>
      </c>
      <c r="F471" s="2" t="s">
        <v>18</v>
      </c>
      <c r="G471" s="1">
        <v>0</v>
      </c>
      <c r="H471" s="1">
        <v>515</v>
      </c>
      <c r="I471" s="2" t="s">
        <v>37</v>
      </c>
      <c r="J471" s="2" t="s">
        <v>20</v>
      </c>
      <c r="K471" s="1">
        <v>248.57</v>
      </c>
      <c r="L471" s="3">
        <v>45719</v>
      </c>
    </row>
    <row r="472" spans="1:12" x14ac:dyDescent="0.25">
      <c r="A472" s="1">
        <v>101534</v>
      </c>
      <c r="B472" s="2" t="s">
        <v>390</v>
      </c>
      <c r="C472" s="2" t="s">
        <v>110</v>
      </c>
      <c r="D472" s="2" t="s">
        <v>50</v>
      </c>
      <c r="E472" s="2" t="s">
        <v>60</v>
      </c>
      <c r="F472" s="2" t="s">
        <v>83</v>
      </c>
      <c r="G472" s="1">
        <v>0</v>
      </c>
      <c r="H472" s="1">
        <v>773</v>
      </c>
      <c r="I472" s="2" t="s">
        <v>19</v>
      </c>
      <c r="J472" s="2" t="s">
        <v>26</v>
      </c>
      <c r="K472" s="1">
        <v>236.72</v>
      </c>
      <c r="L472" s="3">
        <v>45719</v>
      </c>
    </row>
    <row r="473" spans="1:12" x14ac:dyDescent="0.25">
      <c r="A473" s="1">
        <v>101163</v>
      </c>
      <c r="B473" s="2" t="s">
        <v>160</v>
      </c>
      <c r="C473" s="2" t="s">
        <v>72</v>
      </c>
      <c r="D473" s="2" t="s">
        <v>41</v>
      </c>
      <c r="E473" s="2" t="s">
        <v>81</v>
      </c>
      <c r="F473" s="2" t="s">
        <v>18</v>
      </c>
      <c r="G473" s="1">
        <v>0</v>
      </c>
      <c r="H473" s="1">
        <v>585</v>
      </c>
      <c r="I473" s="2" t="s">
        <v>56</v>
      </c>
      <c r="J473" s="2" t="s">
        <v>20</v>
      </c>
      <c r="K473" s="1">
        <v>217.98</v>
      </c>
      <c r="L473" s="3">
        <v>45719</v>
      </c>
    </row>
    <row r="474" spans="1:12" x14ac:dyDescent="0.25">
      <c r="A474" s="1">
        <v>102161</v>
      </c>
      <c r="B474" s="2" t="s">
        <v>325</v>
      </c>
      <c r="C474" s="2" t="s">
        <v>126</v>
      </c>
      <c r="D474" s="2" t="s">
        <v>16</v>
      </c>
      <c r="E474" s="2" t="s">
        <v>78</v>
      </c>
      <c r="F474" s="2" t="s">
        <v>25</v>
      </c>
      <c r="G474" s="1">
        <v>26</v>
      </c>
      <c r="H474" s="1">
        <v>570</v>
      </c>
      <c r="I474" s="2" t="s">
        <v>45</v>
      </c>
      <c r="J474" s="2" t="s">
        <v>20</v>
      </c>
      <c r="K474" s="1">
        <v>216.95</v>
      </c>
      <c r="L474" s="3">
        <v>45719</v>
      </c>
    </row>
    <row r="475" spans="1:12" x14ac:dyDescent="0.25">
      <c r="A475" s="1">
        <v>100766</v>
      </c>
      <c r="B475" s="2" t="s">
        <v>212</v>
      </c>
      <c r="C475" s="2" t="s">
        <v>95</v>
      </c>
      <c r="D475" s="2" t="s">
        <v>41</v>
      </c>
      <c r="E475" s="2" t="s">
        <v>31</v>
      </c>
      <c r="F475" s="2" t="s">
        <v>18</v>
      </c>
      <c r="G475" s="1">
        <v>0</v>
      </c>
      <c r="H475" s="1">
        <v>662</v>
      </c>
      <c r="I475" s="2" t="s">
        <v>56</v>
      </c>
      <c r="J475" s="2" t="s">
        <v>20</v>
      </c>
      <c r="K475" s="1">
        <v>213.23</v>
      </c>
      <c r="L475" s="3">
        <v>45719</v>
      </c>
    </row>
    <row r="476" spans="1:12" x14ac:dyDescent="0.25">
      <c r="A476" s="1">
        <v>100223</v>
      </c>
      <c r="B476" s="2" t="s">
        <v>890</v>
      </c>
      <c r="C476" s="2" t="s">
        <v>149</v>
      </c>
      <c r="D476" s="2" t="s">
        <v>41</v>
      </c>
      <c r="E476" s="2" t="s">
        <v>70</v>
      </c>
      <c r="F476" s="2" t="s">
        <v>83</v>
      </c>
      <c r="G476" s="1" t="s">
        <v>35</v>
      </c>
      <c r="H476" s="1">
        <v>733</v>
      </c>
      <c r="I476" s="2" t="s">
        <v>56</v>
      </c>
      <c r="J476" s="2" t="s">
        <v>20</v>
      </c>
      <c r="K476" s="1">
        <v>173.84</v>
      </c>
      <c r="L476" s="3">
        <v>45719</v>
      </c>
    </row>
    <row r="477" spans="1:12" x14ac:dyDescent="0.25">
      <c r="A477" s="1">
        <v>101762</v>
      </c>
      <c r="B477" s="2" t="s">
        <v>61</v>
      </c>
      <c r="C477" s="2" t="s">
        <v>62</v>
      </c>
      <c r="D477" s="2" t="s">
        <v>41</v>
      </c>
      <c r="E477" s="2" t="s">
        <v>70</v>
      </c>
      <c r="F477" s="2" t="s">
        <v>18</v>
      </c>
      <c r="G477" s="1">
        <v>0</v>
      </c>
      <c r="H477" s="1">
        <v>542</v>
      </c>
      <c r="I477" s="2" t="s">
        <v>19</v>
      </c>
      <c r="J477" s="2" t="s">
        <v>26</v>
      </c>
      <c r="K477" s="1">
        <v>637.46</v>
      </c>
      <c r="L477" s="3">
        <v>45718</v>
      </c>
    </row>
    <row r="478" spans="1:12" x14ac:dyDescent="0.25">
      <c r="A478" s="1">
        <v>100780</v>
      </c>
      <c r="B478" s="2" t="s">
        <v>215</v>
      </c>
      <c r="C478" s="2" t="s">
        <v>126</v>
      </c>
      <c r="D478" s="2" t="s">
        <v>16</v>
      </c>
      <c r="E478" s="2" t="s">
        <v>31</v>
      </c>
      <c r="F478" s="2" t="s">
        <v>18</v>
      </c>
      <c r="G478" s="1">
        <v>0</v>
      </c>
      <c r="H478" s="1">
        <v>395</v>
      </c>
      <c r="I478" s="2" t="s">
        <v>19</v>
      </c>
      <c r="J478" s="2" t="s">
        <v>33</v>
      </c>
      <c r="K478" s="1">
        <v>531.82000000000005</v>
      </c>
      <c r="L478" s="3">
        <v>45718</v>
      </c>
    </row>
    <row r="479" spans="1:12" x14ac:dyDescent="0.25">
      <c r="A479" s="1">
        <v>101987</v>
      </c>
      <c r="B479" s="2" t="s">
        <v>75</v>
      </c>
      <c r="C479" s="2" t="s">
        <v>39</v>
      </c>
      <c r="D479" s="2" t="s">
        <v>64</v>
      </c>
      <c r="E479" s="2" t="s">
        <v>78</v>
      </c>
      <c r="F479" s="2" t="s">
        <v>18</v>
      </c>
      <c r="G479" s="1">
        <v>0</v>
      </c>
      <c r="H479" s="1">
        <v>554</v>
      </c>
      <c r="I479" s="2" t="s">
        <v>19</v>
      </c>
      <c r="J479" s="2" t="s">
        <v>33</v>
      </c>
      <c r="K479" s="1">
        <v>353.83</v>
      </c>
      <c r="L479" s="3">
        <v>45718</v>
      </c>
    </row>
    <row r="480" spans="1:12" x14ac:dyDescent="0.25">
      <c r="A480" s="1">
        <v>101119</v>
      </c>
      <c r="B480" s="2" t="s">
        <v>576</v>
      </c>
      <c r="C480" s="2" t="s">
        <v>22</v>
      </c>
      <c r="D480" s="2" t="s">
        <v>16</v>
      </c>
      <c r="E480" s="2" t="s">
        <v>81</v>
      </c>
      <c r="F480" s="2" t="s">
        <v>25</v>
      </c>
      <c r="G480" s="1">
        <v>9</v>
      </c>
      <c r="H480" s="1">
        <v>418</v>
      </c>
      <c r="I480" s="2" t="s">
        <v>19</v>
      </c>
      <c r="J480" s="2" t="s">
        <v>20</v>
      </c>
      <c r="K480" s="1">
        <v>265.81</v>
      </c>
      <c r="L480" s="3">
        <v>45718</v>
      </c>
    </row>
    <row r="481" spans="1:12" x14ac:dyDescent="0.25">
      <c r="A481" s="1">
        <v>101931</v>
      </c>
      <c r="B481" s="2" t="s">
        <v>1042</v>
      </c>
      <c r="C481" s="2" t="s">
        <v>58</v>
      </c>
      <c r="D481" s="2" t="s">
        <v>16</v>
      </c>
      <c r="E481" s="2" t="s">
        <v>70</v>
      </c>
      <c r="F481" s="2" t="s">
        <v>18</v>
      </c>
      <c r="G481" s="1">
        <v>0</v>
      </c>
      <c r="H481" s="1">
        <v>578</v>
      </c>
      <c r="I481" s="2" t="s">
        <v>37</v>
      </c>
      <c r="J481" s="2" t="s">
        <v>26</v>
      </c>
      <c r="K481" s="1">
        <v>870.29</v>
      </c>
      <c r="L481" s="3">
        <v>45717</v>
      </c>
    </row>
    <row r="482" spans="1:12" x14ac:dyDescent="0.25">
      <c r="A482" s="1">
        <v>101655</v>
      </c>
      <c r="B482" s="2" t="s">
        <v>460</v>
      </c>
      <c r="C482" s="2" t="s">
        <v>95</v>
      </c>
      <c r="D482" s="2" t="s">
        <v>41</v>
      </c>
      <c r="E482" s="2" t="s">
        <v>70</v>
      </c>
      <c r="F482" s="2" t="s">
        <v>18</v>
      </c>
      <c r="G482" s="1">
        <v>0</v>
      </c>
      <c r="H482" s="1">
        <v>716</v>
      </c>
      <c r="I482" s="2" t="s">
        <v>56</v>
      </c>
      <c r="J482" s="2" t="s">
        <v>20</v>
      </c>
      <c r="K482" s="1">
        <v>488.16</v>
      </c>
      <c r="L482" s="3">
        <v>45717</v>
      </c>
    </row>
    <row r="483" spans="1:12" x14ac:dyDescent="0.25">
      <c r="A483" s="1">
        <v>100289</v>
      </c>
      <c r="B483" s="2" t="s">
        <v>167</v>
      </c>
      <c r="C483" s="2" t="s">
        <v>168</v>
      </c>
      <c r="D483" s="2" t="s">
        <v>106</v>
      </c>
      <c r="E483" s="2" t="s">
        <v>70</v>
      </c>
      <c r="F483" s="2" t="s">
        <v>83</v>
      </c>
      <c r="G483" s="1" t="s">
        <v>35</v>
      </c>
      <c r="H483" s="1">
        <v>658</v>
      </c>
      <c r="I483" s="2" t="s">
        <v>56</v>
      </c>
      <c r="J483" s="2" t="s">
        <v>26</v>
      </c>
      <c r="K483" s="1">
        <v>355.39</v>
      </c>
      <c r="L483" s="3">
        <v>45717</v>
      </c>
    </row>
    <row r="484" spans="1:12" x14ac:dyDescent="0.25">
      <c r="A484" s="1">
        <v>100578</v>
      </c>
      <c r="B484" s="2" t="s">
        <v>84</v>
      </c>
      <c r="C484" s="2" t="s">
        <v>85</v>
      </c>
      <c r="D484" s="2" t="s">
        <v>64</v>
      </c>
      <c r="E484" s="2" t="s">
        <v>55</v>
      </c>
      <c r="F484" s="2" t="s">
        <v>18</v>
      </c>
      <c r="G484" s="1">
        <v>0</v>
      </c>
      <c r="H484" s="1">
        <v>400</v>
      </c>
      <c r="I484" s="2" t="s">
        <v>19</v>
      </c>
      <c r="J484" s="2" t="s">
        <v>20</v>
      </c>
      <c r="K484" s="1">
        <v>350.88</v>
      </c>
      <c r="L484" s="3">
        <v>45717</v>
      </c>
    </row>
    <row r="485" spans="1:12" x14ac:dyDescent="0.25">
      <c r="A485" s="1">
        <v>101549</v>
      </c>
      <c r="B485" s="2" t="s">
        <v>1373</v>
      </c>
      <c r="C485" s="2" t="s">
        <v>122</v>
      </c>
      <c r="D485" s="2" t="s">
        <v>41</v>
      </c>
      <c r="E485" s="2" t="s">
        <v>70</v>
      </c>
      <c r="F485" s="2" t="s">
        <v>18</v>
      </c>
      <c r="G485" s="1">
        <v>0</v>
      </c>
      <c r="H485" s="1">
        <v>359</v>
      </c>
      <c r="I485" s="2" t="s">
        <v>37</v>
      </c>
      <c r="J485" s="2" t="s">
        <v>20</v>
      </c>
      <c r="K485" s="1">
        <v>321.04000000000002</v>
      </c>
      <c r="L485" s="3">
        <v>45717</v>
      </c>
    </row>
    <row r="486" spans="1:12" x14ac:dyDescent="0.25">
      <c r="A486" s="1">
        <v>102059</v>
      </c>
      <c r="B486" s="2" t="s">
        <v>27</v>
      </c>
      <c r="C486" s="2" t="s">
        <v>28</v>
      </c>
      <c r="D486" s="2" t="s">
        <v>41</v>
      </c>
      <c r="E486" s="2" t="s">
        <v>31</v>
      </c>
      <c r="F486" s="2" t="s">
        <v>25</v>
      </c>
      <c r="G486" s="1">
        <v>19</v>
      </c>
      <c r="H486" s="1">
        <v>849</v>
      </c>
      <c r="I486" s="2" t="s">
        <v>45</v>
      </c>
      <c r="J486" s="2" t="s">
        <v>20</v>
      </c>
      <c r="K486" s="1">
        <v>293.32</v>
      </c>
      <c r="L486" s="3">
        <v>45717</v>
      </c>
    </row>
    <row r="487" spans="1:12" x14ac:dyDescent="0.25">
      <c r="A487" s="1">
        <v>100136</v>
      </c>
      <c r="B487" s="2" t="s">
        <v>2030</v>
      </c>
      <c r="C487" s="2" t="s">
        <v>168</v>
      </c>
      <c r="D487" s="2" t="s">
        <v>106</v>
      </c>
      <c r="E487" s="2" t="s">
        <v>81</v>
      </c>
      <c r="F487" s="2" t="s">
        <v>25</v>
      </c>
      <c r="G487" s="1">
        <v>4</v>
      </c>
      <c r="H487" s="1">
        <v>768</v>
      </c>
      <c r="I487" s="2" t="s">
        <v>45</v>
      </c>
      <c r="J487" s="2" t="s">
        <v>33</v>
      </c>
      <c r="K487" s="1">
        <v>232.79</v>
      </c>
      <c r="L487" s="3">
        <v>45717</v>
      </c>
    </row>
    <row r="488" spans="1:12" x14ac:dyDescent="0.25">
      <c r="A488" s="1">
        <v>100869</v>
      </c>
      <c r="B488" s="2" t="s">
        <v>429</v>
      </c>
      <c r="C488" s="2" t="s">
        <v>52</v>
      </c>
      <c r="D488" s="2" t="s">
        <v>16</v>
      </c>
      <c r="E488" s="2" t="s">
        <v>60</v>
      </c>
      <c r="F488" s="2" t="s">
        <v>83</v>
      </c>
      <c r="G488" s="1">
        <v>0</v>
      </c>
      <c r="H488" s="1">
        <v>568</v>
      </c>
      <c r="I488" s="2" t="s">
        <v>19</v>
      </c>
      <c r="J488" s="2" t="s">
        <v>20</v>
      </c>
      <c r="K488" s="1">
        <v>221.28</v>
      </c>
      <c r="L488" s="3">
        <v>45716</v>
      </c>
    </row>
    <row r="489" spans="1:12" x14ac:dyDescent="0.25">
      <c r="A489" s="1">
        <v>101073</v>
      </c>
      <c r="B489" s="2" t="s">
        <v>141</v>
      </c>
      <c r="C489" s="2" t="s">
        <v>142</v>
      </c>
      <c r="D489" s="2" t="s">
        <v>64</v>
      </c>
      <c r="E489" s="2" t="s">
        <v>70</v>
      </c>
      <c r="F489" s="2" t="s">
        <v>25</v>
      </c>
      <c r="G489" s="1">
        <v>4</v>
      </c>
      <c r="H489" s="1">
        <v>430</v>
      </c>
      <c r="I489" s="2" t="s">
        <v>32</v>
      </c>
      <c r="J489" s="2" t="s">
        <v>33</v>
      </c>
      <c r="K489" s="1">
        <v>177.11</v>
      </c>
      <c r="L489" s="3">
        <v>45716</v>
      </c>
    </row>
    <row r="490" spans="1:12" x14ac:dyDescent="0.25">
      <c r="A490" s="1">
        <v>101404</v>
      </c>
      <c r="B490" s="2" t="s">
        <v>558</v>
      </c>
      <c r="C490" s="2" t="s">
        <v>218</v>
      </c>
      <c r="D490" s="2" t="s">
        <v>64</v>
      </c>
      <c r="E490" s="2" t="s">
        <v>70</v>
      </c>
      <c r="F490" s="2" t="s">
        <v>25</v>
      </c>
      <c r="G490" s="1">
        <v>21</v>
      </c>
      <c r="H490" s="1">
        <v>784</v>
      </c>
      <c r="I490" s="2" t="s">
        <v>32</v>
      </c>
      <c r="J490" s="2" t="s">
        <v>33</v>
      </c>
      <c r="K490" s="1">
        <v>167.1</v>
      </c>
      <c r="L490" s="3">
        <v>45716</v>
      </c>
    </row>
    <row r="491" spans="1:12" x14ac:dyDescent="0.25">
      <c r="A491" s="1">
        <v>102009</v>
      </c>
      <c r="B491" s="2" t="s">
        <v>1036</v>
      </c>
      <c r="C491" s="2" t="s">
        <v>149</v>
      </c>
      <c r="D491" s="2" t="s">
        <v>41</v>
      </c>
      <c r="E491" s="2" t="s">
        <v>31</v>
      </c>
      <c r="F491" s="2" t="s">
        <v>83</v>
      </c>
      <c r="G491" s="1">
        <v>0</v>
      </c>
      <c r="H491" s="1">
        <v>358</v>
      </c>
      <c r="I491" s="2" t="s">
        <v>37</v>
      </c>
      <c r="J491" s="2" t="s">
        <v>33</v>
      </c>
      <c r="K491" s="1">
        <v>98.84</v>
      </c>
      <c r="L491" s="3">
        <v>45716</v>
      </c>
    </row>
    <row r="492" spans="1:12" x14ac:dyDescent="0.25">
      <c r="A492" s="1">
        <v>100582</v>
      </c>
      <c r="B492" s="2" t="s">
        <v>576</v>
      </c>
      <c r="C492" s="2" t="s">
        <v>22</v>
      </c>
      <c r="D492" s="2" t="s">
        <v>41</v>
      </c>
      <c r="E492" s="2" t="s">
        <v>31</v>
      </c>
      <c r="F492" s="2" t="s">
        <v>18</v>
      </c>
      <c r="G492" s="1">
        <v>0</v>
      </c>
      <c r="H492" s="1">
        <v>418</v>
      </c>
      <c r="I492" s="2" t="s">
        <v>45</v>
      </c>
      <c r="J492" s="2" t="s">
        <v>20</v>
      </c>
      <c r="K492" s="1">
        <v>775.27</v>
      </c>
      <c r="L492" s="3">
        <v>45715</v>
      </c>
    </row>
    <row r="493" spans="1:12" x14ac:dyDescent="0.25">
      <c r="A493" s="1">
        <v>100295</v>
      </c>
      <c r="B493" s="2" t="s">
        <v>243</v>
      </c>
      <c r="C493" s="2" t="s">
        <v>244</v>
      </c>
      <c r="D493" s="2" t="s">
        <v>64</v>
      </c>
      <c r="E493" s="2" t="s">
        <v>17</v>
      </c>
      <c r="F493" s="2" t="s">
        <v>18</v>
      </c>
      <c r="G493" s="1">
        <v>0</v>
      </c>
      <c r="H493" s="1">
        <v>729</v>
      </c>
      <c r="I493" s="2" t="s">
        <v>32</v>
      </c>
      <c r="J493" s="2" t="s">
        <v>33</v>
      </c>
      <c r="K493" s="1">
        <v>494.34</v>
      </c>
      <c r="L493" s="3">
        <v>45715</v>
      </c>
    </row>
    <row r="494" spans="1:12" x14ac:dyDescent="0.25">
      <c r="A494" s="1">
        <v>101753</v>
      </c>
      <c r="B494" s="2" t="s">
        <v>528</v>
      </c>
      <c r="C494" s="2" t="s">
        <v>103</v>
      </c>
      <c r="D494" s="2" t="s">
        <v>64</v>
      </c>
      <c r="E494" s="2" t="s">
        <v>81</v>
      </c>
      <c r="F494" s="2" t="s">
        <v>25</v>
      </c>
      <c r="G494" s="1">
        <v>25</v>
      </c>
      <c r="H494" s="1">
        <v>583</v>
      </c>
      <c r="I494" s="2" t="s">
        <v>19</v>
      </c>
      <c r="J494" s="2" t="s">
        <v>33</v>
      </c>
      <c r="K494" s="1">
        <v>461.05</v>
      </c>
      <c r="L494" s="3">
        <v>45715</v>
      </c>
    </row>
    <row r="495" spans="1:12" x14ac:dyDescent="0.25">
      <c r="A495" s="1">
        <v>102054</v>
      </c>
      <c r="B495" s="2" t="s">
        <v>1155</v>
      </c>
      <c r="C495" s="2" t="s">
        <v>218</v>
      </c>
      <c r="D495" s="2" t="s">
        <v>41</v>
      </c>
      <c r="E495" s="2" t="s">
        <v>31</v>
      </c>
      <c r="F495" s="2" t="s">
        <v>83</v>
      </c>
      <c r="G495" s="1">
        <v>0</v>
      </c>
      <c r="H495" s="1">
        <v>557</v>
      </c>
      <c r="I495" s="2" t="s">
        <v>37</v>
      </c>
      <c r="J495" s="2" t="s">
        <v>20</v>
      </c>
      <c r="K495" s="1">
        <v>417.47</v>
      </c>
      <c r="L495" s="3">
        <v>45715</v>
      </c>
    </row>
    <row r="496" spans="1:12" x14ac:dyDescent="0.25">
      <c r="A496" s="1">
        <v>102181</v>
      </c>
      <c r="B496" s="2" t="s">
        <v>99</v>
      </c>
      <c r="C496" s="2" t="s">
        <v>100</v>
      </c>
      <c r="D496" s="2" t="s">
        <v>16</v>
      </c>
      <c r="E496" s="2" t="s">
        <v>17</v>
      </c>
      <c r="F496" s="2" t="s">
        <v>83</v>
      </c>
      <c r="G496" s="1">
        <v>0</v>
      </c>
      <c r="H496" s="1">
        <v>414</v>
      </c>
      <c r="I496" s="2" t="s">
        <v>32</v>
      </c>
      <c r="J496" s="2" t="s">
        <v>20</v>
      </c>
      <c r="K496" s="1">
        <v>257.18</v>
      </c>
      <c r="L496" s="3">
        <v>45715</v>
      </c>
    </row>
    <row r="497" spans="1:12" x14ac:dyDescent="0.25">
      <c r="A497" s="1">
        <v>101876</v>
      </c>
      <c r="B497" s="2" t="s">
        <v>1402</v>
      </c>
      <c r="C497" s="2" t="s">
        <v>100</v>
      </c>
      <c r="D497" s="2" t="s">
        <v>16</v>
      </c>
      <c r="E497" s="2" t="s">
        <v>70</v>
      </c>
      <c r="F497" s="2" t="s">
        <v>18</v>
      </c>
      <c r="G497" s="1">
        <v>0</v>
      </c>
      <c r="H497" s="1">
        <v>588</v>
      </c>
      <c r="I497" s="2" t="s">
        <v>35</v>
      </c>
      <c r="J497" s="2" t="s">
        <v>20</v>
      </c>
      <c r="K497" s="1">
        <v>722.07</v>
      </c>
      <c r="L497" s="3">
        <v>45714</v>
      </c>
    </row>
    <row r="498" spans="1:12" x14ac:dyDescent="0.25">
      <c r="A498" s="1">
        <v>101545</v>
      </c>
      <c r="B498" s="2" t="s">
        <v>61</v>
      </c>
      <c r="C498" s="2" t="s">
        <v>62</v>
      </c>
      <c r="D498" s="2" t="s">
        <v>64</v>
      </c>
      <c r="E498" s="2" t="s">
        <v>60</v>
      </c>
      <c r="F498" s="2" t="s">
        <v>18</v>
      </c>
      <c r="G498" s="1">
        <v>0</v>
      </c>
      <c r="H498" s="1">
        <v>542</v>
      </c>
      <c r="I498" s="2" t="s">
        <v>37</v>
      </c>
      <c r="J498" s="2" t="s">
        <v>35</v>
      </c>
      <c r="K498" s="1">
        <v>294.37</v>
      </c>
      <c r="L498" s="3">
        <v>45713</v>
      </c>
    </row>
    <row r="499" spans="1:12" x14ac:dyDescent="0.25">
      <c r="A499" s="1">
        <v>100245</v>
      </c>
      <c r="B499" s="2" t="s">
        <v>241</v>
      </c>
      <c r="C499" s="2" t="s">
        <v>58</v>
      </c>
      <c r="D499" s="2" t="s">
        <v>41</v>
      </c>
      <c r="E499" s="2" t="s">
        <v>60</v>
      </c>
      <c r="F499" s="2" t="s">
        <v>83</v>
      </c>
      <c r="G499" s="1">
        <v>0</v>
      </c>
      <c r="H499" s="1">
        <v>468</v>
      </c>
      <c r="I499" s="2" t="s">
        <v>45</v>
      </c>
      <c r="J499" s="2" t="s">
        <v>20</v>
      </c>
      <c r="K499" s="1">
        <v>880.05</v>
      </c>
      <c r="L499" s="3">
        <v>45712</v>
      </c>
    </row>
    <row r="500" spans="1:12" x14ac:dyDescent="0.25">
      <c r="A500" s="1">
        <v>100338</v>
      </c>
      <c r="B500" s="2" t="s">
        <v>374</v>
      </c>
      <c r="C500" s="2" t="s">
        <v>47</v>
      </c>
      <c r="D500" s="2" t="s">
        <v>41</v>
      </c>
      <c r="E500" s="2" t="s">
        <v>81</v>
      </c>
      <c r="F500" s="2" t="s">
        <v>18</v>
      </c>
      <c r="G500" s="1">
        <v>0</v>
      </c>
      <c r="H500" s="1">
        <v>342</v>
      </c>
      <c r="I500" s="2" t="s">
        <v>19</v>
      </c>
      <c r="J500" s="2" t="s">
        <v>20</v>
      </c>
      <c r="K500" s="1">
        <v>516.88</v>
      </c>
      <c r="L500" s="3">
        <v>45712</v>
      </c>
    </row>
    <row r="501" spans="1:12" x14ac:dyDescent="0.25">
      <c r="A501" s="1">
        <v>101294</v>
      </c>
      <c r="B501" s="2" t="s">
        <v>200</v>
      </c>
      <c r="C501" s="2" t="s">
        <v>142</v>
      </c>
      <c r="D501" s="2" t="s">
        <v>50</v>
      </c>
      <c r="E501" s="2" t="s">
        <v>60</v>
      </c>
      <c r="F501" s="2" t="s">
        <v>18</v>
      </c>
      <c r="G501" s="1">
        <v>0</v>
      </c>
      <c r="H501" s="1">
        <v>784</v>
      </c>
      <c r="I501" s="2" t="s">
        <v>19</v>
      </c>
      <c r="J501" s="2" t="s">
        <v>33</v>
      </c>
      <c r="K501" s="1">
        <v>450.71</v>
      </c>
      <c r="L501" s="3">
        <v>45711</v>
      </c>
    </row>
    <row r="502" spans="1:12" x14ac:dyDescent="0.25">
      <c r="A502" s="1">
        <v>101660</v>
      </c>
      <c r="B502" s="2" t="s">
        <v>812</v>
      </c>
      <c r="C502" s="2" t="s">
        <v>134</v>
      </c>
      <c r="D502" s="2" t="s">
        <v>64</v>
      </c>
      <c r="E502" s="2" t="s">
        <v>31</v>
      </c>
      <c r="F502" s="2" t="s">
        <v>42</v>
      </c>
      <c r="G502" s="1">
        <v>137</v>
      </c>
      <c r="H502" s="1">
        <v>567</v>
      </c>
      <c r="I502" s="2" t="s">
        <v>32</v>
      </c>
      <c r="J502" s="2" t="s">
        <v>20</v>
      </c>
      <c r="K502" s="1">
        <v>359.49</v>
      </c>
      <c r="L502" s="3">
        <v>45711</v>
      </c>
    </row>
    <row r="503" spans="1:12" x14ac:dyDescent="0.25">
      <c r="A503" s="1">
        <v>101530</v>
      </c>
      <c r="B503" s="2" t="s">
        <v>540</v>
      </c>
      <c r="C503" s="2" t="s">
        <v>13</v>
      </c>
      <c r="D503" s="2" t="s">
        <v>50</v>
      </c>
      <c r="E503" s="2" t="s">
        <v>55</v>
      </c>
      <c r="F503" s="2" t="s">
        <v>83</v>
      </c>
      <c r="G503" s="1">
        <v>0</v>
      </c>
      <c r="H503" s="1">
        <v>487</v>
      </c>
      <c r="I503" s="2" t="s">
        <v>19</v>
      </c>
      <c r="J503" s="2" t="s">
        <v>26</v>
      </c>
      <c r="K503" s="1">
        <v>124.98</v>
      </c>
      <c r="L503" s="3">
        <v>45711</v>
      </c>
    </row>
    <row r="504" spans="1:12" x14ac:dyDescent="0.25">
      <c r="A504" s="1">
        <v>101471</v>
      </c>
      <c r="B504" s="2" t="s">
        <v>79</v>
      </c>
      <c r="C504" s="2" t="s">
        <v>47</v>
      </c>
      <c r="D504" s="2" t="s">
        <v>64</v>
      </c>
      <c r="E504" s="2" t="s">
        <v>35</v>
      </c>
      <c r="F504" s="2" t="s">
        <v>25</v>
      </c>
      <c r="G504" s="1">
        <v>2</v>
      </c>
      <c r="H504" s="1">
        <v>585</v>
      </c>
      <c r="I504" s="2" t="s">
        <v>37</v>
      </c>
      <c r="J504" s="2" t="s">
        <v>33</v>
      </c>
      <c r="K504" s="1">
        <v>443.67</v>
      </c>
      <c r="L504" s="3">
        <v>45710</v>
      </c>
    </row>
    <row r="505" spans="1:12" x14ac:dyDescent="0.25">
      <c r="A505" s="1">
        <v>101103</v>
      </c>
      <c r="B505" s="2" t="s">
        <v>463</v>
      </c>
      <c r="C505" s="2" t="s">
        <v>126</v>
      </c>
      <c r="D505" s="2" t="s">
        <v>41</v>
      </c>
      <c r="E505" s="2" t="s">
        <v>17</v>
      </c>
      <c r="F505" s="2" t="s">
        <v>18</v>
      </c>
      <c r="G505" s="1">
        <v>0</v>
      </c>
      <c r="H505" s="1">
        <v>765</v>
      </c>
      <c r="I505" s="2" t="s">
        <v>45</v>
      </c>
      <c r="J505" s="2" t="s">
        <v>26</v>
      </c>
      <c r="K505" s="1">
        <v>249.22</v>
      </c>
      <c r="L505" s="3">
        <v>45710</v>
      </c>
    </row>
    <row r="506" spans="1:12" x14ac:dyDescent="0.25">
      <c r="A506" s="1">
        <v>101321</v>
      </c>
      <c r="B506" s="2" t="s">
        <v>474</v>
      </c>
      <c r="C506" s="2" t="s">
        <v>270</v>
      </c>
      <c r="D506" s="2" t="s">
        <v>16</v>
      </c>
      <c r="E506" s="2" t="s">
        <v>17</v>
      </c>
      <c r="F506" s="2" t="s">
        <v>18</v>
      </c>
      <c r="G506" s="1">
        <v>0</v>
      </c>
      <c r="H506" s="1">
        <v>483</v>
      </c>
      <c r="I506" s="2" t="s">
        <v>37</v>
      </c>
      <c r="J506" s="2" t="s">
        <v>33</v>
      </c>
      <c r="K506" s="1">
        <v>203.79</v>
      </c>
      <c r="L506" s="3">
        <v>45710</v>
      </c>
    </row>
    <row r="507" spans="1:12" x14ac:dyDescent="0.25">
      <c r="A507" s="1">
        <v>101685</v>
      </c>
      <c r="B507" s="2" t="s">
        <v>196</v>
      </c>
      <c r="C507" s="2" t="s">
        <v>152</v>
      </c>
      <c r="D507" s="2" t="s">
        <v>64</v>
      </c>
      <c r="E507" s="2" t="s">
        <v>70</v>
      </c>
      <c r="F507" s="2" t="s">
        <v>18</v>
      </c>
      <c r="G507" s="1">
        <v>0</v>
      </c>
      <c r="H507" s="1">
        <v>405</v>
      </c>
      <c r="I507" s="2" t="s">
        <v>37</v>
      </c>
      <c r="J507" s="2" t="s">
        <v>20</v>
      </c>
      <c r="K507" s="1">
        <v>198.72</v>
      </c>
      <c r="L507" s="3">
        <v>45710</v>
      </c>
    </row>
    <row r="508" spans="1:12" x14ac:dyDescent="0.25">
      <c r="A508" s="1">
        <v>101265</v>
      </c>
      <c r="B508" s="2" t="s">
        <v>553</v>
      </c>
      <c r="C508" s="2" t="s">
        <v>72</v>
      </c>
      <c r="D508" s="2" t="s">
        <v>16</v>
      </c>
      <c r="E508" s="2" t="s">
        <v>81</v>
      </c>
      <c r="F508" s="2" t="s">
        <v>18</v>
      </c>
      <c r="G508" s="1">
        <v>0</v>
      </c>
      <c r="H508" s="1">
        <v>638</v>
      </c>
      <c r="I508" s="2" t="s">
        <v>45</v>
      </c>
      <c r="J508" s="2" t="s">
        <v>33</v>
      </c>
      <c r="K508" s="1">
        <v>60.95</v>
      </c>
      <c r="L508" s="3">
        <v>45710</v>
      </c>
    </row>
    <row r="509" spans="1:12" x14ac:dyDescent="0.25">
      <c r="A509" s="1">
        <v>100128</v>
      </c>
      <c r="B509" s="2" t="s">
        <v>102</v>
      </c>
      <c r="C509" s="2" t="s">
        <v>103</v>
      </c>
      <c r="D509" s="2" t="s">
        <v>106</v>
      </c>
      <c r="E509" s="2" t="s">
        <v>60</v>
      </c>
      <c r="F509" s="2" t="s">
        <v>18</v>
      </c>
      <c r="G509" s="1">
        <v>0</v>
      </c>
      <c r="H509" s="1">
        <v>733</v>
      </c>
      <c r="I509" s="2" t="s">
        <v>19</v>
      </c>
      <c r="J509" s="2" t="s">
        <v>20</v>
      </c>
      <c r="K509" s="1">
        <v>478.85</v>
      </c>
      <c r="L509" s="3">
        <v>45709</v>
      </c>
    </row>
    <row r="510" spans="1:12" x14ac:dyDescent="0.25">
      <c r="A510" s="1">
        <v>101436</v>
      </c>
      <c r="B510" s="2" t="s">
        <v>953</v>
      </c>
      <c r="C510" s="2" t="s">
        <v>270</v>
      </c>
      <c r="D510" s="2" t="s">
        <v>64</v>
      </c>
      <c r="E510" s="2" t="s">
        <v>55</v>
      </c>
      <c r="F510" s="2" t="s">
        <v>83</v>
      </c>
      <c r="G510" s="1">
        <v>0</v>
      </c>
      <c r="H510" s="1">
        <v>759</v>
      </c>
      <c r="I510" s="2" t="s">
        <v>56</v>
      </c>
      <c r="J510" s="2" t="s">
        <v>20</v>
      </c>
      <c r="K510" s="1">
        <v>409.85</v>
      </c>
      <c r="L510" s="3">
        <v>45709</v>
      </c>
    </row>
    <row r="511" spans="1:12" x14ac:dyDescent="0.25">
      <c r="A511" s="1">
        <v>101711</v>
      </c>
      <c r="B511" s="2" t="s">
        <v>102</v>
      </c>
      <c r="C511" s="2" t="s">
        <v>103</v>
      </c>
      <c r="D511" s="2" t="s">
        <v>16</v>
      </c>
      <c r="E511" s="2" t="s">
        <v>81</v>
      </c>
      <c r="F511" s="2" t="s">
        <v>18</v>
      </c>
      <c r="G511" s="1">
        <v>0</v>
      </c>
      <c r="H511" s="1">
        <v>733</v>
      </c>
      <c r="I511" s="2" t="s">
        <v>37</v>
      </c>
      <c r="J511" s="2" t="s">
        <v>33</v>
      </c>
      <c r="K511" s="1">
        <v>371.71</v>
      </c>
      <c r="L511" s="3">
        <v>45709</v>
      </c>
    </row>
    <row r="512" spans="1:12" x14ac:dyDescent="0.25">
      <c r="A512" s="1">
        <v>101443</v>
      </c>
      <c r="B512" s="2" t="s">
        <v>232</v>
      </c>
      <c r="C512" s="2" t="s">
        <v>152</v>
      </c>
      <c r="D512" s="2" t="s">
        <v>41</v>
      </c>
      <c r="E512" s="2" t="s">
        <v>70</v>
      </c>
      <c r="F512" s="2" t="s">
        <v>18</v>
      </c>
      <c r="G512" s="1">
        <v>0</v>
      </c>
      <c r="H512" s="1">
        <v>781</v>
      </c>
      <c r="I512" s="2" t="s">
        <v>19</v>
      </c>
      <c r="J512" s="2" t="s">
        <v>20</v>
      </c>
      <c r="K512" s="1">
        <v>320.62</v>
      </c>
      <c r="L512" s="3">
        <v>45709</v>
      </c>
    </row>
    <row r="513" spans="1:12" x14ac:dyDescent="0.25">
      <c r="A513" s="1">
        <v>101622</v>
      </c>
      <c r="B513" s="2" t="s">
        <v>493</v>
      </c>
      <c r="C513" s="2" t="s">
        <v>152</v>
      </c>
      <c r="D513" s="2" t="s">
        <v>106</v>
      </c>
      <c r="E513" s="2" t="s">
        <v>60</v>
      </c>
      <c r="F513" s="2" t="s">
        <v>25</v>
      </c>
      <c r="G513" s="1">
        <v>9</v>
      </c>
      <c r="H513" s="1">
        <v>737</v>
      </c>
      <c r="I513" s="2" t="s">
        <v>19</v>
      </c>
      <c r="J513" s="2" t="s">
        <v>26</v>
      </c>
      <c r="K513" s="1">
        <v>290.36</v>
      </c>
      <c r="L513" s="3">
        <v>45709</v>
      </c>
    </row>
    <row r="514" spans="1:12" x14ac:dyDescent="0.25">
      <c r="A514" s="1">
        <v>100995</v>
      </c>
      <c r="B514" s="2" t="s">
        <v>1042</v>
      </c>
      <c r="C514" s="2" t="s">
        <v>58</v>
      </c>
      <c r="D514" s="2" t="s">
        <v>50</v>
      </c>
      <c r="E514" s="2" t="s">
        <v>17</v>
      </c>
      <c r="F514" s="2" t="s">
        <v>18</v>
      </c>
      <c r="G514" s="1">
        <v>0</v>
      </c>
      <c r="H514" s="1">
        <v>578</v>
      </c>
      <c r="I514" s="2" t="s">
        <v>45</v>
      </c>
      <c r="J514" s="2" t="s">
        <v>20</v>
      </c>
      <c r="K514" s="1">
        <v>75.95</v>
      </c>
      <c r="L514" s="3">
        <v>45709</v>
      </c>
    </row>
    <row r="515" spans="1:12" x14ac:dyDescent="0.25">
      <c r="A515" s="1">
        <v>100100</v>
      </c>
      <c r="B515" s="2" t="s">
        <v>352</v>
      </c>
      <c r="C515" s="2" t="s">
        <v>85</v>
      </c>
      <c r="D515" s="2" t="s">
        <v>50</v>
      </c>
      <c r="E515" s="2" t="s">
        <v>31</v>
      </c>
      <c r="F515" s="2" t="s">
        <v>18</v>
      </c>
      <c r="G515" s="1">
        <v>0</v>
      </c>
      <c r="H515" s="1">
        <v>778</v>
      </c>
      <c r="I515" s="2" t="s">
        <v>56</v>
      </c>
      <c r="J515" s="2" t="s">
        <v>20</v>
      </c>
      <c r="K515" s="1">
        <v>569.11</v>
      </c>
      <c r="L515" s="3">
        <v>45708</v>
      </c>
    </row>
    <row r="516" spans="1:12" x14ac:dyDescent="0.25">
      <c r="A516" s="1">
        <v>102124</v>
      </c>
      <c r="B516" s="2" t="s">
        <v>160</v>
      </c>
      <c r="C516" s="2" t="s">
        <v>72</v>
      </c>
      <c r="D516" s="2" t="s">
        <v>64</v>
      </c>
      <c r="E516" s="2" t="s">
        <v>31</v>
      </c>
      <c r="F516" s="2" t="s">
        <v>42</v>
      </c>
      <c r="G516" s="1">
        <v>36</v>
      </c>
      <c r="H516" s="1">
        <v>585</v>
      </c>
      <c r="I516" s="2" t="s">
        <v>32</v>
      </c>
      <c r="J516" s="2" t="s">
        <v>20</v>
      </c>
      <c r="K516" s="1">
        <v>468.69</v>
      </c>
      <c r="L516" s="3">
        <v>45708</v>
      </c>
    </row>
    <row r="517" spans="1:12" x14ac:dyDescent="0.25">
      <c r="A517" s="1">
        <v>101704</v>
      </c>
      <c r="B517" s="2" t="s">
        <v>79</v>
      </c>
      <c r="C517" s="2" t="s">
        <v>47</v>
      </c>
      <c r="D517" s="2" t="s">
        <v>41</v>
      </c>
      <c r="E517" s="2" t="s">
        <v>17</v>
      </c>
      <c r="F517" s="2" t="s">
        <v>83</v>
      </c>
      <c r="G517" s="1">
        <v>0</v>
      </c>
      <c r="H517" s="1">
        <v>585</v>
      </c>
      <c r="I517" s="2" t="s">
        <v>32</v>
      </c>
      <c r="J517" s="2" t="s">
        <v>26</v>
      </c>
      <c r="K517" s="1">
        <v>394.5</v>
      </c>
      <c r="L517" s="3">
        <v>45708</v>
      </c>
    </row>
    <row r="518" spans="1:12" x14ac:dyDescent="0.25">
      <c r="A518" s="1">
        <v>100552</v>
      </c>
      <c r="B518" s="2" t="s">
        <v>121</v>
      </c>
      <c r="C518" s="2" t="s">
        <v>122</v>
      </c>
      <c r="D518" s="2" t="s">
        <v>64</v>
      </c>
      <c r="E518" s="2" t="s">
        <v>31</v>
      </c>
      <c r="F518" s="2" t="s">
        <v>18</v>
      </c>
      <c r="G518" s="1">
        <v>0</v>
      </c>
      <c r="H518" s="1">
        <v>823</v>
      </c>
      <c r="I518" s="2" t="s">
        <v>19</v>
      </c>
      <c r="J518" s="2" t="s">
        <v>20</v>
      </c>
      <c r="K518" s="1">
        <v>386.68</v>
      </c>
      <c r="L518" s="3">
        <v>45708</v>
      </c>
    </row>
    <row r="519" spans="1:12" x14ac:dyDescent="0.25">
      <c r="A519" s="1">
        <v>101598</v>
      </c>
      <c r="B519" s="2" t="s">
        <v>825</v>
      </c>
      <c r="C519" s="2" t="s">
        <v>58</v>
      </c>
      <c r="D519" s="2" t="s">
        <v>50</v>
      </c>
      <c r="E519" s="2" t="s">
        <v>78</v>
      </c>
      <c r="F519" s="2" t="s">
        <v>18</v>
      </c>
      <c r="G519" s="1">
        <v>0</v>
      </c>
      <c r="H519" s="1">
        <v>636</v>
      </c>
      <c r="I519" s="2" t="s">
        <v>19</v>
      </c>
      <c r="J519" s="2" t="s">
        <v>26</v>
      </c>
      <c r="K519" s="1">
        <v>154.30000000000001</v>
      </c>
      <c r="L519" s="3">
        <v>45708</v>
      </c>
    </row>
    <row r="520" spans="1:12" x14ac:dyDescent="0.25">
      <c r="A520" s="1">
        <v>100898</v>
      </c>
      <c r="B520" s="2" t="s">
        <v>460</v>
      </c>
      <c r="C520" s="2" t="s">
        <v>95</v>
      </c>
      <c r="D520" s="2" t="s">
        <v>16</v>
      </c>
      <c r="E520" s="2" t="s">
        <v>70</v>
      </c>
      <c r="F520" s="2" t="s">
        <v>83</v>
      </c>
      <c r="G520" s="1">
        <v>0</v>
      </c>
      <c r="H520" s="1">
        <v>716</v>
      </c>
      <c r="I520" s="2" t="s">
        <v>45</v>
      </c>
      <c r="J520" s="2" t="s">
        <v>33</v>
      </c>
      <c r="K520" s="1">
        <v>135.29</v>
      </c>
      <c r="L520" s="3">
        <v>45708</v>
      </c>
    </row>
    <row r="521" spans="1:12" x14ac:dyDescent="0.25">
      <c r="A521" s="1">
        <v>102135</v>
      </c>
      <c r="B521" s="2" t="s">
        <v>196</v>
      </c>
      <c r="C521" s="2" t="s">
        <v>152</v>
      </c>
      <c r="D521" s="2" t="s">
        <v>16</v>
      </c>
      <c r="E521" s="2" t="s">
        <v>81</v>
      </c>
      <c r="F521" s="2" t="s">
        <v>25</v>
      </c>
      <c r="G521" s="1">
        <v>8</v>
      </c>
      <c r="H521" s="1">
        <v>405</v>
      </c>
      <c r="I521" s="2" t="s">
        <v>56</v>
      </c>
      <c r="J521" s="2" t="s">
        <v>26</v>
      </c>
      <c r="K521" s="1">
        <v>766.15</v>
      </c>
      <c r="L521" s="3">
        <v>45707</v>
      </c>
    </row>
    <row r="522" spans="1:12" x14ac:dyDescent="0.25">
      <c r="A522" s="1">
        <v>101066</v>
      </c>
      <c r="B522" s="2" t="s">
        <v>592</v>
      </c>
      <c r="C522" s="2" t="s">
        <v>47</v>
      </c>
      <c r="D522" s="2" t="s">
        <v>41</v>
      </c>
      <c r="E522" s="2" t="s">
        <v>55</v>
      </c>
      <c r="F522" s="2" t="s">
        <v>18</v>
      </c>
      <c r="G522" s="1">
        <v>0</v>
      </c>
      <c r="H522" s="1">
        <v>332</v>
      </c>
      <c r="I522" s="2" t="s">
        <v>37</v>
      </c>
      <c r="J522" s="2" t="s">
        <v>26</v>
      </c>
      <c r="K522" s="1">
        <v>260.41000000000003</v>
      </c>
      <c r="L522" s="3">
        <v>45707</v>
      </c>
    </row>
    <row r="523" spans="1:12" x14ac:dyDescent="0.25">
      <c r="A523" s="1">
        <v>101422</v>
      </c>
      <c r="B523" s="2" t="s">
        <v>719</v>
      </c>
      <c r="C523" s="2" t="s">
        <v>22</v>
      </c>
      <c r="D523" s="2" t="s">
        <v>50</v>
      </c>
      <c r="E523" s="2" t="s">
        <v>31</v>
      </c>
      <c r="F523" s="2" t="s">
        <v>42</v>
      </c>
      <c r="G523" s="1">
        <v>34</v>
      </c>
      <c r="H523" s="1">
        <v>461</v>
      </c>
      <c r="I523" s="2" t="s">
        <v>19</v>
      </c>
      <c r="J523" s="2" t="s">
        <v>26</v>
      </c>
      <c r="K523" s="1">
        <v>1155.75</v>
      </c>
      <c r="L523" s="3">
        <v>45706</v>
      </c>
    </row>
    <row r="524" spans="1:12" x14ac:dyDescent="0.25">
      <c r="A524" s="1">
        <v>101856</v>
      </c>
      <c r="B524" s="2" t="s">
        <v>376</v>
      </c>
      <c r="C524" s="2" t="s">
        <v>22</v>
      </c>
      <c r="D524" s="2" t="s">
        <v>64</v>
      </c>
      <c r="E524" s="2" t="s">
        <v>55</v>
      </c>
      <c r="F524" s="2" t="s">
        <v>25</v>
      </c>
      <c r="G524" s="1">
        <v>5</v>
      </c>
      <c r="H524" s="1">
        <v>340</v>
      </c>
      <c r="I524" s="2" t="s">
        <v>45</v>
      </c>
      <c r="J524" s="2" t="s">
        <v>20</v>
      </c>
      <c r="K524" s="1">
        <v>898.6</v>
      </c>
      <c r="L524" s="3">
        <v>45706</v>
      </c>
    </row>
    <row r="525" spans="1:12" x14ac:dyDescent="0.25">
      <c r="A525" s="1">
        <v>100928</v>
      </c>
      <c r="B525" s="2" t="s">
        <v>576</v>
      </c>
      <c r="C525" s="2" t="s">
        <v>22</v>
      </c>
      <c r="D525" s="2" t="s">
        <v>64</v>
      </c>
      <c r="E525" s="2" t="s">
        <v>17</v>
      </c>
      <c r="F525" s="2" t="s">
        <v>18</v>
      </c>
      <c r="G525" s="1">
        <v>0</v>
      </c>
      <c r="H525" s="1">
        <v>418</v>
      </c>
      <c r="I525" s="2" t="s">
        <v>37</v>
      </c>
      <c r="J525" s="2" t="s">
        <v>33</v>
      </c>
      <c r="K525" s="1">
        <v>816.71</v>
      </c>
      <c r="L525" s="3">
        <v>45706</v>
      </c>
    </row>
    <row r="526" spans="1:12" x14ac:dyDescent="0.25">
      <c r="A526" s="1">
        <v>100991</v>
      </c>
      <c r="B526" s="2" t="s">
        <v>288</v>
      </c>
      <c r="C526" s="2" t="s">
        <v>85</v>
      </c>
      <c r="D526" s="2" t="s">
        <v>50</v>
      </c>
      <c r="E526" s="2" t="s">
        <v>70</v>
      </c>
      <c r="F526" s="2" t="s">
        <v>18</v>
      </c>
      <c r="G526" s="1">
        <v>0</v>
      </c>
      <c r="H526" s="1">
        <v>746</v>
      </c>
      <c r="I526" s="2" t="s">
        <v>45</v>
      </c>
      <c r="J526" s="2" t="s">
        <v>20</v>
      </c>
      <c r="K526" s="1">
        <v>799.68</v>
      </c>
      <c r="L526" s="3">
        <v>45706</v>
      </c>
    </row>
    <row r="527" spans="1:12" x14ac:dyDescent="0.25">
      <c r="A527" s="1">
        <v>100918</v>
      </c>
      <c r="B527" s="2" t="s">
        <v>525</v>
      </c>
      <c r="C527" s="2" t="s">
        <v>58</v>
      </c>
      <c r="D527" s="2" t="s">
        <v>106</v>
      </c>
      <c r="E527" s="2" t="s">
        <v>70</v>
      </c>
      <c r="F527" s="2" t="s">
        <v>18</v>
      </c>
      <c r="G527" s="1">
        <v>0</v>
      </c>
      <c r="H527" s="1">
        <v>501</v>
      </c>
      <c r="I527" s="2" t="s">
        <v>37</v>
      </c>
      <c r="J527" s="2" t="s">
        <v>26</v>
      </c>
      <c r="K527" s="1">
        <v>677.75</v>
      </c>
      <c r="L527" s="3">
        <v>45706</v>
      </c>
    </row>
    <row r="528" spans="1:12" x14ac:dyDescent="0.25">
      <c r="A528" s="1">
        <v>101499</v>
      </c>
      <c r="B528" s="2" t="s">
        <v>220</v>
      </c>
      <c r="C528" s="2" t="s">
        <v>152</v>
      </c>
      <c r="D528" s="2" t="s">
        <v>106</v>
      </c>
      <c r="E528" s="2" t="s">
        <v>81</v>
      </c>
      <c r="F528" s="2" t="s">
        <v>18</v>
      </c>
      <c r="G528" s="1">
        <v>0</v>
      </c>
      <c r="H528" s="1">
        <v>710</v>
      </c>
      <c r="I528" s="2" t="s">
        <v>32</v>
      </c>
      <c r="J528" s="2" t="s">
        <v>20</v>
      </c>
      <c r="K528" s="1">
        <v>279.48</v>
      </c>
      <c r="L528" s="3">
        <v>45706</v>
      </c>
    </row>
    <row r="529" spans="1:12" x14ac:dyDescent="0.25">
      <c r="A529" s="1">
        <v>100805</v>
      </c>
      <c r="B529" s="2" t="s">
        <v>307</v>
      </c>
      <c r="C529" s="2" t="s">
        <v>58</v>
      </c>
      <c r="D529" s="2" t="s">
        <v>64</v>
      </c>
      <c r="E529" s="2" t="s">
        <v>60</v>
      </c>
      <c r="F529" s="2" t="s">
        <v>18</v>
      </c>
      <c r="G529" s="1">
        <v>0</v>
      </c>
      <c r="H529" s="1">
        <v>616</v>
      </c>
      <c r="I529" s="2" t="s">
        <v>45</v>
      </c>
      <c r="J529" s="2" t="s">
        <v>33</v>
      </c>
      <c r="K529" s="1">
        <v>254</v>
      </c>
      <c r="L529" s="3">
        <v>45706</v>
      </c>
    </row>
    <row r="530" spans="1:12" x14ac:dyDescent="0.25">
      <c r="A530" s="1">
        <v>101287</v>
      </c>
      <c r="B530" s="2" t="s">
        <v>75</v>
      </c>
      <c r="C530" s="2" t="s">
        <v>39</v>
      </c>
      <c r="D530" s="2" t="s">
        <v>64</v>
      </c>
      <c r="E530" s="2" t="s">
        <v>17</v>
      </c>
      <c r="F530" s="2" t="s">
        <v>18</v>
      </c>
      <c r="G530" s="1">
        <v>0</v>
      </c>
      <c r="H530" s="1">
        <v>554</v>
      </c>
      <c r="I530" s="2" t="s">
        <v>56</v>
      </c>
      <c r="J530" s="2" t="s">
        <v>26</v>
      </c>
      <c r="K530" s="1">
        <v>250.14</v>
      </c>
      <c r="L530" s="3">
        <v>45706</v>
      </c>
    </row>
    <row r="531" spans="1:12" x14ac:dyDescent="0.25">
      <c r="A531" s="1">
        <v>102021</v>
      </c>
      <c r="B531" s="2" t="s">
        <v>825</v>
      </c>
      <c r="C531" s="2" t="s">
        <v>58</v>
      </c>
      <c r="D531" s="2" t="s">
        <v>50</v>
      </c>
      <c r="E531" s="2" t="s">
        <v>17</v>
      </c>
      <c r="F531" s="2" t="s">
        <v>25</v>
      </c>
      <c r="G531" s="1">
        <v>12</v>
      </c>
      <c r="H531" s="1">
        <v>636</v>
      </c>
      <c r="I531" s="2" t="s">
        <v>37</v>
      </c>
      <c r="J531" s="2" t="s">
        <v>26</v>
      </c>
      <c r="K531" s="1">
        <v>173.41</v>
      </c>
      <c r="L531" s="3">
        <v>45706</v>
      </c>
    </row>
    <row r="532" spans="1:12" x14ac:dyDescent="0.25">
      <c r="A532" s="1">
        <v>100782</v>
      </c>
      <c r="B532" s="2" t="s">
        <v>385</v>
      </c>
      <c r="C532" s="2" t="s">
        <v>85</v>
      </c>
      <c r="D532" s="2" t="s">
        <v>64</v>
      </c>
      <c r="E532" s="2" t="s">
        <v>55</v>
      </c>
      <c r="F532" s="2" t="s">
        <v>18</v>
      </c>
      <c r="G532" s="1" t="s">
        <v>35</v>
      </c>
      <c r="H532" s="1">
        <v>490</v>
      </c>
      <c r="I532" s="2" t="s">
        <v>32</v>
      </c>
      <c r="J532" s="2" t="s">
        <v>33</v>
      </c>
      <c r="K532" s="1">
        <v>1194.77</v>
      </c>
      <c r="L532" s="3">
        <v>45705</v>
      </c>
    </row>
    <row r="533" spans="1:12" x14ac:dyDescent="0.25">
      <c r="A533" s="1">
        <v>100853</v>
      </c>
      <c r="B533" s="2" t="s">
        <v>87</v>
      </c>
      <c r="C533" s="2" t="s">
        <v>47</v>
      </c>
      <c r="D533" s="2" t="s">
        <v>41</v>
      </c>
      <c r="E533" s="2" t="s">
        <v>17</v>
      </c>
      <c r="F533" s="2" t="s">
        <v>83</v>
      </c>
      <c r="G533" s="1">
        <v>0</v>
      </c>
      <c r="H533" s="1">
        <v>892</v>
      </c>
      <c r="I533" s="2" t="s">
        <v>56</v>
      </c>
      <c r="J533" s="2" t="s">
        <v>26</v>
      </c>
      <c r="K533" s="1">
        <v>538.01</v>
      </c>
      <c r="L533" s="3">
        <v>45704</v>
      </c>
    </row>
    <row r="534" spans="1:12" x14ac:dyDescent="0.25">
      <c r="A534" s="1">
        <v>101082</v>
      </c>
      <c r="B534" s="2" t="s">
        <v>388</v>
      </c>
      <c r="C534" s="2" t="s">
        <v>142</v>
      </c>
      <c r="D534" s="2" t="s">
        <v>16</v>
      </c>
      <c r="E534" s="2" t="s">
        <v>31</v>
      </c>
      <c r="F534" s="2" t="s">
        <v>83</v>
      </c>
      <c r="G534" s="1">
        <v>0</v>
      </c>
      <c r="H534" s="1">
        <v>662</v>
      </c>
      <c r="I534" s="2" t="s">
        <v>19</v>
      </c>
      <c r="J534" s="2" t="s">
        <v>20</v>
      </c>
      <c r="K534" s="1">
        <v>310.61</v>
      </c>
      <c r="L534" s="3">
        <v>45704</v>
      </c>
    </row>
    <row r="535" spans="1:12" x14ac:dyDescent="0.25">
      <c r="A535" s="1">
        <v>100623</v>
      </c>
      <c r="B535" s="2" t="s">
        <v>493</v>
      </c>
      <c r="C535" s="2" t="s">
        <v>152</v>
      </c>
      <c r="D535" s="2" t="s">
        <v>64</v>
      </c>
      <c r="E535" s="2" t="s">
        <v>17</v>
      </c>
      <c r="F535" s="2" t="s">
        <v>18</v>
      </c>
      <c r="G535" s="1" t="s">
        <v>35</v>
      </c>
      <c r="H535" s="1">
        <v>737</v>
      </c>
      <c r="I535" s="2" t="s">
        <v>37</v>
      </c>
      <c r="J535" s="2" t="s">
        <v>20</v>
      </c>
      <c r="K535" s="1">
        <v>262.95</v>
      </c>
      <c r="L535" s="3">
        <v>45704</v>
      </c>
    </row>
    <row r="536" spans="1:12" x14ac:dyDescent="0.25">
      <c r="A536" s="1">
        <v>101134</v>
      </c>
      <c r="B536" s="2" t="s">
        <v>390</v>
      </c>
      <c r="C536" s="2" t="s">
        <v>110</v>
      </c>
      <c r="D536" s="2" t="s">
        <v>41</v>
      </c>
      <c r="E536" s="2" t="s">
        <v>60</v>
      </c>
      <c r="F536" s="2" t="s">
        <v>18</v>
      </c>
      <c r="G536" s="1">
        <v>0</v>
      </c>
      <c r="H536" s="1">
        <v>773</v>
      </c>
      <c r="I536" s="2" t="s">
        <v>45</v>
      </c>
      <c r="J536" s="2" t="s">
        <v>20</v>
      </c>
      <c r="K536" s="1">
        <v>229.02</v>
      </c>
      <c r="L536" s="3">
        <v>45704</v>
      </c>
    </row>
    <row r="537" spans="1:12" x14ac:dyDescent="0.25">
      <c r="A537" s="1">
        <v>101823</v>
      </c>
      <c r="B537" s="2" t="s">
        <v>34</v>
      </c>
      <c r="C537" s="2" t="s">
        <v>13</v>
      </c>
      <c r="D537" s="2" t="s">
        <v>50</v>
      </c>
      <c r="E537" s="2" t="s">
        <v>81</v>
      </c>
      <c r="F537" s="2" t="s">
        <v>18</v>
      </c>
      <c r="G537" s="1">
        <v>0</v>
      </c>
      <c r="H537" s="1">
        <v>672</v>
      </c>
      <c r="I537" s="2" t="s">
        <v>32</v>
      </c>
      <c r="J537" s="2" t="s">
        <v>20</v>
      </c>
      <c r="K537" s="1">
        <v>857.93</v>
      </c>
      <c r="L537" s="3">
        <v>45703</v>
      </c>
    </row>
    <row r="538" spans="1:12" x14ac:dyDescent="0.25">
      <c r="A538" s="1">
        <v>101284</v>
      </c>
      <c r="B538" s="2" t="s">
        <v>91</v>
      </c>
      <c r="C538" s="2" t="s">
        <v>58</v>
      </c>
      <c r="D538" s="2" t="s">
        <v>64</v>
      </c>
      <c r="E538" s="2" t="s">
        <v>60</v>
      </c>
      <c r="F538" s="2" t="s">
        <v>42</v>
      </c>
      <c r="G538" s="1">
        <v>31</v>
      </c>
      <c r="H538" s="1">
        <v>769</v>
      </c>
      <c r="I538" s="2" t="s">
        <v>37</v>
      </c>
      <c r="J538" s="2" t="s">
        <v>20</v>
      </c>
      <c r="K538" s="1">
        <v>811.99</v>
      </c>
      <c r="L538" s="3">
        <v>45703</v>
      </c>
    </row>
    <row r="539" spans="1:12" x14ac:dyDescent="0.25">
      <c r="A539" s="1">
        <v>100357</v>
      </c>
      <c r="B539" s="2" t="s">
        <v>462</v>
      </c>
      <c r="C539" s="2" t="s">
        <v>168</v>
      </c>
      <c r="D539" s="2" t="s">
        <v>50</v>
      </c>
      <c r="E539" s="2" t="s">
        <v>70</v>
      </c>
      <c r="F539" s="2" t="s">
        <v>18</v>
      </c>
      <c r="G539" s="1">
        <v>0</v>
      </c>
      <c r="H539" s="1">
        <v>716</v>
      </c>
      <c r="I539" s="2" t="s">
        <v>19</v>
      </c>
      <c r="J539" s="2" t="s">
        <v>35</v>
      </c>
      <c r="K539" s="1">
        <v>547.96</v>
      </c>
      <c r="L539" s="3">
        <v>45703</v>
      </c>
    </row>
    <row r="540" spans="1:12" x14ac:dyDescent="0.25">
      <c r="A540" s="1">
        <v>101652</v>
      </c>
      <c r="B540" s="2" t="s">
        <v>420</v>
      </c>
      <c r="C540" s="2" t="s">
        <v>72</v>
      </c>
      <c r="D540" s="2" t="s">
        <v>50</v>
      </c>
      <c r="E540" s="2" t="s">
        <v>60</v>
      </c>
      <c r="F540" s="2" t="s">
        <v>25</v>
      </c>
      <c r="G540" s="1">
        <v>30</v>
      </c>
      <c r="H540" s="1">
        <v>418</v>
      </c>
      <c r="I540" s="2" t="s">
        <v>56</v>
      </c>
      <c r="J540" s="2" t="s">
        <v>20</v>
      </c>
      <c r="K540" s="1">
        <v>319.39999999999998</v>
      </c>
      <c r="L540" s="3">
        <v>45703</v>
      </c>
    </row>
    <row r="541" spans="1:12" x14ac:dyDescent="0.25">
      <c r="A541" s="1">
        <v>100734</v>
      </c>
      <c r="B541" s="2" t="s">
        <v>215</v>
      </c>
      <c r="C541" s="2" t="s">
        <v>126</v>
      </c>
      <c r="D541" s="2" t="s">
        <v>106</v>
      </c>
      <c r="E541" s="2" t="s">
        <v>17</v>
      </c>
      <c r="F541" s="2" t="s">
        <v>18</v>
      </c>
      <c r="G541" s="1">
        <v>0</v>
      </c>
      <c r="H541" s="1">
        <v>395</v>
      </c>
      <c r="I541" s="2" t="s">
        <v>19</v>
      </c>
      <c r="J541" s="2" t="s">
        <v>33</v>
      </c>
      <c r="K541" s="1">
        <v>312.26</v>
      </c>
      <c r="L541" s="3">
        <v>45703</v>
      </c>
    </row>
    <row r="542" spans="1:12" x14ac:dyDescent="0.25">
      <c r="A542" s="1">
        <v>101911</v>
      </c>
      <c r="B542" s="2" t="s">
        <v>349</v>
      </c>
      <c r="C542" s="2" t="s">
        <v>28</v>
      </c>
      <c r="D542" s="2" t="s">
        <v>50</v>
      </c>
      <c r="E542" s="2" t="s">
        <v>81</v>
      </c>
      <c r="F542" s="2" t="s">
        <v>83</v>
      </c>
      <c r="G542" s="1">
        <v>0</v>
      </c>
      <c r="H542" s="1">
        <v>708</v>
      </c>
      <c r="I542" s="2" t="s">
        <v>32</v>
      </c>
      <c r="J542" s="2" t="s">
        <v>26</v>
      </c>
      <c r="K542" s="1">
        <v>231.69</v>
      </c>
      <c r="L542" s="3">
        <v>45703</v>
      </c>
    </row>
    <row r="543" spans="1:12" x14ac:dyDescent="0.25">
      <c r="A543" s="1">
        <v>102182</v>
      </c>
      <c r="B543" s="2" t="s">
        <v>610</v>
      </c>
      <c r="C543" s="2" t="s">
        <v>126</v>
      </c>
      <c r="D543" s="2" t="s">
        <v>50</v>
      </c>
      <c r="E543" s="2" t="s">
        <v>81</v>
      </c>
      <c r="F543" s="2" t="s">
        <v>18</v>
      </c>
      <c r="G543" s="1">
        <v>0</v>
      </c>
      <c r="H543" s="1">
        <v>315</v>
      </c>
      <c r="I543" s="2" t="s">
        <v>37</v>
      </c>
      <c r="J543" s="2" t="s">
        <v>20</v>
      </c>
      <c r="K543" s="1">
        <v>179.57</v>
      </c>
      <c r="L543" s="3">
        <v>45703</v>
      </c>
    </row>
    <row r="544" spans="1:12" x14ac:dyDescent="0.25">
      <c r="A544" s="1">
        <v>100190</v>
      </c>
      <c r="B544" s="2" t="s">
        <v>667</v>
      </c>
      <c r="C544" s="2" t="s">
        <v>122</v>
      </c>
      <c r="D544" s="2" t="s">
        <v>106</v>
      </c>
      <c r="E544" s="2" t="s">
        <v>81</v>
      </c>
      <c r="F544" s="2" t="s">
        <v>18</v>
      </c>
      <c r="G544" s="1" t="s">
        <v>35</v>
      </c>
      <c r="H544" s="1">
        <v>896</v>
      </c>
      <c r="I544" s="2" t="s">
        <v>56</v>
      </c>
      <c r="J544" s="2" t="s">
        <v>33</v>
      </c>
      <c r="K544" s="1">
        <v>172.27</v>
      </c>
      <c r="L544" s="3">
        <v>45703</v>
      </c>
    </row>
    <row r="545" spans="1:12" x14ac:dyDescent="0.25">
      <c r="A545" s="1">
        <v>100489</v>
      </c>
      <c r="B545" s="2" t="s">
        <v>360</v>
      </c>
      <c r="C545" s="2" t="s">
        <v>149</v>
      </c>
      <c r="D545" s="2" t="s">
        <v>41</v>
      </c>
      <c r="E545" s="2" t="s">
        <v>55</v>
      </c>
      <c r="F545" s="2" t="s">
        <v>18</v>
      </c>
      <c r="G545" s="1">
        <v>0</v>
      </c>
      <c r="H545" s="1">
        <v>621</v>
      </c>
      <c r="I545" s="2" t="s">
        <v>45</v>
      </c>
      <c r="J545" s="2" t="s">
        <v>20</v>
      </c>
      <c r="K545" s="1">
        <v>820.4</v>
      </c>
      <c r="L545" s="3">
        <v>45702</v>
      </c>
    </row>
    <row r="546" spans="1:12" x14ac:dyDescent="0.25">
      <c r="A546" s="1">
        <v>100091</v>
      </c>
      <c r="B546" s="2" t="s">
        <v>451</v>
      </c>
      <c r="C546" s="2" t="s">
        <v>103</v>
      </c>
      <c r="D546" s="2" t="s">
        <v>16</v>
      </c>
      <c r="E546" s="2" t="s">
        <v>78</v>
      </c>
      <c r="F546" s="2" t="s">
        <v>18</v>
      </c>
      <c r="G546" s="1">
        <v>0</v>
      </c>
      <c r="H546" s="1">
        <v>418</v>
      </c>
      <c r="I546" s="2" t="s">
        <v>37</v>
      </c>
      <c r="J546" s="2" t="s">
        <v>20</v>
      </c>
      <c r="K546" s="1">
        <v>481.4</v>
      </c>
      <c r="L546" s="3">
        <v>45702</v>
      </c>
    </row>
    <row r="547" spans="1:12" x14ac:dyDescent="0.25">
      <c r="A547" s="1">
        <v>101935</v>
      </c>
      <c r="B547" s="2" t="s">
        <v>794</v>
      </c>
      <c r="C547" s="2" t="s">
        <v>52</v>
      </c>
      <c r="D547" s="2" t="s">
        <v>16</v>
      </c>
      <c r="E547" s="2" t="s">
        <v>78</v>
      </c>
      <c r="F547" s="2" t="s">
        <v>83</v>
      </c>
      <c r="G547" s="1">
        <v>0</v>
      </c>
      <c r="H547" s="1">
        <v>733</v>
      </c>
      <c r="I547" s="2" t="s">
        <v>45</v>
      </c>
      <c r="J547" s="2" t="s">
        <v>33</v>
      </c>
      <c r="K547" s="1">
        <v>478.14</v>
      </c>
      <c r="L547" s="3">
        <v>45702</v>
      </c>
    </row>
    <row r="548" spans="1:12" x14ac:dyDescent="0.25">
      <c r="A548" s="1">
        <v>101467</v>
      </c>
      <c r="B548" s="2" t="s">
        <v>329</v>
      </c>
      <c r="C548" s="2" t="s">
        <v>270</v>
      </c>
      <c r="D548" s="2" t="s">
        <v>41</v>
      </c>
      <c r="E548" s="2" t="s">
        <v>35</v>
      </c>
      <c r="F548" s="2" t="s">
        <v>18</v>
      </c>
      <c r="G548" s="1">
        <v>0</v>
      </c>
      <c r="H548" s="1">
        <v>328</v>
      </c>
      <c r="I548" s="2" t="s">
        <v>19</v>
      </c>
      <c r="J548" s="2" t="s">
        <v>20</v>
      </c>
      <c r="K548" s="1">
        <v>463.27</v>
      </c>
      <c r="L548" s="3">
        <v>45702</v>
      </c>
    </row>
    <row r="549" spans="1:12" x14ac:dyDescent="0.25">
      <c r="A549" s="1">
        <v>101090</v>
      </c>
      <c r="B549" s="2" t="s">
        <v>545</v>
      </c>
      <c r="C549" s="2" t="s">
        <v>126</v>
      </c>
      <c r="D549" s="2" t="s">
        <v>106</v>
      </c>
      <c r="E549" s="2" t="s">
        <v>31</v>
      </c>
      <c r="F549" s="2" t="s">
        <v>42</v>
      </c>
      <c r="G549" s="1">
        <v>36</v>
      </c>
      <c r="H549" s="1">
        <v>494</v>
      </c>
      <c r="I549" s="2" t="s">
        <v>45</v>
      </c>
      <c r="J549" s="2" t="s">
        <v>33</v>
      </c>
      <c r="K549" s="1">
        <v>328.85</v>
      </c>
      <c r="L549" s="3">
        <v>45702</v>
      </c>
    </row>
    <row r="550" spans="1:12" x14ac:dyDescent="0.25">
      <c r="A550" s="1">
        <v>100170</v>
      </c>
      <c r="B550" s="2" t="s">
        <v>1005</v>
      </c>
      <c r="C550" s="2" t="s">
        <v>35</v>
      </c>
      <c r="D550" s="2" t="s">
        <v>50</v>
      </c>
      <c r="E550" s="2" t="s">
        <v>78</v>
      </c>
      <c r="F550" s="2" t="s">
        <v>18</v>
      </c>
      <c r="G550" s="1">
        <v>0</v>
      </c>
      <c r="H550" s="1">
        <v>370</v>
      </c>
      <c r="I550" s="2" t="s">
        <v>19</v>
      </c>
      <c r="J550" s="2" t="s">
        <v>33</v>
      </c>
      <c r="K550" s="1">
        <v>300.04000000000002</v>
      </c>
      <c r="L550" s="3">
        <v>45702</v>
      </c>
    </row>
    <row r="551" spans="1:12" x14ac:dyDescent="0.25">
      <c r="A551" s="1">
        <v>100052</v>
      </c>
      <c r="B551" s="2" t="s">
        <v>194</v>
      </c>
      <c r="C551" s="2" t="s">
        <v>47</v>
      </c>
      <c r="D551" s="2" t="s">
        <v>50</v>
      </c>
      <c r="E551" s="2" t="s">
        <v>31</v>
      </c>
      <c r="F551" s="2" t="s">
        <v>25</v>
      </c>
      <c r="G551" s="1">
        <v>5</v>
      </c>
      <c r="H551" s="1">
        <v>308</v>
      </c>
      <c r="I551" s="2" t="s">
        <v>19</v>
      </c>
      <c r="J551" s="2" t="s">
        <v>20</v>
      </c>
      <c r="K551" s="1">
        <v>227.09</v>
      </c>
      <c r="L551" s="3">
        <v>45702</v>
      </c>
    </row>
    <row r="552" spans="1:12" x14ac:dyDescent="0.25">
      <c r="A552" s="1">
        <v>101843</v>
      </c>
      <c r="B552" s="2" t="s">
        <v>497</v>
      </c>
      <c r="C552" s="2" t="s">
        <v>142</v>
      </c>
      <c r="D552" s="2" t="s">
        <v>41</v>
      </c>
      <c r="E552" s="2" t="s">
        <v>78</v>
      </c>
      <c r="F552" s="2" t="s">
        <v>42</v>
      </c>
      <c r="G552" s="1">
        <v>107</v>
      </c>
      <c r="H552" s="1">
        <v>465</v>
      </c>
      <c r="I552" s="2" t="s">
        <v>37</v>
      </c>
      <c r="J552" s="2" t="s">
        <v>26</v>
      </c>
      <c r="K552" s="1">
        <v>687.15</v>
      </c>
      <c r="L552" s="3">
        <v>45701</v>
      </c>
    </row>
    <row r="553" spans="1:12" x14ac:dyDescent="0.25">
      <c r="A553" s="1">
        <v>102179</v>
      </c>
      <c r="B553" s="2" t="s">
        <v>151</v>
      </c>
      <c r="C553" s="2" t="s">
        <v>152</v>
      </c>
      <c r="D553" s="2" t="s">
        <v>16</v>
      </c>
      <c r="E553" s="2" t="s">
        <v>31</v>
      </c>
      <c r="F553" s="2" t="s">
        <v>83</v>
      </c>
      <c r="G553" s="1">
        <v>0</v>
      </c>
      <c r="H553" s="1">
        <v>534</v>
      </c>
      <c r="I553" s="2" t="s">
        <v>32</v>
      </c>
      <c r="J553" s="2" t="s">
        <v>26</v>
      </c>
      <c r="K553" s="1">
        <v>350.99</v>
      </c>
      <c r="L553" s="3">
        <v>45701</v>
      </c>
    </row>
    <row r="554" spans="1:12" x14ac:dyDescent="0.25">
      <c r="A554" s="1">
        <v>101411</v>
      </c>
      <c r="B554" s="2" t="s">
        <v>955</v>
      </c>
      <c r="C554" s="2" t="s">
        <v>39</v>
      </c>
      <c r="D554" s="2" t="s">
        <v>64</v>
      </c>
      <c r="E554" s="2" t="s">
        <v>78</v>
      </c>
      <c r="F554" s="2" t="s">
        <v>25</v>
      </c>
      <c r="G554" s="1">
        <v>5</v>
      </c>
      <c r="H554" s="1">
        <v>406</v>
      </c>
      <c r="I554" s="2" t="s">
        <v>45</v>
      </c>
      <c r="J554" s="2" t="s">
        <v>20</v>
      </c>
      <c r="K554" s="1">
        <v>243.46</v>
      </c>
      <c r="L554" s="3">
        <v>45701</v>
      </c>
    </row>
    <row r="555" spans="1:12" x14ac:dyDescent="0.25">
      <c r="A555" s="1">
        <v>100291</v>
      </c>
      <c r="B555" s="2" t="s">
        <v>1435</v>
      </c>
      <c r="C555" s="2" t="s">
        <v>47</v>
      </c>
      <c r="D555" s="2" t="s">
        <v>16</v>
      </c>
      <c r="E555" s="2" t="s">
        <v>17</v>
      </c>
      <c r="F555" s="2" t="s">
        <v>18</v>
      </c>
      <c r="G555" s="1">
        <v>0</v>
      </c>
      <c r="H555" s="1">
        <v>744</v>
      </c>
      <c r="I555" s="2" t="s">
        <v>19</v>
      </c>
      <c r="J555" s="2" t="s">
        <v>33</v>
      </c>
      <c r="K555" s="1">
        <v>140.02000000000001</v>
      </c>
      <c r="L555" s="3">
        <v>45701</v>
      </c>
    </row>
    <row r="556" spans="1:12" x14ac:dyDescent="0.25">
      <c r="A556" s="1">
        <v>102028</v>
      </c>
      <c r="B556" s="2" t="s">
        <v>409</v>
      </c>
      <c r="C556" s="2" t="s">
        <v>187</v>
      </c>
      <c r="D556" s="2" t="s">
        <v>106</v>
      </c>
      <c r="E556" s="2" t="s">
        <v>70</v>
      </c>
      <c r="F556" s="2" t="s">
        <v>18</v>
      </c>
      <c r="G556" s="1">
        <v>0</v>
      </c>
      <c r="H556" s="1">
        <v>694</v>
      </c>
      <c r="I556" s="2" t="s">
        <v>19</v>
      </c>
      <c r="J556" s="2" t="s">
        <v>20</v>
      </c>
      <c r="K556" s="1">
        <v>39.76</v>
      </c>
      <c r="L556" s="3">
        <v>45701</v>
      </c>
    </row>
    <row r="557" spans="1:12" x14ac:dyDescent="0.25">
      <c r="A557" s="1">
        <v>101433</v>
      </c>
      <c r="B557" s="2" t="s">
        <v>297</v>
      </c>
      <c r="C557" s="2" t="s">
        <v>72</v>
      </c>
      <c r="D557" s="2" t="s">
        <v>41</v>
      </c>
      <c r="E557" s="2" t="s">
        <v>81</v>
      </c>
      <c r="F557" s="2" t="s">
        <v>18</v>
      </c>
      <c r="G557" s="1">
        <v>0</v>
      </c>
      <c r="H557" s="1">
        <v>878</v>
      </c>
      <c r="I557" s="2" t="s">
        <v>45</v>
      </c>
      <c r="J557" s="2" t="s">
        <v>20</v>
      </c>
      <c r="K557" s="1">
        <v>323.8</v>
      </c>
      <c r="L557" s="3">
        <v>45700</v>
      </c>
    </row>
    <row r="558" spans="1:12" x14ac:dyDescent="0.25">
      <c r="A558" s="1">
        <v>101556</v>
      </c>
      <c r="B558" s="2" t="s">
        <v>234</v>
      </c>
      <c r="C558" s="2" t="s">
        <v>142</v>
      </c>
      <c r="D558" s="2" t="s">
        <v>16</v>
      </c>
      <c r="E558" s="2" t="s">
        <v>70</v>
      </c>
      <c r="F558" s="2" t="s">
        <v>18</v>
      </c>
      <c r="G558" s="1">
        <v>0</v>
      </c>
      <c r="H558" s="1">
        <v>494</v>
      </c>
      <c r="I558" s="2" t="s">
        <v>37</v>
      </c>
      <c r="J558" s="2" t="s">
        <v>26</v>
      </c>
      <c r="K558" s="1">
        <v>216.71</v>
      </c>
      <c r="L558" s="3">
        <v>45700</v>
      </c>
    </row>
    <row r="559" spans="1:12" x14ac:dyDescent="0.25">
      <c r="A559" s="1">
        <v>101172</v>
      </c>
      <c r="B559" s="2" t="s">
        <v>553</v>
      </c>
      <c r="C559" s="2" t="s">
        <v>72</v>
      </c>
      <c r="D559" s="2" t="s">
        <v>64</v>
      </c>
      <c r="E559" s="2" t="s">
        <v>60</v>
      </c>
      <c r="F559" s="2" t="s">
        <v>42</v>
      </c>
      <c r="G559" s="1">
        <v>113</v>
      </c>
      <c r="H559" s="1">
        <v>638</v>
      </c>
      <c r="I559" s="2" t="s">
        <v>32</v>
      </c>
      <c r="J559" s="2" t="s">
        <v>26</v>
      </c>
      <c r="K559" s="1">
        <v>159.4</v>
      </c>
      <c r="L559" s="3">
        <v>45700</v>
      </c>
    </row>
    <row r="560" spans="1:12" x14ac:dyDescent="0.25">
      <c r="A560" s="1">
        <v>101315</v>
      </c>
      <c r="B560" s="2" t="s">
        <v>176</v>
      </c>
      <c r="C560" s="2" t="s">
        <v>58</v>
      </c>
      <c r="D560" s="2" t="s">
        <v>50</v>
      </c>
      <c r="E560" s="2" t="s">
        <v>60</v>
      </c>
      <c r="F560" s="2" t="s">
        <v>42</v>
      </c>
      <c r="G560" s="1">
        <v>39</v>
      </c>
      <c r="H560" s="1">
        <v>528</v>
      </c>
      <c r="I560" s="2" t="s">
        <v>19</v>
      </c>
      <c r="J560" s="2" t="s">
        <v>26</v>
      </c>
      <c r="K560" s="1">
        <v>730.86</v>
      </c>
      <c r="L560" s="3">
        <v>45699</v>
      </c>
    </row>
    <row r="561" spans="1:12" x14ac:dyDescent="0.25">
      <c r="A561" s="1">
        <v>100422</v>
      </c>
      <c r="B561" s="2" t="s">
        <v>703</v>
      </c>
      <c r="C561" s="2" t="s">
        <v>52</v>
      </c>
      <c r="D561" s="2" t="s">
        <v>41</v>
      </c>
      <c r="E561" s="2" t="s">
        <v>81</v>
      </c>
      <c r="F561" s="2" t="s">
        <v>18</v>
      </c>
      <c r="G561" s="1">
        <v>0</v>
      </c>
      <c r="H561" s="1">
        <v>609</v>
      </c>
      <c r="I561" s="2" t="s">
        <v>56</v>
      </c>
      <c r="J561" s="2" t="s">
        <v>26</v>
      </c>
      <c r="K561" s="1">
        <v>657.97</v>
      </c>
      <c r="L561" s="3">
        <v>45699</v>
      </c>
    </row>
    <row r="562" spans="1:12" x14ac:dyDescent="0.25">
      <c r="A562" s="1">
        <v>100591</v>
      </c>
      <c r="B562" s="2" t="s">
        <v>1211</v>
      </c>
      <c r="C562" s="2" t="s">
        <v>62</v>
      </c>
      <c r="D562" s="2" t="s">
        <v>64</v>
      </c>
      <c r="E562" s="2" t="s">
        <v>78</v>
      </c>
      <c r="F562" s="2" t="s">
        <v>18</v>
      </c>
      <c r="G562" s="1">
        <v>0</v>
      </c>
      <c r="H562" s="1">
        <v>741</v>
      </c>
      <c r="I562" s="2" t="s">
        <v>32</v>
      </c>
      <c r="J562" s="2" t="s">
        <v>26</v>
      </c>
      <c r="K562" s="1">
        <v>455.13</v>
      </c>
      <c r="L562" s="3">
        <v>45699</v>
      </c>
    </row>
    <row r="563" spans="1:12" x14ac:dyDescent="0.25">
      <c r="A563" s="1">
        <v>101085</v>
      </c>
      <c r="B563" s="2" t="s">
        <v>322</v>
      </c>
      <c r="C563" s="2" t="s">
        <v>13</v>
      </c>
      <c r="D563" s="2" t="s">
        <v>16</v>
      </c>
      <c r="E563" s="2" t="s">
        <v>31</v>
      </c>
      <c r="F563" s="2" t="s">
        <v>25</v>
      </c>
      <c r="G563" s="1">
        <v>10</v>
      </c>
      <c r="H563" s="1">
        <v>623</v>
      </c>
      <c r="I563" s="2" t="s">
        <v>19</v>
      </c>
      <c r="J563" s="2" t="s">
        <v>26</v>
      </c>
      <c r="K563" s="1">
        <v>417.59</v>
      </c>
      <c r="L563" s="3">
        <v>45699</v>
      </c>
    </row>
    <row r="564" spans="1:12" x14ac:dyDescent="0.25">
      <c r="A564" s="1">
        <v>101750</v>
      </c>
      <c r="B564" s="2" t="s">
        <v>1168</v>
      </c>
      <c r="C564" s="2" t="s">
        <v>218</v>
      </c>
      <c r="D564" s="2" t="s">
        <v>64</v>
      </c>
      <c r="E564" s="2" t="s">
        <v>81</v>
      </c>
      <c r="F564" s="2" t="s">
        <v>18</v>
      </c>
      <c r="G564" s="1">
        <v>0</v>
      </c>
      <c r="H564" s="1">
        <v>606</v>
      </c>
      <c r="I564" s="2" t="s">
        <v>19</v>
      </c>
      <c r="J564" s="2" t="s">
        <v>33</v>
      </c>
      <c r="K564" s="1">
        <v>114.31</v>
      </c>
      <c r="L564" s="3">
        <v>45699</v>
      </c>
    </row>
    <row r="565" spans="1:12" x14ac:dyDescent="0.25">
      <c r="A565" s="1">
        <v>100411</v>
      </c>
      <c r="B565" s="2" t="s">
        <v>390</v>
      </c>
      <c r="C565" s="2" t="s">
        <v>110</v>
      </c>
      <c r="D565" s="2" t="s">
        <v>16</v>
      </c>
      <c r="E565" s="2" t="s">
        <v>31</v>
      </c>
      <c r="F565" s="2" t="s">
        <v>42</v>
      </c>
      <c r="G565" s="1">
        <v>91</v>
      </c>
      <c r="H565" s="1">
        <v>773</v>
      </c>
      <c r="I565" s="2" t="s">
        <v>19</v>
      </c>
      <c r="J565" s="2" t="s">
        <v>20</v>
      </c>
      <c r="K565" s="1">
        <v>444.03</v>
      </c>
      <c r="L565" s="3">
        <v>45698</v>
      </c>
    </row>
    <row r="566" spans="1:12" x14ac:dyDescent="0.25">
      <c r="A566" s="1">
        <v>100504</v>
      </c>
      <c r="B566" s="2" t="s">
        <v>728</v>
      </c>
      <c r="C566" s="2" t="s">
        <v>85</v>
      </c>
      <c r="D566" s="2" t="s">
        <v>50</v>
      </c>
      <c r="E566" s="2" t="s">
        <v>55</v>
      </c>
      <c r="F566" s="2" t="s">
        <v>83</v>
      </c>
      <c r="G566" s="1">
        <v>0</v>
      </c>
      <c r="H566" s="1">
        <v>653</v>
      </c>
      <c r="I566" s="2" t="s">
        <v>19</v>
      </c>
      <c r="J566" s="2" t="s">
        <v>33</v>
      </c>
      <c r="K566" s="1">
        <v>394.1</v>
      </c>
      <c r="L566" s="3">
        <v>45698</v>
      </c>
    </row>
    <row r="567" spans="1:12" x14ac:dyDescent="0.25">
      <c r="A567" s="1">
        <v>102166</v>
      </c>
      <c r="B567" s="2" t="s">
        <v>1168</v>
      </c>
      <c r="C567" s="2" t="s">
        <v>218</v>
      </c>
      <c r="D567" s="2" t="s">
        <v>64</v>
      </c>
      <c r="E567" s="2" t="s">
        <v>31</v>
      </c>
      <c r="F567" s="2" t="s">
        <v>18</v>
      </c>
      <c r="G567" s="1">
        <v>0</v>
      </c>
      <c r="H567" s="1">
        <v>606</v>
      </c>
      <c r="I567" s="2" t="s">
        <v>37</v>
      </c>
      <c r="J567" s="2" t="s">
        <v>20</v>
      </c>
      <c r="K567" s="1">
        <v>185.43</v>
      </c>
      <c r="L567" s="3">
        <v>45698</v>
      </c>
    </row>
    <row r="568" spans="1:12" x14ac:dyDescent="0.25">
      <c r="A568" s="1">
        <v>100811</v>
      </c>
      <c r="B568" s="2" t="s">
        <v>325</v>
      </c>
      <c r="C568" s="2" t="s">
        <v>126</v>
      </c>
      <c r="D568" s="2" t="s">
        <v>64</v>
      </c>
      <c r="E568" s="2" t="s">
        <v>55</v>
      </c>
      <c r="F568" s="2" t="s">
        <v>83</v>
      </c>
      <c r="G568" s="1">
        <v>0</v>
      </c>
      <c r="H568" s="1">
        <v>570</v>
      </c>
      <c r="I568" s="2" t="s">
        <v>56</v>
      </c>
      <c r="J568" s="2" t="s">
        <v>33</v>
      </c>
      <c r="K568" s="1">
        <v>595.15</v>
      </c>
      <c r="L568" s="3">
        <v>45697</v>
      </c>
    </row>
    <row r="569" spans="1:12" x14ac:dyDescent="0.25">
      <c r="A569" s="1">
        <v>101210</v>
      </c>
      <c r="B569" s="2" t="s">
        <v>278</v>
      </c>
      <c r="C569" s="2" t="s">
        <v>62</v>
      </c>
      <c r="D569" s="2" t="s">
        <v>16</v>
      </c>
      <c r="E569" s="2" t="s">
        <v>17</v>
      </c>
      <c r="F569" s="2" t="s">
        <v>18</v>
      </c>
      <c r="G569" s="1">
        <v>0</v>
      </c>
      <c r="H569" s="1">
        <v>713</v>
      </c>
      <c r="I569" s="2" t="s">
        <v>19</v>
      </c>
      <c r="J569" s="2" t="s">
        <v>33</v>
      </c>
      <c r="K569" s="1">
        <v>317.67</v>
      </c>
      <c r="L569" s="3">
        <v>45697</v>
      </c>
    </row>
    <row r="570" spans="1:12" x14ac:dyDescent="0.25">
      <c r="A570" s="1">
        <v>100534</v>
      </c>
      <c r="B570" s="2" t="s">
        <v>87</v>
      </c>
      <c r="C570" s="2" t="s">
        <v>47</v>
      </c>
      <c r="D570" s="2" t="s">
        <v>16</v>
      </c>
      <c r="E570" s="2" t="s">
        <v>31</v>
      </c>
      <c r="F570" s="2" t="s">
        <v>25</v>
      </c>
      <c r="G570" s="1">
        <v>18</v>
      </c>
      <c r="H570" s="1">
        <v>892</v>
      </c>
      <c r="I570" s="2" t="s">
        <v>56</v>
      </c>
      <c r="J570" s="2" t="s">
        <v>33</v>
      </c>
      <c r="K570" s="1">
        <v>320.08999999999997</v>
      </c>
      <c r="L570" s="3">
        <v>45696</v>
      </c>
    </row>
    <row r="571" spans="1:12" x14ac:dyDescent="0.25">
      <c r="A571" s="1">
        <v>101335</v>
      </c>
      <c r="B571" s="2" t="s">
        <v>863</v>
      </c>
      <c r="C571" s="2" t="s">
        <v>39</v>
      </c>
      <c r="D571" s="2" t="s">
        <v>50</v>
      </c>
      <c r="E571" s="2" t="s">
        <v>17</v>
      </c>
      <c r="F571" s="2" t="s">
        <v>83</v>
      </c>
      <c r="G571" s="1" t="s">
        <v>35</v>
      </c>
      <c r="H571" s="1">
        <v>427</v>
      </c>
      <c r="I571" s="2" t="s">
        <v>45</v>
      </c>
      <c r="J571" s="2" t="s">
        <v>20</v>
      </c>
      <c r="K571" s="1">
        <v>55.77</v>
      </c>
      <c r="L571" s="3">
        <v>45696</v>
      </c>
    </row>
    <row r="572" spans="1:12" x14ac:dyDescent="0.25">
      <c r="A572" s="1">
        <v>101667</v>
      </c>
      <c r="B572" s="2" t="s">
        <v>213</v>
      </c>
      <c r="C572" s="2" t="s">
        <v>58</v>
      </c>
      <c r="D572" s="2" t="s">
        <v>41</v>
      </c>
      <c r="E572" s="2" t="s">
        <v>60</v>
      </c>
      <c r="F572" s="2" t="s">
        <v>42</v>
      </c>
      <c r="G572" s="1">
        <v>177</v>
      </c>
      <c r="H572" s="1">
        <v>324</v>
      </c>
      <c r="I572" s="2" t="s">
        <v>37</v>
      </c>
      <c r="J572" s="2" t="s">
        <v>33</v>
      </c>
      <c r="K572" s="1">
        <v>51.32</v>
      </c>
      <c r="L572" s="3">
        <v>45696</v>
      </c>
    </row>
    <row r="573" spans="1:12" x14ac:dyDescent="0.25">
      <c r="A573" s="1">
        <v>101030</v>
      </c>
      <c r="B573" s="2" t="s">
        <v>125</v>
      </c>
      <c r="C573" s="2" t="s">
        <v>126</v>
      </c>
      <c r="D573" s="2" t="s">
        <v>16</v>
      </c>
      <c r="E573" s="2" t="s">
        <v>17</v>
      </c>
      <c r="F573" s="2" t="s">
        <v>25</v>
      </c>
      <c r="G573" s="1">
        <v>5</v>
      </c>
      <c r="H573" s="1">
        <v>461</v>
      </c>
      <c r="I573" s="2" t="s">
        <v>32</v>
      </c>
      <c r="J573" s="2" t="s">
        <v>33</v>
      </c>
      <c r="K573" s="1">
        <v>629.14</v>
      </c>
      <c r="L573" s="3">
        <v>45695</v>
      </c>
    </row>
    <row r="574" spans="1:12" x14ac:dyDescent="0.25">
      <c r="A574" s="1">
        <v>102063</v>
      </c>
      <c r="B574" s="2" t="s">
        <v>953</v>
      </c>
      <c r="C574" s="2" t="s">
        <v>270</v>
      </c>
      <c r="D574" s="2" t="s">
        <v>64</v>
      </c>
      <c r="E574" s="2" t="s">
        <v>81</v>
      </c>
      <c r="F574" s="2" t="s">
        <v>25</v>
      </c>
      <c r="G574" s="1">
        <v>19</v>
      </c>
      <c r="H574" s="1">
        <v>759</v>
      </c>
      <c r="I574" s="2" t="s">
        <v>56</v>
      </c>
      <c r="J574" s="2" t="s">
        <v>20</v>
      </c>
      <c r="K574" s="1">
        <v>473.61</v>
      </c>
      <c r="L574" s="3">
        <v>45695</v>
      </c>
    </row>
    <row r="575" spans="1:12" x14ac:dyDescent="0.25">
      <c r="A575" s="1">
        <v>101364</v>
      </c>
      <c r="B575" s="2" t="s">
        <v>232</v>
      </c>
      <c r="C575" s="2" t="s">
        <v>152</v>
      </c>
      <c r="D575" s="2" t="s">
        <v>64</v>
      </c>
      <c r="E575" s="2" t="s">
        <v>55</v>
      </c>
      <c r="F575" s="2" t="s">
        <v>83</v>
      </c>
      <c r="G575" s="1">
        <v>0</v>
      </c>
      <c r="H575" s="1">
        <v>781</v>
      </c>
      <c r="I575" s="2" t="s">
        <v>37</v>
      </c>
      <c r="J575" s="2" t="s">
        <v>26</v>
      </c>
      <c r="K575" s="1">
        <v>405.05</v>
      </c>
      <c r="L575" s="3">
        <v>45695</v>
      </c>
    </row>
    <row r="576" spans="1:12" x14ac:dyDescent="0.25">
      <c r="A576" s="1">
        <v>100166</v>
      </c>
      <c r="B576" s="2" t="s">
        <v>148</v>
      </c>
      <c r="C576" s="2" t="s">
        <v>149</v>
      </c>
      <c r="D576" s="2" t="s">
        <v>64</v>
      </c>
      <c r="E576" s="2" t="s">
        <v>35</v>
      </c>
      <c r="F576" s="2" t="s">
        <v>18</v>
      </c>
      <c r="G576" s="1">
        <v>0</v>
      </c>
      <c r="H576" s="1">
        <v>876</v>
      </c>
      <c r="I576" s="2" t="s">
        <v>37</v>
      </c>
      <c r="J576" s="2" t="s">
        <v>20</v>
      </c>
      <c r="K576" s="1">
        <v>353.46</v>
      </c>
      <c r="L576" s="3">
        <v>45695</v>
      </c>
    </row>
    <row r="577" spans="1:12" x14ac:dyDescent="0.25">
      <c r="A577" s="1">
        <v>101054</v>
      </c>
      <c r="B577" s="2" t="s">
        <v>186</v>
      </c>
      <c r="C577" s="2" t="s">
        <v>187</v>
      </c>
      <c r="D577" s="2" t="s">
        <v>16</v>
      </c>
      <c r="E577" s="2" t="s">
        <v>55</v>
      </c>
      <c r="F577" s="2" t="s">
        <v>83</v>
      </c>
      <c r="G577" s="1">
        <v>0</v>
      </c>
      <c r="H577" s="1">
        <v>709</v>
      </c>
      <c r="I577" s="2" t="s">
        <v>19</v>
      </c>
      <c r="J577" s="2" t="s">
        <v>20</v>
      </c>
      <c r="K577" s="1">
        <v>68.760000000000005</v>
      </c>
      <c r="L577" s="3">
        <v>45695</v>
      </c>
    </row>
    <row r="578" spans="1:12" x14ac:dyDescent="0.25">
      <c r="A578" s="1">
        <v>100575</v>
      </c>
      <c r="B578" s="2" t="s">
        <v>399</v>
      </c>
      <c r="C578" s="2" t="s">
        <v>187</v>
      </c>
      <c r="D578" s="2" t="s">
        <v>41</v>
      </c>
      <c r="E578" s="2" t="s">
        <v>81</v>
      </c>
      <c r="F578" s="2" t="s">
        <v>18</v>
      </c>
      <c r="G578" s="1">
        <v>0</v>
      </c>
      <c r="H578" s="1">
        <v>370</v>
      </c>
      <c r="I578" s="2" t="s">
        <v>19</v>
      </c>
      <c r="J578" s="2" t="s">
        <v>20</v>
      </c>
      <c r="K578" s="1"/>
      <c r="L578" s="3">
        <v>45695</v>
      </c>
    </row>
    <row r="579" spans="1:12" x14ac:dyDescent="0.25">
      <c r="A579" s="1">
        <v>101525</v>
      </c>
      <c r="B579" s="2" t="s">
        <v>1042</v>
      </c>
      <c r="C579" s="2" t="s">
        <v>58</v>
      </c>
      <c r="D579" s="2" t="s">
        <v>106</v>
      </c>
      <c r="E579" s="2" t="s">
        <v>31</v>
      </c>
      <c r="F579" s="2" t="s">
        <v>83</v>
      </c>
      <c r="G579" s="1">
        <v>0</v>
      </c>
      <c r="H579" s="1">
        <v>578</v>
      </c>
      <c r="I579" s="2" t="s">
        <v>32</v>
      </c>
      <c r="J579" s="2" t="s">
        <v>26</v>
      </c>
      <c r="K579" s="1">
        <v>881.45</v>
      </c>
      <c r="L579" s="3">
        <v>45694</v>
      </c>
    </row>
    <row r="580" spans="1:12" x14ac:dyDescent="0.25">
      <c r="A580" s="1">
        <v>101894</v>
      </c>
      <c r="B580" s="2" t="s">
        <v>129</v>
      </c>
      <c r="C580" s="2" t="s">
        <v>13</v>
      </c>
      <c r="D580" s="2" t="s">
        <v>41</v>
      </c>
      <c r="E580" s="2" t="s">
        <v>31</v>
      </c>
      <c r="F580" s="2" t="s">
        <v>25</v>
      </c>
      <c r="G580" s="1">
        <v>7</v>
      </c>
      <c r="H580" s="1">
        <v>336</v>
      </c>
      <c r="I580" s="2" t="s">
        <v>45</v>
      </c>
      <c r="J580" s="2" t="s">
        <v>26</v>
      </c>
      <c r="K580" s="1">
        <v>301.12</v>
      </c>
      <c r="L580" s="3">
        <v>45694</v>
      </c>
    </row>
    <row r="581" spans="1:12" x14ac:dyDescent="0.25">
      <c r="A581" s="1">
        <v>100132</v>
      </c>
      <c r="B581" s="2" t="s">
        <v>118</v>
      </c>
      <c r="C581" s="2" t="s">
        <v>62</v>
      </c>
      <c r="D581" s="2" t="s">
        <v>16</v>
      </c>
      <c r="E581" s="2" t="s">
        <v>55</v>
      </c>
      <c r="F581" s="2" t="s">
        <v>83</v>
      </c>
      <c r="G581" s="1">
        <v>0</v>
      </c>
      <c r="H581" s="1">
        <v>463</v>
      </c>
      <c r="I581" s="2" t="s">
        <v>19</v>
      </c>
      <c r="J581" s="2" t="s">
        <v>20</v>
      </c>
      <c r="K581" s="1">
        <v>179.52</v>
      </c>
      <c r="L581" s="3">
        <v>45694</v>
      </c>
    </row>
    <row r="582" spans="1:12" x14ac:dyDescent="0.25">
      <c r="A582" s="1">
        <v>101207</v>
      </c>
      <c r="B582" s="2" t="s">
        <v>402</v>
      </c>
      <c r="C582" s="2" t="s">
        <v>95</v>
      </c>
      <c r="D582" s="2" t="s">
        <v>50</v>
      </c>
      <c r="E582" s="2" t="s">
        <v>55</v>
      </c>
      <c r="F582" s="2" t="s">
        <v>18</v>
      </c>
      <c r="G582" s="1">
        <v>0</v>
      </c>
      <c r="H582" s="1">
        <v>355</v>
      </c>
      <c r="I582" s="2" t="s">
        <v>37</v>
      </c>
      <c r="J582" s="2" t="s">
        <v>26</v>
      </c>
      <c r="K582" s="1">
        <v>173.44</v>
      </c>
      <c r="L582" s="3">
        <v>45694</v>
      </c>
    </row>
    <row r="583" spans="1:12" x14ac:dyDescent="0.25">
      <c r="A583" s="1">
        <v>100889</v>
      </c>
      <c r="B583" s="2" t="s">
        <v>217</v>
      </c>
      <c r="C583" s="2" t="s">
        <v>218</v>
      </c>
      <c r="D583" s="2" t="s">
        <v>41</v>
      </c>
      <c r="E583" s="2" t="s">
        <v>81</v>
      </c>
      <c r="F583" s="2" t="s">
        <v>18</v>
      </c>
      <c r="G583" s="1">
        <v>0</v>
      </c>
      <c r="H583" s="1">
        <v>894</v>
      </c>
      <c r="I583" s="2" t="s">
        <v>19</v>
      </c>
      <c r="J583" s="2" t="s">
        <v>20</v>
      </c>
      <c r="K583" s="1">
        <v>112.3</v>
      </c>
      <c r="L583" s="3">
        <v>45694</v>
      </c>
    </row>
    <row r="584" spans="1:12" x14ac:dyDescent="0.25">
      <c r="A584" s="1">
        <v>101849</v>
      </c>
      <c r="B584" s="2" t="s">
        <v>371</v>
      </c>
      <c r="C584" s="2" t="s">
        <v>52</v>
      </c>
      <c r="D584" s="2" t="s">
        <v>41</v>
      </c>
      <c r="E584" s="2" t="s">
        <v>81</v>
      </c>
      <c r="F584" s="2" t="s">
        <v>42</v>
      </c>
      <c r="G584" s="1">
        <v>69</v>
      </c>
      <c r="H584" s="1">
        <v>339</v>
      </c>
      <c r="I584" s="2" t="s">
        <v>35</v>
      </c>
      <c r="J584" s="2" t="s">
        <v>33</v>
      </c>
      <c r="K584" s="1">
        <v>99.6</v>
      </c>
      <c r="L584" s="3">
        <v>45694</v>
      </c>
    </row>
    <row r="585" spans="1:12" x14ac:dyDescent="0.25">
      <c r="A585" s="1">
        <v>101734</v>
      </c>
      <c r="B585" s="2" t="s">
        <v>162</v>
      </c>
      <c r="C585" s="2" t="s">
        <v>13</v>
      </c>
      <c r="D585" s="2" t="s">
        <v>106</v>
      </c>
      <c r="E585" s="2" t="s">
        <v>31</v>
      </c>
      <c r="F585" s="2" t="s">
        <v>18</v>
      </c>
      <c r="G585" s="1">
        <v>0</v>
      </c>
      <c r="H585" s="1">
        <v>410</v>
      </c>
      <c r="I585" s="2" t="s">
        <v>37</v>
      </c>
      <c r="J585" s="2" t="s">
        <v>26</v>
      </c>
      <c r="K585" s="1">
        <v>51.21</v>
      </c>
      <c r="L585" s="3">
        <v>45694</v>
      </c>
    </row>
    <row r="586" spans="1:12" x14ac:dyDescent="0.25">
      <c r="A586" s="1">
        <v>100351</v>
      </c>
      <c r="B586" s="2" t="s">
        <v>420</v>
      </c>
      <c r="C586" s="2" t="s">
        <v>72</v>
      </c>
      <c r="D586" s="2" t="s">
        <v>50</v>
      </c>
      <c r="E586" s="2" t="s">
        <v>17</v>
      </c>
      <c r="F586" s="2" t="s">
        <v>42</v>
      </c>
      <c r="G586" s="1">
        <v>162</v>
      </c>
      <c r="H586" s="1">
        <v>418</v>
      </c>
      <c r="I586" s="2" t="s">
        <v>56</v>
      </c>
      <c r="J586" s="2" t="s">
        <v>26</v>
      </c>
      <c r="K586" s="1">
        <v>1041.1500000000001</v>
      </c>
      <c r="L586" s="3">
        <v>45692</v>
      </c>
    </row>
    <row r="587" spans="1:12" x14ac:dyDescent="0.25">
      <c r="A587" s="1">
        <v>101619</v>
      </c>
      <c r="B587" s="2" t="s">
        <v>596</v>
      </c>
      <c r="C587" s="2" t="s">
        <v>22</v>
      </c>
      <c r="D587" s="2" t="s">
        <v>64</v>
      </c>
      <c r="E587" s="2" t="s">
        <v>78</v>
      </c>
      <c r="F587" s="2" t="s">
        <v>18</v>
      </c>
      <c r="G587" s="1">
        <v>0</v>
      </c>
      <c r="H587" s="1">
        <v>603</v>
      </c>
      <c r="I587" s="2" t="s">
        <v>56</v>
      </c>
      <c r="J587" s="2" t="s">
        <v>33</v>
      </c>
      <c r="K587" s="1">
        <v>1026.49</v>
      </c>
      <c r="L587" s="3">
        <v>45692</v>
      </c>
    </row>
    <row r="588" spans="1:12" x14ac:dyDescent="0.25">
      <c r="A588" s="1">
        <v>100234</v>
      </c>
      <c r="B588" s="2" t="s">
        <v>294</v>
      </c>
      <c r="C588" s="2" t="s">
        <v>100</v>
      </c>
      <c r="D588" s="2" t="s">
        <v>16</v>
      </c>
      <c r="E588" s="2" t="s">
        <v>81</v>
      </c>
      <c r="F588" s="2" t="s">
        <v>25</v>
      </c>
      <c r="G588" s="1">
        <v>21</v>
      </c>
      <c r="H588" s="1">
        <v>377</v>
      </c>
      <c r="I588" s="2" t="s">
        <v>45</v>
      </c>
      <c r="J588" s="2" t="s">
        <v>33</v>
      </c>
      <c r="K588" s="1">
        <v>791.04</v>
      </c>
      <c r="L588" s="3">
        <v>45692</v>
      </c>
    </row>
    <row r="589" spans="1:12" x14ac:dyDescent="0.25">
      <c r="A589" s="1">
        <v>101818</v>
      </c>
      <c r="B589" s="2" t="s">
        <v>340</v>
      </c>
      <c r="C589" s="2" t="s">
        <v>100</v>
      </c>
      <c r="D589" s="2" t="s">
        <v>64</v>
      </c>
      <c r="E589" s="2" t="s">
        <v>81</v>
      </c>
      <c r="F589" s="2" t="s">
        <v>18</v>
      </c>
      <c r="G589" s="1">
        <v>0</v>
      </c>
      <c r="H589" s="1">
        <v>705</v>
      </c>
      <c r="I589" s="2" t="s">
        <v>56</v>
      </c>
      <c r="J589" s="2" t="s">
        <v>20</v>
      </c>
      <c r="K589" s="1">
        <v>713.76</v>
      </c>
      <c r="L589" s="3">
        <v>45692</v>
      </c>
    </row>
    <row r="590" spans="1:12" x14ac:dyDescent="0.25">
      <c r="A590" s="1">
        <v>100581</v>
      </c>
      <c r="B590" s="2" t="s">
        <v>196</v>
      </c>
      <c r="C590" s="2" t="s">
        <v>152</v>
      </c>
      <c r="D590" s="2" t="s">
        <v>16</v>
      </c>
      <c r="E590" s="2" t="s">
        <v>60</v>
      </c>
      <c r="F590" s="2" t="s">
        <v>25</v>
      </c>
      <c r="G590" s="1">
        <v>27</v>
      </c>
      <c r="H590" s="1">
        <v>405</v>
      </c>
      <c r="I590" s="2" t="s">
        <v>19</v>
      </c>
      <c r="J590" s="2" t="s">
        <v>20</v>
      </c>
      <c r="K590" s="1">
        <v>517.66</v>
      </c>
      <c r="L590" s="3">
        <v>45692</v>
      </c>
    </row>
    <row r="591" spans="1:12" x14ac:dyDescent="0.25">
      <c r="A591" s="1">
        <v>102196</v>
      </c>
      <c r="B591" s="2" t="s">
        <v>429</v>
      </c>
      <c r="C591" s="2" t="s">
        <v>52</v>
      </c>
      <c r="D591" s="2" t="s">
        <v>64</v>
      </c>
      <c r="E591" s="2" t="s">
        <v>70</v>
      </c>
      <c r="F591" s="2" t="s">
        <v>42</v>
      </c>
      <c r="G591" s="1">
        <v>39</v>
      </c>
      <c r="H591" s="1">
        <v>568</v>
      </c>
      <c r="I591" s="2" t="s">
        <v>32</v>
      </c>
      <c r="J591" s="2" t="s">
        <v>33</v>
      </c>
      <c r="K591" s="1">
        <v>433.44</v>
      </c>
      <c r="L591" s="3">
        <v>45692</v>
      </c>
    </row>
    <row r="592" spans="1:12" x14ac:dyDescent="0.25">
      <c r="A592" s="1">
        <v>101944</v>
      </c>
      <c r="B592" s="2" t="s">
        <v>1026</v>
      </c>
      <c r="C592" s="2" t="s">
        <v>244</v>
      </c>
      <c r="D592" s="2" t="s">
        <v>64</v>
      </c>
      <c r="E592" s="2" t="s">
        <v>31</v>
      </c>
      <c r="F592" s="2" t="s">
        <v>18</v>
      </c>
      <c r="G592" s="1">
        <v>0</v>
      </c>
      <c r="H592" s="1">
        <v>560</v>
      </c>
      <c r="I592" s="2" t="s">
        <v>56</v>
      </c>
      <c r="J592" s="2" t="s">
        <v>20</v>
      </c>
      <c r="K592" s="1">
        <v>163.21</v>
      </c>
      <c r="L592" s="3">
        <v>45692</v>
      </c>
    </row>
    <row r="593" spans="1:12" x14ac:dyDescent="0.25">
      <c r="A593" s="1">
        <v>102050</v>
      </c>
      <c r="B593" s="2" t="s">
        <v>420</v>
      </c>
      <c r="C593" s="2" t="s">
        <v>35</v>
      </c>
      <c r="D593" s="2" t="s">
        <v>50</v>
      </c>
      <c r="E593" s="2" t="s">
        <v>78</v>
      </c>
      <c r="F593" s="2" t="s">
        <v>18</v>
      </c>
      <c r="G593" s="1">
        <v>0</v>
      </c>
      <c r="H593" s="1">
        <v>418</v>
      </c>
      <c r="I593" s="2" t="s">
        <v>37</v>
      </c>
      <c r="J593" s="2" t="s">
        <v>20</v>
      </c>
      <c r="K593" s="1">
        <v>424.61</v>
      </c>
      <c r="L593" s="3">
        <v>45691</v>
      </c>
    </row>
    <row r="594" spans="1:12" x14ac:dyDescent="0.25">
      <c r="A594" s="1">
        <v>100270</v>
      </c>
      <c r="B594" s="2" t="s">
        <v>450</v>
      </c>
      <c r="C594" s="2" t="s">
        <v>95</v>
      </c>
      <c r="D594" s="2" t="s">
        <v>64</v>
      </c>
      <c r="E594" s="2" t="s">
        <v>78</v>
      </c>
      <c r="F594" s="2" t="s">
        <v>18</v>
      </c>
      <c r="G594" s="1">
        <v>0</v>
      </c>
      <c r="H594" s="1">
        <v>890</v>
      </c>
      <c r="I594" s="2" t="s">
        <v>45</v>
      </c>
      <c r="J594" s="2" t="s">
        <v>20</v>
      </c>
      <c r="K594" s="1">
        <v>344.75</v>
      </c>
      <c r="L594" s="3">
        <v>45691</v>
      </c>
    </row>
    <row r="595" spans="1:12" x14ac:dyDescent="0.25">
      <c r="A595" s="1">
        <v>100963</v>
      </c>
      <c r="B595" s="2" t="s">
        <v>75</v>
      </c>
      <c r="C595" s="2" t="s">
        <v>39</v>
      </c>
      <c r="D595" s="2" t="s">
        <v>64</v>
      </c>
      <c r="E595" s="2" t="s">
        <v>31</v>
      </c>
      <c r="F595" s="2" t="s">
        <v>83</v>
      </c>
      <c r="G595" s="1">
        <v>0</v>
      </c>
      <c r="H595" s="1">
        <v>554</v>
      </c>
      <c r="I595" s="2" t="s">
        <v>45</v>
      </c>
      <c r="J595" s="2" t="s">
        <v>26</v>
      </c>
      <c r="K595" s="1">
        <v>307.26</v>
      </c>
      <c r="L595" s="3">
        <v>45691</v>
      </c>
    </row>
    <row r="596" spans="1:12" x14ac:dyDescent="0.25">
      <c r="A596" s="1">
        <v>100742</v>
      </c>
      <c r="B596" s="2" t="s">
        <v>510</v>
      </c>
      <c r="C596" s="2" t="s">
        <v>35</v>
      </c>
      <c r="D596" s="2" t="s">
        <v>64</v>
      </c>
      <c r="E596" s="2" t="s">
        <v>55</v>
      </c>
      <c r="F596" s="2" t="s">
        <v>83</v>
      </c>
      <c r="G596" s="1">
        <v>0</v>
      </c>
      <c r="H596" s="1">
        <v>411</v>
      </c>
      <c r="I596" s="2" t="s">
        <v>37</v>
      </c>
      <c r="J596" s="2" t="s">
        <v>20</v>
      </c>
      <c r="K596" s="1">
        <v>579.9</v>
      </c>
      <c r="L596" s="3">
        <v>45690</v>
      </c>
    </row>
    <row r="597" spans="1:12" x14ac:dyDescent="0.25">
      <c r="A597" s="1">
        <v>100008</v>
      </c>
      <c r="B597" s="2" t="s">
        <v>940</v>
      </c>
      <c r="C597" s="2" t="s">
        <v>52</v>
      </c>
      <c r="D597" s="2" t="s">
        <v>106</v>
      </c>
      <c r="E597" s="2" t="s">
        <v>55</v>
      </c>
      <c r="F597" s="2" t="s">
        <v>18</v>
      </c>
      <c r="G597" s="1">
        <v>0</v>
      </c>
      <c r="H597" s="1">
        <v>640</v>
      </c>
      <c r="I597" s="2" t="s">
        <v>56</v>
      </c>
      <c r="J597" s="2" t="s">
        <v>20</v>
      </c>
      <c r="K597" s="1">
        <v>487.87</v>
      </c>
      <c r="L597" s="3">
        <v>45690</v>
      </c>
    </row>
    <row r="598" spans="1:12" x14ac:dyDescent="0.25">
      <c r="A598" s="1">
        <v>102061</v>
      </c>
      <c r="B598" s="2" t="s">
        <v>682</v>
      </c>
      <c r="C598" s="2" t="s">
        <v>152</v>
      </c>
      <c r="D598" s="2" t="s">
        <v>50</v>
      </c>
      <c r="E598" s="2" t="s">
        <v>35</v>
      </c>
      <c r="F598" s="2" t="s">
        <v>18</v>
      </c>
      <c r="G598" s="1">
        <v>0</v>
      </c>
      <c r="H598" s="1">
        <v>863</v>
      </c>
      <c r="I598" s="2" t="s">
        <v>56</v>
      </c>
      <c r="J598" s="2" t="s">
        <v>20</v>
      </c>
      <c r="K598" s="1">
        <v>72.709999999999994</v>
      </c>
      <c r="L598" s="3">
        <v>45690</v>
      </c>
    </row>
    <row r="599" spans="1:12" x14ac:dyDescent="0.25">
      <c r="A599" s="1">
        <v>100873</v>
      </c>
      <c r="B599" s="2" t="s">
        <v>91</v>
      </c>
      <c r="C599" s="2" t="s">
        <v>58</v>
      </c>
      <c r="D599" s="2" t="s">
        <v>64</v>
      </c>
      <c r="E599" s="2" t="s">
        <v>17</v>
      </c>
      <c r="F599" s="2" t="s">
        <v>18</v>
      </c>
      <c r="G599" s="1">
        <v>0</v>
      </c>
      <c r="H599" s="1">
        <v>769</v>
      </c>
      <c r="I599" s="2" t="s">
        <v>56</v>
      </c>
      <c r="J599" s="2" t="s">
        <v>26</v>
      </c>
      <c r="K599" s="1">
        <v>464.97</v>
      </c>
      <c r="L599" s="3">
        <v>45689</v>
      </c>
    </row>
    <row r="600" spans="1:12" x14ac:dyDescent="0.25">
      <c r="A600" s="1">
        <v>101308</v>
      </c>
      <c r="B600" s="2" t="s">
        <v>570</v>
      </c>
      <c r="C600" s="2" t="s">
        <v>39</v>
      </c>
      <c r="D600" s="2" t="s">
        <v>41</v>
      </c>
      <c r="E600" s="2" t="s">
        <v>55</v>
      </c>
      <c r="F600" s="2" t="s">
        <v>83</v>
      </c>
      <c r="G600" s="1">
        <v>0</v>
      </c>
      <c r="H600" s="1">
        <v>371</v>
      </c>
      <c r="I600" s="2" t="s">
        <v>37</v>
      </c>
      <c r="J600" s="2" t="s">
        <v>33</v>
      </c>
      <c r="K600" s="1">
        <v>450.53</v>
      </c>
      <c r="L600" s="3">
        <v>45689</v>
      </c>
    </row>
    <row r="601" spans="1:12" x14ac:dyDescent="0.25">
      <c r="A601" s="1">
        <v>100957</v>
      </c>
      <c r="B601" s="2" t="s">
        <v>179</v>
      </c>
      <c r="C601" s="2" t="s">
        <v>149</v>
      </c>
      <c r="D601" s="2" t="s">
        <v>106</v>
      </c>
      <c r="E601" s="2" t="s">
        <v>35</v>
      </c>
      <c r="F601" s="2" t="s">
        <v>25</v>
      </c>
      <c r="G601" s="1">
        <v>27</v>
      </c>
      <c r="H601" s="1">
        <v>518</v>
      </c>
      <c r="I601" s="2" t="s">
        <v>37</v>
      </c>
      <c r="J601" s="2" t="s">
        <v>33</v>
      </c>
      <c r="K601" s="1">
        <v>382.13</v>
      </c>
      <c r="L601" s="3">
        <v>45689</v>
      </c>
    </row>
    <row r="602" spans="1:12" x14ac:dyDescent="0.25">
      <c r="A602" s="1">
        <v>101108</v>
      </c>
      <c r="B602" s="2" t="s">
        <v>292</v>
      </c>
      <c r="C602" s="2" t="s">
        <v>149</v>
      </c>
      <c r="D602" s="2" t="s">
        <v>41</v>
      </c>
      <c r="E602" s="2" t="s">
        <v>35</v>
      </c>
      <c r="F602" s="2" t="s">
        <v>83</v>
      </c>
      <c r="G602" s="1">
        <v>0</v>
      </c>
      <c r="H602" s="1">
        <v>466</v>
      </c>
      <c r="I602" s="2" t="s">
        <v>19</v>
      </c>
      <c r="J602" s="2" t="s">
        <v>33</v>
      </c>
      <c r="K602" s="1">
        <v>629.13</v>
      </c>
      <c r="L602" s="3">
        <v>45688</v>
      </c>
    </row>
    <row r="603" spans="1:12" x14ac:dyDescent="0.25">
      <c r="A603" s="1">
        <v>102073</v>
      </c>
      <c r="B603" s="2" t="s">
        <v>1175</v>
      </c>
      <c r="C603" s="2" t="s">
        <v>142</v>
      </c>
      <c r="D603" s="2" t="s">
        <v>16</v>
      </c>
      <c r="E603" s="2" t="s">
        <v>60</v>
      </c>
      <c r="F603" s="2" t="s">
        <v>83</v>
      </c>
      <c r="G603" s="1">
        <v>0</v>
      </c>
      <c r="H603" s="1">
        <v>573</v>
      </c>
      <c r="I603" s="2" t="s">
        <v>37</v>
      </c>
      <c r="J603" s="2" t="s">
        <v>33</v>
      </c>
      <c r="K603" s="1">
        <v>421.48</v>
      </c>
      <c r="L603" s="3">
        <v>45688</v>
      </c>
    </row>
    <row r="604" spans="1:12" x14ac:dyDescent="0.25">
      <c r="A604" s="1">
        <v>101466</v>
      </c>
      <c r="B604" s="2" t="s">
        <v>121</v>
      </c>
      <c r="C604" s="2" t="s">
        <v>122</v>
      </c>
      <c r="D604" s="2" t="s">
        <v>64</v>
      </c>
      <c r="E604" s="2" t="s">
        <v>81</v>
      </c>
      <c r="F604" s="2" t="s">
        <v>25</v>
      </c>
      <c r="G604" s="1">
        <v>29</v>
      </c>
      <c r="H604" s="1">
        <v>823</v>
      </c>
      <c r="I604" s="2" t="s">
        <v>37</v>
      </c>
      <c r="J604" s="2" t="s">
        <v>20</v>
      </c>
      <c r="K604" s="1">
        <v>414.34</v>
      </c>
      <c r="L604" s="3">
        <v>45688</v>
      </c>
    </row>
    <row r="605" spans="1:12" x14ac:dyDescent="0.25">
      <c r="A605" s="1">
        <v>102038</v>
      </c>
      <c r="B605" s="2" t="s">
        <v>767</v>
      </c>
      <c r="C605" s="2" t="s">
        <v>110</v>
      </c>
      <c r="D605" s="2" t="s">
        <v>41</v>
      </c>
      <c r="E605" s="2" t="s">
        <v>81</v>
      </c>
      <c r="F605" s="2" t="s">
        <v>83</v>
      </c>
      <c r="G605" s="1">
        <v>0</v>
      </c>
      <c r="H605" s="1">
        <v>543</v>
      </c>
      <c r="I605" s="2" t="s">
        <v>37</v>
      </c>
      <c r="J605" s="2" t="s">
        <v>26</v>
      </c>
      <c r="K605" s="1">
        <v>354.24</v>
      </c>
      <c r="L605" s="3">
        <v>45688</v>
      </c>
    </row>
    <row r="606" spans="1:12" x14ac:dyDescent="0.25">
      <c r="A606" s="1">
        <v>102097</v>
      </c>
      <c r="B606" s="2" t="s">
        <v>347</v>
      </c>
      <c r="C606" s="2" t="s">
        <v>95</v>
      </c>
      <c r="D606" s="2" t="s">
        <v>64</v>
      </c>
      <c r="E606" s="2" t="s">
        <v>55</v>
      </c>
      <c r="F606" s="2" t="s">
        <v>25</v>
      </c>
      <c r="G606" s="1">
        <v>22</v>
      </c>
      <c r="H606" s="1">
        <v>699</v>
      </c>
      <c r="I606" s="2" t="s">
        <v>32</v>
      </c>
      <c r="J606" s="2" t="s">
        <v>20</v>
      </c>
      <c r="K606" s="1">
        <v>300.37</v>
      </c>
      <c r="L606" s="3">
        <v>45688</v>
      </c>
    </row>
    <row r="607" spans="1:12" x14ac:dyDescent="0.25">
      <c r="A607" s="1">
        <v>101063</v>
      </c>
      <c r="B607" s="2" t="s">
        <v>512</v>
      </c>
      <c r="C607" s="2" t="s">
        <v>152</v>
      </c>
      <c r="D607" s="2" t="s">
        <v>41</v>
      </c>
      <c r="E607" s="2" t="s">
        <v>78</v>
      </c>
      <c r="F607" s="2" t="s">
        <v>18</v>
      </c>
      <c r="G607" s="1">
        <v>0</v>
      </c>
      <c r="H607" s="1">
        <v>853</v>
      </c>
      <c r="I607" s="2" t="s">
        <v>45</v>
      </c>
      <c r="J607" s="2" t="s">
        <v>20</v>
      </c>
      <c r="K607" s="1">
        <v>276.29000000000002</v>
      </c>
      <c r="L607" s="3">
        <v>45688</v>
      </c>
    </row>
    <row r="608" spans="1:12" x14ac:dyDescent="0.25">
      <c r="A608" s="1">
        <v>101848</v>
      </c>
      <c r="B608" s="2" t="s">
        <v>94</v>
      </c>
      <c r="C608" s="2" t="s">
        <v>95</v>
      </c>
      <c r="D608" s="2" t="s">
        <v>50</v>
      </c>
      <c r="E608" s="2" t="s">
        <v>70</v>
      </c>
      <c r="F608" s="2" t="s">
        <v>25</v>
      </c>
      <c r="G608" s="1">
        <v>24</v>
      </c>
      <c r="H608" s="1">
        <v>360</v>
      </c>
      <c r="I608" s="2" t="s">
        <v>37</v>
      </c>
      <c r="J608" s="2" t="s">
        <v>26</v>
      </c>
      <c r="K608" s="1">
        <v>497.88</v>
      </c>
      <c r="L608" s="3">
        <v>45687</v>
      </c>
    </row>
    <row r="609" spans="1:12" x14ac:dyDescent="0.25">
      <c r="A609" s="1">
        <v>101104</v>
      </c>
      <c r="B609" s="2" t="s">
        <v>489</v>
      </c>
      <c r="C609" s="2" t="s">
        <v>126</v>
      </c>
      <c r="D609" s="2" t="s">
        <v>50</v>
      </c>
      <c r="E609" s="2" t="s">
        <v>70</v>
      </c>
      <c r="F609" s="2" t="s">
        <v>18</v>
      </c>
      <c r="G609" s="1">
        <v>0</v>
      </c>
      <c r="H609" s="1">
        <v>843</v>
      </c>
      <c r="I609" s="2" t="s">
        <v>56</v>
      </c>
      <c r="J609" s="2" t="s">
        <v>33</v>
      </c>
      <c r="K609" s="1">
        <v>179.52</v>
      </c>
      <c r="L609" s="3">
        <v>45687</v>
      </c>
    </row>
    <row r="610" spans="1:12" x14ac:dyDescent="0.25">
      <c r="A610" s="1">
        <v>102057</v>
      </c>
      <c r="B610" s="2" t="s">
        <v>286</v>
      </c>
      <c r="C610" s="2" t="s">
        <v>168</v>
      </c>
      <c r="D610" s="2" t="s">
        <v>106</v>
      </c>
      <c r="E610" s="2" t="s">
        <v>81</v>
      </c>
      <c r="F610" s="2" t="s">
        <v>18</v>
      </c>
      <c r="G610" s="1">
        <v>0</v>
      </c>
      <c r="H610" s="1">
        <v>434</v>
      </c>
      <c r="I610" s="2" t="s">
        <v>32</v>
      </c>
      <c r="J610" s="2" t="s">
        <v>26</v>
      </c>
      <c r="K610" s="1">
        <v>409.95</v>
      </c>
      <c r="L610" s="3">
        <v>45686</v>
      </c>
    </row>
    <row r="611" spans="1:12" x14ac:dyDescent="0.25">
      <c r="A611" s="1">
        <v>100520</v>
      </c>
      <c r="B611" s="2" t="s">
        <v>585</v>
      </c>
      <c r="C611" s="2" t="s">
        <v>270</v>
      </c>
      <c r="D611" s="2" t="s">
        <v>41</v>
      </c>
      <c r="E611" s="2" t="s">
        <v>31</v>
      </c>
      <c r="F611" s="2" t="s">
        <v>18</v>
      </c>
      <c r="G611" s="1">
        <v>0</v>
      </c>
      <c r="H611" s="1">
        <v>814</v>
      </c>
      <c r="I611" s="2" t="s">
        <v>45</v>
      </c>
      <c r="J611" s="2" t="s">
        <v>20</v>
      </c>
      <c r="K611" s="1">
        <v>347.55</v>
      </c>
      <c r="L611" s="3">
        <v>45686</v>
      </c>
    </row>
    <row r="612" spans="1:12" x14ac:dyDescent="0.25">
      <c r="A612" s="1">
        <v>100214</v>
      </c>
      <c r="B612" s="2" t="s">
        <v>636</v>
      </c>
      <c r="C612" s="2" t="s">
        <v>244</v>
      </c>
      <c r="D612" s="2" t="s">
        <v>50</v>
      </c>
      <c r="E612" s="2" t="s">
        <v>55</v>
      </c>
      <c r="F612" s="2" t="s">
        <v>18</v>
      </c>
      <c r="G612" s="1">
        <v>0</v>
      </c>
      <c r="H612" s="1">
        <v>303</v>
      </c>
      <c r="I612" s="2" t="s">
        <v>37</v>
      </c>
      <c r="J612" s="2" t="s">
        <v>20</v>
      </c>
      <c r="K612" s="1">
        <v>309.95999999999998</v>
      </c>
      <c r="L612" s="3">
        <v>45686</v>
      </c>
    </row>
    <row r="613" spans="1:12" x14ac:dyDescent="0.25">
      <c r="A613" s="1">
        <v>101165</v>
      </c>
      <c r="B613" s="2" t="s">
        <v>599</v>
      </c>
      <c r="C613" s="2" t="s">
        <v>52</v>
      </c>
      <c r="D613" s="2" t="s">
        <v>41</v>
      </c>
      <c r="E613" s="2" t="s">
        <v>81</v>
      </c>
      <c r="F613" s="2" t="s">
        <v>18</v>
      </c>
      <c r="G613" s="1">
        <v>0</v>
      </c>
      <c r="H613" s="1">
        <v>552</v>
      </c>
      <c r="I613" s="2" t="s">
        <v>35</v>
      </c>
      <c r="J613" s="2" t="s">
        <v>20</v>
      </c>
      <c r="K613" s="1">
        <v>236.41</v>
      </c>
      <c r="L613" s="3">
        <v>45686</v>
      </c>
    </row>
    <row r="614" spans="1:12" x14ac:dyDescent="0.25">
      <c r="A614" s="1">
        <v>101816</v>
      </c>
      <c r="B614" s="2" t="s">
        <v>553</v>
      </c>
      <c r="C614" s="2" t="s">
        <v>72</v>
      </c>
      <c r="D614" s="2" t="s">
        <v>50</v>
      </c>
      <c r="E614" s="2" t="s">
        <v>81</v>
      </c>
      <c r="F614" s="2" t="s">
        <v>18</v>
      </c>
      <c r="G614" s="1">
        <v>0</v>
      </c>
      <c r="H614" s="1">
        <v>638</v>
      </c>
      <c r="I614" s="2" t="s">
        <v>56</v>
      </c>
      <c r="J614" s="2" t="s">
        <v>26</v>
      </c>
      <c r="K614" s="1">
        <v>157.28</v>
      </c>
      <c r="L614" s="3">
        <v>45686</v>
      </c>
    </row>
    <row r="615" spans="1:12" x14ac:dyDescent="0.25">
      <c r="A615" s="1">
        <v>100414</v>
      </c>
      <c r="B615" s="2" t="s">
        <v>102</v>
      </c>
      <c r="C615" s="2" t="s">
        <v>103</v>
      </c>
      <c r="D615" s="2" t="s">
        <v>50</v>
      </c>
      <c r="E615" s="2" t="s">
        <v>60</v>
      </c>
      <c r="F615" s="2" t="s">
        <v>83</v>
      </c>
      <c r="G615" s="1">
        <v>0</v>
      </c>
      <c r="H615" s="1">
        <v>733</v>
      </c>
      <c r="I615" s="2" t="s">
        <v>32</v>
      </c>
      <c r="J615" s="2" t="s">
        <v>20</v>
      </c>
      <c r="K615" s="1">
        <v>417.52</v>
      </c>
      <c r="L615" s="3">
        <v>45685</v>
      </c>
    </row>
    <row r="616" spans="1:12" x14ac:dyDescent="0.25">
      <c r="A616" s="1">
        <v>101333</v>
      </c>
      <c r="B616" s="2" t="s">
        <v>344</v>
      </c>
      <c r="C616" s="2" t="s">
        <v>244</v>
      </c>
      <c r="D616" s="2" t="s">
        <v>64</v>
      </c>
      <c r="E616" s="2" t="s">
        <v>60</v>
      </c>
      <c r="F616" s="2" t="s">
        <v>18</v>
      </c>
      <c r="G616" s="1">
        <v>0</v>
      </c>
      <c r="H616" s="1">
        <v>792</v>
      </c>
      <c r="I616" s="2" t="s">
        <v>56</v>
      </c>
      <c r="J616" s="2" t="s">
        <v>26</v>
      </c>
      <c r="K616" s="1">
        <v>282.45999999999998</v>
      </c>
      <c r="L616" s="3">
        <v>45685</v>
      </c>
    </row>
    <row r="617" spans="1:12" x14ac:dyDescent="0.25">
      <c r="A617" s="1">
        <v>100909</v>
      </c>
      <c r="B617" s="2" t="s">
        <v>342</v>
      </c>
      <c r="C617" s="2" t="s">
        <v>110</v>
      </c>
      <c r="D617" s="2" t="s">
        <v>64</v>
      </c>
      <c r="E617" s="2" t="s">
        <v>81</v>
      </c>
      <c r="F617" s="2" t="s">
        <v>18</v>
      </c>
      <c r="G617" s="1">
        <v>0</v>
      </c>
      <c r="H617" s="1">
        <v>659</v>
      </c>
      <c r="I617" s="2" t="s">
        <v>19</v>
      </c>
      <c r="J617" s="2" t="s">
        <v>33</v>
      </c>
      <c r="K617" s="1">
        <v>269.22000000000003</v>
      </c>
      <c r="L617" s="3">
        <v>45685</v>
      </c>
    </row>
    <row r="618" spans="1:12" x14ac:dyDescent="0.25">
      <c r="A618" s="1">
        <v>100142</v>
      </c>
      <c r="B618" s="2" t="s">
        <v>504</v>
      </c>
      <c r="C618" s="2" t="s">
        <v>187</v>
      </c>
      <c r="D618" s="2" t="s">
        <v>41</v>
      </c>
      <c r="E618" s="2" t="s">
        <v>60</v>
      </c>
      <c r="F618" s="2" t="s">
        <v>83</v>
      </c>
      <c r="G618" s="1">
        <v>0</v>
      </c>
      <c r="H618" s="1">
        <v>494</v>
      </c>
      <c r="I618" s="2" t="s">
        <v>56</v>
      </c>
      <c r="J618" s="2" t="s">
        <v>26</v>
      </c>
      <c r="K618" s="1">
        <v>43.51</v>
      </c>
      <c r="L618" s="3">
        <v>45685</v>
      </c>
    </row>
    <row r="619" spans="1:12" x14ac:dyDescent="0.25">
      <c r="A619" s="1">
        <v>100711</v>
      </c>
      <c r="B619" s="2" t="s">
        <v>786</v>
      </c>
      <c r="C619" s="2" t="s">
        <v>95</v>
      </c>
      <c r="D619" s="2" t="s">
        <v>50</v>
      </c>
      <c r="E619" s="2" t="s">
        <v>78</v>
      </c>
      <c r="F619" s="2" t="s">
        <v>18</v>
      </c>
      <c r="G619" s="1">
        <v>0</v>
      </c>
      <c r="H619" s="1">
        <v>835</v>
      </c>
      <c r="I619" s="2" t="s">
        <v>37</v>
      </c>
      <c r="J619" s="2" t="s">
        <v>33</v>
      </c>
      <c r="K619" s="1">
        <v>436.64</v>
      </c>
      <c r="L619" s="3">
        <v>45684</v>
      </c>
    </row>
    <row r="620" spans="1:12" x14ac:dyDescent="0.25">
      <c r="A620" s="1">
        <v>100907</v>
      </c>
      <c r="B620" s="2" t="s">
        <v>194</v>
      </c>
      <c r="C620" s="2" t="s">
        <v>47</v>
      </c>
      <c r="D620" s="2" t="s">
        <v>64</v>
      </c>
      <c r="E620" s="2" t="s">
        <v>60</v>
      </c>
      <c r="F620" s="2" t="s">
        <v>18</v>
      </c>
      <c r="G620" s="1">
        <v>0</v>
      </c>
      <c r="H620" s="1">
        <v>308</v>
      </c>
      <c r="I620" s="2" t="s">
        <v>37</v>
      </c>
      <c r="J620" s="2" t="s">
        <v>20</v>
      </c>
      <c r="K620" s="1">
        <v>367.08</v>
      </c>
      <c r="L620" s="3">
        <v>45684</v>
      </c>
    </row>
    <row r="621" spans="1:12" x14ac:dyDescent="0.25">
      <c r="A621" s="1">
        <v>101223</v>
      </c>
      <c r="B621" s="2" t="s">
        <v>446</v>
      </c>
      <c r="C621" s="2" t="s">
        <v>168</v>
      </c>
      <c r="D621" s="2" t="s">
        <v>41</v>
      </c>
      <c r="E621" s="2" t="s">
        <v>78</v>
      </c>
      <c r="F621" s="2" t="s">
        <v>18</v>
      </c>
      <c r="G621" s="1">
        <v>0</v>
      </c>
      <c r="H621" s="1">
        <v>515</v>
      </c>
      <c r="I621" s="2" t="s">
        <v>45</v>
      </c>
      <c r="J621" s="2" t="s">
        <v>20</v>
      </c>
      <c r="K621" s="1">
        <v>462.96</v>
      </c>
      <c r="L621" s="3">
        <v>45683</v>
      </c>
    </row>
    <row r="622" spans="1:12" x14ac:dyDescent="0.25">
      <c r="A622" s="1">
        <v>100258</v>
      </c>
      <c r="B622" s="2" t="s">
        <v>282</v>
      </c>
      <c r="C622" s="2" t="s">
        <v>152</v>
      </c>
      <c r="D622" s="2" t="s">
        <v>41</v>
      </c>
      <c r="E622" s="2" t="s">
        <v>60</v>
      </c>
      <c r="F622" s="2" t="s">
        <v>83</v>
      </c>
      <c r="G622" s="1">
        <v>0</v>
      </c>
      <c r="H622" s="1">
        <v>301</v>
      </c>
      <c r="I622" s="2" t="s">
        <v>45</v>
      </c>
      <c r="J622" s="2" t="s">
        <v>33</v>
      </c>
      <c r="K622" s="1">
        <v>322.52</v>
      </c>
      <c r="L622" s="3">
        <v>45683</v>
      </c>
    </row>
    <row r="623" spans="1:12" x14ac:dyDescent="0.25">
      <c r="A623" s="1">
        <v>101429</v>
      </c>
      <c r="B623" s="2" t="s">
        <v>382</v>
      </c>
      <c r="C623" s="2" t="s">
        <v>152</v>
      </c>
      <c r="D623" s="2" t="s">
        <v>41</v>
      </c>
      <c r="E623" s="2" t="s">
        <v>60</v>
      </c>
      <c r="F623" s="2" t="s">
        <v>18</v>
      </c>
      <c r="G623" s="1">
        <v>0</v>
      </c>
      <c r="H623" s="1">
        <v>797</v>
      </c>
      <c r="I623" s="2" t="s">
        <v>45</v>
      </c>
      <c r="J623" s="2" t="s">
        <v>20</v>
      </c>
      <c r="K623" s="1">
        <v>245.3</v>
      </c>
      <c r="L623" s="3">
        <v>45683</v>
      </c>
    </row>
    <row r="624" spans="1:12" x14ac:dyDescent="0.25">
      <c r="A624" s="1">
        <v>101830</v>
      </c>
      <c r="B624" s="2" t="s">
        <v>155</v>
      </c>
      <c r="C624" s="2" t="s">
        <v>142</v>
      </c>
      <c r="D624" s="2" t="s">
        <v>50</v>
      </c>
      <c r="E624" s="2" t="s">
        <v>17</v>
      </c>
      <c r="F624" s="2" t="s">
        <v>18</v>
      </c>
      <c r="G624" s="1">
        <v>0</v>
      </c>
      <c r="H624" s="1">
        <v>339</v>
      </c>
      <c r="I624" s="2" t="s">
        <v>56</v>
      </c>
      <c r="J624" s="2" t="s">
        <v>20</v>
      </c>
      <c r="K624" s="1">
        <v>152.99</v>
      </c>
      <c r="L624" s="3">
        <v>45683</v>
      </c>
    </row>
    <row r="625" spans="1:12" x14ac:dyDescent="0.25">
      <c r="A625" s="1">
        <v>100335</v>
      </c>
      <c r="B625" s="2" t="s">
        <v>402</v>
      </c>
      <c r="C625" s="2" t="s">
        <v>95</v>
      </c>
      <c r="D625" s="2" t="s">
        <v>50</v>
      </c>
      <c r="E625" s="2" t="s">
        <v>78</v>
      </c>
      <c r="F625" s="2" t="s">
        <v>25</v>
      </c>
      <c r="G625" s="1">
        <v>13</v>
      </c>
      <c r="H625" s="1">
        <v>355</v>
      </c>
      <c r="I625" s="2" t="s">
        <v>56</v>
      </c>
      <c r="J625" s="2" t="s">
        <v>20</v>
      </c>
      <c r="K625" s="1">
        <v>32.82</v>
      </c>
      <c r="L625" s="3">
        <v>45683</v>
      </c>
    </row>
    <row r="626" spans="1:12" x14ac:dyDescent="0.25">
      <c r="A626" s="1">
        <v>100767</v>
      </c>
      <c r="B626" s="2" t="s">
        <v>504</v>
      </c>
      <c r="C626" s="2" t="s">
        <v>187</v>
      </c>
      <c r="D626" s="2" t="s">
        <v>106</v>
      </c>
      <c r="E626" s="2" t="s">
        <v>78</v>
      </c>
      <c r="F626" s="2" t="s">
        <v>18</v>
      </c>
      <c r="G626" s="1">
        <v>0</v>
      </c>
      <c r="H626" s="1">
        <v>494</v>
      </c>
      <c r="I626" s="2" t="s">
        <v>37</v>
      </c>
      <c r="J626" s="2" t="s">
        <v>20</v>
      </c>
      <c r="K626" s="1">
        <v>16.72</v>
      </c>
      <c r="L626" s="3">
        <v>45683</v>
      </c>
    </row>
    <row r="627" spans="1:12" x14ac:dyDescent="0.25">
      <c r="A627" s="1">
        <v>101936</v>
      </c>
      <c r="B627" s="2" t="s">
        <v>202</v>
      </c>
      <c r="C627" s="2" t="s">
        <v>95</v>
      </c>
      <c r="D627" s="2" t="s">
        <v>50</v>
      </c>
      <c r="E627" s="2" t="s">
        <v>17</v>
      </c>
      <c r="F627" s="2" t="s">
        <v>18</v>
      </c>
      <c r="G627" s="1">
        <v>0</v>
      </c>
      <c r="H627" s="1">
        <v>570</v>
      </c>
      <c r="I627" s="2" t="s">
        <v>37</v>
      </c>
      <c r="J627" s="2" t="s">
        <v>20</v>
      </c>
      <c r="K627" s="1">
        <v>1071.96</v>
      </c>
      <c r="L627" s="3">
        <v>45682</v>
      </c>
    </row>
    <row r="628" spans="1:12" x14ac:dyDescent="0.25">
      <c r="A628" s="1">
        <v>100185</v>
      </c>
      <c r="B628" s="2" t="s">
        <v>450</v>
      </c>
      <c r="C628" s="2" t="s">
        <v>35</v>
      </c>
      <c r="D628" s="2" t="s">
        <v>50</v>
      </c>
      <c r="E628" s="2" t="s">
        <v>60</v>
      </c>
      <c r="F628" s="2" t="s">
        <v>18</v>
      </c>
      <c r="G628" s="1">
        <v>0</v>
      </c>
      <c r="H628" s="1">
        <v>890</v>
      </c>
      <c r="I628" s="2" t="s">
        <v>45</v>
      </c>
      <c r="J628" s="2" t="s">
        <v>26</v>
      </c>
      <c r="K628" s="1">
        <v>578.4</v>
      </c>
      <c r="L628" s="3">
        <v>45682</v>
      </c>
    </row>
    <row r="629" spans="1:12" x14ac:dyDescent="0.25">
      <c r="A629" s="1">
        <v>100249</v>
      </c>
      <c r="B629" s="2" t="s">
        <v>94</v>
      </c>
      <c r="C629" s="2" t="s">
        <v>95</v>
      </c>
      <c r="D629" s="2" t="s">
        <v>106</v>
      </c>
      <c r="E629" s="2" t="s">
        <v>81</v>
      </c>
      <c r="F629" s="2" t="s">
        <v>25</v>
      </c>
      <c r="G629" s="1">
        <v>19</v>
      </c>
      <c r="H629" s="1">
        <v>360</v>
      </c>
      <c r="I629" s="2" t="s">
        <v>37</v>
      </c>
      <c r="J629" s="2" t="s">
        <v>20</v>
      </c>
      <c r="K629" s="1">
        <v>521.02</v>
      </c>
      <c r="L629" s="3">
        <v>45682</v>
      </c>
    </row>
    <row r="630" spans="1:12" x14ac:dyDescent="0.25">
      <c r="A630" s="1">
        <v>100606</v>
      </c>
      <c r="B630" s="2" t="s">
        <v>825</v>
      </c>
      <c r="C630" s="2" t="s">
        <v>58</v>
      </c>
      <c r="D630" s="2" t="s">
        <v>64</v>
      </c>
      <c r="E630" s="2" t="s">
        <v>78</v>
      </c>
      <c r="F630" s="2" t="s">
        <v>18</v>
      </c>
      <c r="G630" s="1">
        <v>0</v>
      </c>
      <c r="H630" s="1">
        <v>636</v>
      </c>
      <c r="I630" s="2" t="s">
        <v>56</v>
      </c>
      <c r="J630" s="2" t="s">
        <v>33</v>
      </c>
      <c r="K630" s="1">
        <v>472.73</v>
      </c>
      <c r="L630" s="3">
        <v>45682</v>
      </c>
    </row>
    <row r="631" spans="1:12" x14ac:dyDescent="0.25">
      <c r="A631" s="1">
        <v>102176</v>
      </c>
      <c r="B631" s="2" t="s">
        <v>429</v>
      </c>
      <c r="C631" s="2" t="s">
        <v>52</v>
      </c>
      <c r="D631" s="2" t="s">
        <v>41</v>
      </c>
      <c r="E631" s="2" t="s">
        <v>35</v>
      </c>
      <c r="F631" s="2" t="s">
        <v>18</v>
      </c>
      <c r="G631" s="1">
        <v>0</v>
      </c>
      <c r="H631" s="1">
        <v>568</v>
      </c>
      <c r="I631" s="2" t="s">
        <v>45</v>
      </c>
      <c r="J631" s="2" t="s">
        <v>26</v>
      </c>
      <c r="K631" s="1">
        <v>463.05</v>
      </c>
      <c r="L631" s="3">
        <v>45682</v>
      </c>
    </row>
    <row r="632" spans="1:12" x14ac:dyDescent="0.25">
      <c r="A632" s="1">
        <v>100532</v>
      </c>
      <c r="B632" s="2" t="s">
        <v>57</v>
      </c>
      <c r="C632" s="2" t="s">
        <v>58</v>
      </c>
      <c r="D632" s="2" t="s">
        <v>64</v>
      </c>
      <c r="E632" s="2" t="s">
        <v>78</v>
      </c>
      <c r="F632" s="2" t="s">
        <v>25</v>
      </c>
      <c r="G632" s="1">
        <v>26</v>
      </c>
      <c r="H632" s="1">
        <v>798</v>
      </c>
      <c r="I632" s="2" t="s">
        <v>45</v>
      </c>
      <c r="J632" s="2" t="s">
        <v>20</v>
      </c>
      <c r="K632" s="1">
        <v>437.57</v>
      </c>
      <c r="L632" s="3">
        <v>45682</v>
      </c>
    </row>
    <row r="633" spans="1:12" x14ac:dyDescent="0.25">
      <c r="A633" s="1">
        <v>100517</v>
      </c>
      <c r="B633" s="2" t="s">
        <v>27</v>
      </c>
      <c r="C633" s="2" t="s">
        <v>28</v>
      </c>
      <c r="D633" s="2" t="s">
        <v>106</v>
      </c>
      <c r="E633" s="2" t="s">
        <v>70</v>
      </c>
      <c r="F633" s="2" t="s">
        <v>18</v>
      </c>
      <c r="G633" s="1">
        <v>0</v>
      </c>
      <c r="H633" s="1">
        <v>849</v>
      </c>
      <c r="I633" s="2" t="s">
        <v>19</v>
      </c>
      <c r="J633" s="2" t="s">
        <v>33</v>
      </c>
      <c r="K633" s="1">
        <v>435.07</v>
      </c>
      <c r="L633" s="3">
        <v>45682</v>
      </c>
    </row>
    <row r="634" spans="1:12" x14ac:dyDescent="0.25">
      <c r="A634" s="1">
        <v>101973</v>
      </c>
      <c r="B634" s="2" t="s">
        <v>186</v>
      </c>
      <c r="C634" s="2" t="s">
        <v>187</v>
      </c>
      <c r="D634" s="2" t="s">
        <v>41</v>
      </c>
      <c r="E634" s="2" t="s">
        <v>35</v>
      </c>
      <c r="F634" s="2" t="s">
        <v>83</v>
      </c>
      <c r="G634" s="1" t="s">
        <v>35</v>
      </c>
      <c r="H634" s="1">
        <v>709</v>
      </c>
      <c r="I634" s="2" t="s">
        <v>19</v>
      </c>
      <c r="J634" s="2" t="s">
        <v>33</v>
      </c>
      <c r="K634" s="1">
        <v>396.56</v>
      </c>
      <c r="L634" s="3">
        <v>45682</v>
      </c>
    </row>
    <row r="635" spans="1:12" x14ac:dyDescent="0.25">
      <c r="A635" s="1">
        <v>101819</v>
      </c>
      <c r="B635" s="2" t="s">
        <v>450</v>
      </c>
      <c r="C635" s="2" t="s">
        <v>95</v>
      </c>
      <c r="D635" s="2" t="s">
        <v>64</v>
      </c>
      <c r="E635" s="2" t="s">
        <v>78</v>
      </c>
      <c r="F635" s="2" t="s">
        <v>42</v>
      </c>
      <c r="G635" s="1">
        <v>133</v>
      </c>
      <c r="H635" s="1">
        <v>890</v>
      </c>
      <c r="I635" s="2" t="s">
        <v>37</v>
      </c>
      <c r="J635" s="2" t="s">
        <v>20</v>
      </c>
      <c r="K635" s="1">
        <v>370.12</v>
      </c>
      <c r="L635" s="3">
        <v>45682</v>
      </c>
    </row>
    <row r="636" spans="1:12" x14ac:dyDescent="0.25">
      <c r="A636" s="1">
        <v>101720</v>
      </c>
      <c r="B636" s="2" t="s">
        <v>940</v>
      </c>
      <c r="C636" s="2" t="s">
        <v>52</v>
      </c>
      <c r="D636" s="2" t="s">
        <v>16</v>
      </c>
      <c r="E636" s="2" t="s">
        <v>81</v>
      </c>
      <c r="F636" s="2" t="s">
        <v>18</v>
      </c>
      <c r="G636" s="1">
        <v>0</v>
      </c>
      <c r="H636" s="1">
        <v>640</v>
      </c>
      <c r="I636" s="2" t="s">
        <v>56</v>
      </c>
      <c r="J636" s="2" t="s">
        <v>20</v>
      </c>
      <c r="K636" s="1">
        <v>190.41</v>
      </c>
      <c r="L636" s="3">
        <v>45682</v>
      </c>
    </row>
    <row r="637" spans="1:12" x14ac:dyDescent="0.25">
      <c r="A637" s="1">
        <v>101832</v>
      </c>
      <c r="B637" s="2" t="s">
        <v>220</v>
      </c>
      <c r="C637" s="2" t="s">
        <v>152</v>
      </c>
      <c r="D637" s="2" t="s">
        <v>41</v>
      </c>
      <c r="E637" s="2" t="s">
        <v>70</v>
      </c>
      <c r="F637" s="2" t="s">
        <v>18</v>
      </c>
      <c r="G637" s="1">
        <v>0</v>
      </c>
      <c r="H637" s="1">
        <v>710</v>
      </c>
      <c r="I637" s="2" t="s">
        <v>56</v>
      </c>
      <c r="J637" s="2" t="s">
        <v>20</v>
      </c>
      <c r="K637" s="1">
        <v>154.1</v>
      </c>
      <c r="L637" s="3">
        <v>45682</v>
      </c>
    </row>
    <row r="638" spans="1:12" x14ac:dyDescent="0.25">
      <c r="A638" s="1">
        <v>101583</v>
      </c>
      <c r="B638" s="2" t="s">
        <v>358</v>
      </c>
      <c r="C638" s="2" t="s">
        <v>110</v>
      </c>
      <c r="D638" s="2" t="s">
        <v>50</v>
      </c>
      <c r="E638" s="2" t="s">
        <v>55</v>
      </c>
      <c r="F638" s="2" t="s">
        <v>83</v>
      </c>
      <c r="G638" s="1">
        <v>0</v>
      </c>
      <c r="H638" s="1">
        <v>481</v>
      </c>
      <c r="I638" s="2" t="s">
        <v>32</v>
      </c>
      <c r="J638" s="2" t="s">
        <v>33</v>
      </c>
      <c r="K638" s="1">
        <v>131.94</v>
      </c>
      <c r="L638" s="3">
        <v>45682</v>
      </c>
    </row>
    <row r="639" spans="1:12" x14ac:dyDescent="0.25">
      <c r="A639" s="1">
        <v>100277</v>
      </c>
      <c r="B639" s="2" t="s">
        <v>160</v>
      </c>
      <c r="C639" s="2" t="s">
        <v>72</v>
      </c>
      <c r="D639" s="2" t="s">
        <v>41</v>
      </c>
      <c r="E639" s="2" t="s">
        <v>31</v>
      </c>
      <c r="F639" s="2" t="s">
        <v>18</v>
      </c>
      <c r="G639" s="1">
        <v>0</v>
      </c>
      <c r="H639" s="1">
        <v>585</v>
      </c>
      <c r="I639" s="2" t="s">
        <v>19</v>
      </c>
      <c r="J639" s="2" t="s">
        <v>20</v>
      </c>
      <c r="K639" s="1">
        <v>84.15</v>
      </c>
      <c r="L639" s="3">
        <v>45682</v>
      </c>
    </row>
    <row r="640" spans="1:12" x14ac:dyDescent="0.25">
      <c r="A640" s="1">
        <v>100693</v>
      </c>
      <c r="B640" s="2" t="s">
        <v>12</v>
      </c>
      <c r="C640" s="2" t="s">
        <v>13</v>
      </c>
      <c r="D640" s="2" t="s">
        <v>64</v>
      </c>
      <c r="E640" s="2" t="s">
        <v>78</v>
      </c>
      <c r="F640" s="2" t="s">
        <v>18</v>
      </c>
      <c r="G640" s="1">
        <v>0</v>
      </c>
      <c r="H640" s="1">
        <v>753</v>
      </c>
      <c r="I640" s="2" t="s">
        <v>32</v>
      </c>
      <c r="J640" s="2" t="s">
        <v>26</v>
      </c>
      <c r="K640" s="1">
        <v>1187.82</v>
      </c>
      <c r="L640" s="3">
        <v>45681</v>
      </c>
    </row>
    <row r="641" spans="1:12" x14ac:dyDescent="0.25">
      <c r="A641" s="1">
        <v>102011</v>
      </c>
      <c r="B641" s="2" t="s">
        <v>481</v>
      </c>
      <c r="C641" s="2" t="s">
        <v>168</v>
      </c>
      <c r="D641" s="2" t="s">
        <v>50</v>
      </c>
      <c r="E641" s="2" t="s">
        <v>55</v>
      </c>
      <c r="F641" s="2" t="s">
        <v>18</v>
      </c>
      <c r="G641" s="1">
        <v>0</v>
      </c>
      <c r="H641" s="1">
        <v>548</v>
      </c>
      <c r="I641" s="2" t="s">
        <v>45</v>
      </c>
      <c r="J641" s="2" t="s">
        <v>20</v>
      </c>
      <c r="K641" s="1">
        <v>1052.1500000000001</v>
      </c>
      <c r="L641" s="3">
        <v>45681</v>
      </c>
    </row>
    <row r="642" spans="1:12" x14ac:dyDescent="0.25">
      <c r="A642" s="1">
        <v>101623</v>
      </c>
      <c r="B642" s="2" t="s">
        <v>225</v>
      </c>
      <c r="C642" s="2" t="s">
        <v>142</v>
      </c>
      <c r="D642" s="2" t="s">
        <v>41</v>
      </c>
      <c r="E642" s="2" t="s">
        <v>55</v>
      </c>
      <c r="F642" s="2" t="s">
        <v>18</v>
      </c>
      <c r="G642" s="1">
        <v>0</v>
      </c>
      <c r="H642" s="1">
        <v>741</v>
      </c>
      <c r="I642" s="2" t="s">
        <v>37</v>
      </c>
      <c r="J642" s="2" t="s">
        <v>26</v>
      </c>
      <c r="K642" s="1">
        <v>320.45999999999998</v>
      </c>
      <c r="L642" s="3">
        <v>45681</v>
      </c>
    </row>
    <row r="643" spans="1:12" x14ac:dyDescent="0.25">
      <c r="A643" s="1">
        <v>100555</v>
      </c>
      <c r="B643" s="2" t="s">
        <v>1036</v>
      </c>
      <c r="C643" s="2" t="s">
        <v>149</v>
      </c>
      <c r="D643" s="2" t="s">
        <v>64</v>
      </c>
      <c r="E643" s="2" t="s">
        <v>17</v>
      </c>
      <c r="F643" s="2" t="s">
        <v>18</v>
      </c>
      <c r="G643" s="1">
        <v>0</v>
      </c>
      <c r="H643" s="1">
        <v>358</v>
      </c>
      <c r="I643" s="2" t="s">
        <v>32</v>
      </c>
      <c r="J643" s="2" t="s">
        <v>20</v>
      </c>
      <c r="K643" s="1">
        <v>1002</v>
      </c>
      <c r="L643" s="3">
        <v>45680</v>
      </c>
    </row>
    <row r="644" spans="1:12" x14ac:dyDescent="0.25">
      <c r="A644" s="1">
        <v>101539</v>
      </c>
      <c r="B644" s="2" t="s">
        <v>599</v>
      </c>
      <c r="C644" s="2" t="s">
        <v>52</v>
      </c>
      <c r="D644" s="2" t="s">
        <v>64</v>
      </c>
      <c r="E644" s="2" t="s">
        <v>17</v>
      </c>
      <c r="F644" s="2" t="s">
        <v>18</v>
      </c>
      <c r="G644" s="1">
        <v>0</v>
      </c>
      <c r="H644" s="1">
        <v>552</v>
      </c>
      <c r="I644" s="2" t="s">
        <v>37</v>
      </c>
      <c r="J644" s="2" t="s">
        <v>33</v>
      </c>
      <c r="K644" s="1">
        <v>402.18</v>
      </c>
      <c r="L644" s="3">
        <v>45680</v>
      </c>
    </row>
    <row r="645" spans="1:12" x14ac:dyDescent="0.25">
      <c r="A645" s="1">
        <v>100009</v>
      </c>
      <c r="B645" s="2" t="s">
        <v>107</v>
      </c>
      <c r="C645" s="2" t="s">
        <v>58</v>
      </c>
      <c r="D645" s="2" t="s">
        <v>106</v>
      </c>
      <c r="E645" s="2" t="s">
        <v>70</v>
      </c>
      <c r="F645" s="2" t="s">
        <v>18</v>
      </c>
      <c r="G645" s="1">
        <v>0</v>
      </c>
      <c r="H645" s="1">
        <v>884</v>
      </c>
      <c r="I645" s="2" t="s">
        <v>45</v>
      </c>
      <c r="J645" s="2" t="s">
        <v>26</v>
      </c>
      <c r="K645" s="1">
        <v>399.09</v>
      </c>
      <c r="L645" s="3">
        <v>45680</v>
      </c>
    </row>
    <row r="646" spans="1:12" x14ac:dyDescent="0.25">
      <c r="A646" s="1">
        <v>102039</v>
      </c>
      <c r="B646" s="2" t="s">
        <v>102</v>
      </c>
      <c r="C646" s="2" t="s">
        <v>103</v>
      </c>
      <c r="D646" s="2" t="s">
        <v>64</v>
      </c>
      <c r="E646" s="2" t="s">
        <v>31</v>
      </c>
      <c r="F646" s="2" t="s">
        <v>25</v>
      </c>
      <c r="G646" s="1">
        <v>27</v>
      </c>
      <c r="H646" s="1">
        <v>733</v>
      </c>
      <c r="I646" s="2" t="s">
        <v>56</v>
      </c>
      <c r="J646" s="2" t="s">
        <v>26</v>
      </c>
      <c r="K646" s="1">
        <v>722.54</v>
      </c>
      <c r="L646" s="3">
        <v>45679</v>
      </c>
    </row>
    <row r="647" spans="1:12" x14ac:dyDescent="0.25">
      <c r="A647" s="1">
        <v>101939</v>
      </c>
      <c r="B647" s="2" t="s">
        <v>255</v>
      </c>
      <c r="C647" s="2" t="s">
        <v>52</v>
      </c>
      <c r="D647" s="2" t="s">
        <v>106</v>
      </c>
      <c r="E647" s="2" t="s">
        <v>81</v>
      </c>
      <c r="F647" s="2" t="s">
        <v>18</v>
      </c>
      <c r="G647" s="1">
        <v>0</v>
      </c>
      <c r="H647" s="1">
        <v>639</v>
      </c>
      <c r="I647" s="2" t="s">
        <v>45</v>
      </c>
      <c r="J647" s="2" t="s">
        <v>20</v>
      </c>
      <c r="K647" s="1">
        <v>347.24</v>
      </c>
      <c r="L647" s="3">
        <v>45679</v>
      </c>
    </row>
    <row r="648" spans="1:12" x14ac:dyDescent="0.25">
      <c r="A648" s="1">
        <v>101323</v>
      </c>
      <c r="B648" s="2" t="s">
        <v>184</v>
      </c>
      <c r="C648" s="2" t="s">
        <v>62</v>
      </c>
      <c r="D648" s="2" t="s">
        <v>41</v>
      </c>
      <c r="E648" s="2" t="s">
        <v>60</v>
      </c>
      <c r="F648" s="2" t="s">
        <v>25</v>
      </c>
      <c r="G648" s="1">
        <v>4</v>
      </c>
      <c r="H648" s="1">
        <v>571</v>
      </c>
      <c r="I648" s="2" t="s">
        <v>45</v>
      </c>
      <c r="J648" s="2" t="s">
        <v>20</v>
      </c>
      <c r="K648" s="1">
        <v>220.71</v>
      </c>
      <c r="L648" s="3">
        <v>45679</v>
      </c>
    </row>
    <row r="649" spans="1:12" x14ac:dyDescent="0.25">
      <c r="A649" s="1">
        <v>101829</v>
      </c>
      <c r="B649" s="2" t="s">
        <v>167</v>
      </c>
      <c r="C649" s="2" t="s">
        <v>35</v>
      </c>
      <c r="D649" s="2" t="s">
        <v>16</v>
      </c>
      <c r="E649" s="2" t="s">
        <v>81</v>
      </c>
      <c r="F649" s="2" t="s">
        <v>18</v>
      </c>
      <c r="G649" s="1">
        <v>0</v>
      </c>
      <c r="H649" s="1">
        <v>658</v>
      </c>
      <c r="I649" s="2" t="s">
        <v>35</v>
      </c>
      <c r="J649" s="2" t="s">
        <v>33</v>
      </c>
      <c r="K649" s="1">
        <v>939.88</v>
      </c>
      <c r="L649" s="3">
        <v>45678</v>
      </c>
    </row>
    <row r="650" spans="1:12" x14ac:dyDescent="0.25">
      <c r="A650" s="1">
        <v>100993</v>
      </c>
      <c r="B650" s="2" t="s">
        <v>558</v>
      </c>
      <c r="C650" s="2" t="s">
        <v>218</v>
      </c>
      <c r="D650" s="2" t="s">
        <v>64</v>
      </c>
      <c r="E650" s="2" t="s">
        <v>31</v>
      </c>
      <c r="F650" s="2" t="s">
        <v>18</v>
      </c>
      <c r="G650" s="1">
        <v>0</v>
      </c>
      <c r="H650" s="1">
        <v>784</v>
      </c>
      <c r="I650" s="2" t="s">
        <v>56</v>
      </c>
      <c r="J650" s="2" t="s">
        <v>26</v>
      </c>
      <c r="K650" s="1">
        <v>774.21</v>
      </c>
      <c r="L650" s="3">
        <v>45678</v>
      </c>
    </row>
    <row r="651" spans="1:12" x14ac:dyDescent="0.25">
      <c r="A651" s="1">
        <v>101827</v>
      </c>
      <c r="B651" s="2" t="s">
        <v>307</v>
      </c>
      <c r="C651" s="2" t="s">
        <v>58</v>
      </c>
      <c r="D651" s="2" t="s">
        <v>50</v>
      </c>
      <c r="E651" s="2" t="s">
        <v>70</v>
      </c>
      <c r="F651" s="2" t="s">
        <v>18</v>
      </c>
      <c r="G651" s="1">
        <v>0</v>
      </c>
      <c r="H651" s="1">
        <v>616</v>
      </c>
      <c r="I651" s="2" t="s">
        <v>56</v>
      </c>
      <c r="J651" s="2" t="s">
        <v>20</v>
      </c>
      <c r="K651" s="1">
        <v>758.04</v>
      </c>
      <c r="L651" s="3">
        <v>45678</v>
      </c>
    </row>
    <row r="652" spans="1:12" x14ac:dyDescent="0.25">
      <c r="A652" s="1">
        <v>100639</v>
      </c>
      <c r="B652" s="2" t="s">
        <v>276</v>
      </c>
      <c r="C652" s="2" t="s">
        <v>52</v>
      </c>
      <c r="D652" s="2" t="s">
        <v>50</v>
      </c>
      <c r="E652" s="2" t="s">
        <v>70</v>
      </c>
      <c r="F652" s="2" t="s">
        <v>83</v>
      </c>
      <c r="G652" s="1">
        <v>0</v>
      </c>
      <c r="H652" s="1">
        <v>638</v>
      </c>
      <c r="I652" s="2" t="s">
        <v>32</v>
      </c>
      <c r="J652" s="2" t="s">
        <v>26</v>
      </c>
      <c r="K652" s="1">
        <v>598.61</v>
      </c>
      <c r="L652" s="3">
        <v>45678</v>
      </c>
    </row>
    <row r="653" spans="1:12" x14ac:dyDescent="0.25">
      <c r="A653" s="1">
        <v>100825</v>
      </c>
      <c r="B653" s="2" t="s">
        <v>1259</v>
      </c>
      <c r="C653" s="2" t="s">
        <v>47</v>
      </c>
      <c r="D653" s="2" t="s">
        <v>106</v>
      </c>
      <c r="E653" s="2" t="s">
        <v>55</v>
      </c>
      <c r="F653" s="2" t="s">
        <v>18</v>
      </c>
      <c r="G653" s="1" t="s">
        <v>35</v>
      </c>
      <c r="H653" s="1">
        <v>748</v>
      </c>
      <c r="I653" s="2" t="s">
        <v>45</v>
      </c>
      <c r="J653" s="2" t="s">
        <v>26</v>
      </c>
      <c r="K653" s="1">
        <v>557.4</v>
      </c>
      <c r="L653" s="3">
        <v>45678</v>
      </c>
    </row>
    <row r="654" spans="1:12" x14ac:dyDescent="0.25">
      <c r="A654" s="1">
        <v>100525</v>
      </c>
      <c r="B654" s="2" t="s">
        <v>376</v>
      </c>
      <c r="C654" s="2" t="s">
        <v>22</v>
      </c>
      <c r="D654" s="2" t="s">
        <v>16</v>
      </c>
      <c r="E654" s="2" t="s">
        <v>81</v>
      </c>
      <c r="F654" s="2" t="s">
        <v>42</v>
      </c>
      <c r="G654" s="1">
        <v>101</v>
      </c>
      <c r="H654" s="1">
        <v>340</v>
      </c>
      <c r="I654" s="2" t="s">
        <v>19</v>
      </c>
      <c r="J654" s="2" t="s">
        <v>33</v>
      </c>
      <c r="K654" s="1">
        <v>508.77</v>
      </c>
      <c r="L654" s="3">
        <v>45678</v>
      </c>
    </row>
    <row r="655" spans="1:12" x14ac:dyDescent="0.25">
      <c r="A655" s="1">
        <v>100281</v>
      </c>
      <c r="B655" s="2" t="s">
        <v>184</v>
      </c>
      <c r="C655" s="2" t="s">
        <v>62</v>
      </c>
      <c r="D655" s="2" t="s">
        <v>106</v>
      </c>
      <c r="E655" s="2" t="s">
        <v>31</v>
      </c>
      <c r="F655" s="2" t="s">
        <v>25</v>
      </c>
      <c r="G655" s="1">
        <v>24</v>
      </c>
      <c r="H655" s="1">
        <v>571</v>
      </c>
      <c r="I655" s="2" t="s">
        <v>45</v>
      </c>
      <c r="J655" s="2" t="s">
        <v>33</v>
      </c>
      <c r="K655" s="1">
        <v>305.51</v>
      </c>
      <c r="L655" s="3">
        <v>45678</v>
      </c>
    </row>
    <row r="656" spans="1:12" x14ac:dyDescent="0.25">
      <c r="A656" s="1">
        <v>100820</v>
      </c>
      <c r="B656" s="2" t="s">
        <v>174</v>
      </c>
      <c r="C656" s="2" t="s">
        <v>134</v>
      </c>
      <c r="D656" s="2" t="s">
        <v>64</v>
      </c>
      <c r="E656" s="2" t="s">
        <v>31</v>
      </c>
      <c r="F656" s="2" t="s">
        <v>18</v>
      </c>
      <c r="G656" s="1">
        <v>0</v>
      </c>
      <c r="H656" s="1">
        <v>554</v>
      </c>
      <c r="I656" s="2" t="s">
        <v>56</v>
      </c>
      <c r="J656" s="2" t="s">
        <v>20</v>
      </c>
      <c r="K656" s="1">
        <v>199.92</v>
      </c>
      <c r="L656" s="3">
        <v>45678</v>
      </c>
    </row>
    <row r="657" spans="1:12" x14ac:dyDescent="0.25">
      <c r="A657" s="1">
        <v>101779</v>
      </c>
      <c r="B657" s="2" t="s">
        <v>186</v>
      </c>
      <c r="C657" s="2" t="s">
        <v>187</v>
      </c>
      <c r="D657" s="2" t="s">
        <v>64</v>
      </c>
      <c r="E657" s="2" t="s">
        <v>81</v>
      </c>
      <c r="F657" s="2" t="s">
        <v>25</v>
      </c>
      <c r="G657" s="1">
        <v>16</v>
      </c>
      <c r="H657" s="1">
        <v>709</v>
      </c>
      <c r="I657" s="2" t="s">
        <v>56</v>
      </c>
      <c r="J657" s="2" t="s">
        <v>20</v>
      </c>
      <c r="K657" s="1">
        <v>459.63</v>
      </c>
      <c r="L657" s="3">
        <v>45677</v>
      </c>
    </row>
    <row r="658" spans="1:12" x14ac:dyDescent="0.25">
      <c r="A658" s="1">
        <v>101306</v>
      </c>
      <c r="B658" s="2" t="s">
        <v>563</v>
      </c>
      <c r="C658" s="2" t="s">
        <v>58</v>
      </c>
      <c r="D658" s="2" t="s">
        <v>50</v>
      </c>
      <c r="E658" s="2" t="s">
        <v>31</v>
      </c>
      <c r="F658" s="2" t="s">
        <v>25</v>
      </c>
      <c r="G658" s="1">
        <v>26</v>
      </c>
      <c r="H658" s="1">
        <v>893</v>
      </c>
      <c r="I658" s="2" t="s">
        <v>32</v>
      </c>
      <c r="J658" s="2" t="s">
        <v>26</v>
      </c>
      <c r="K658" s="1">
        <v>348.39</v>
      </c>
      <c r="L658" s="3">
        <v>45677</v>
      </c>
    </row>
    <row r="659" spans="1:12" x14ac:dyDescent="0.25">
      <c r="A659" s="1">
        <v>101342</v>
      </c>
      <c r="B659" s="2" t="s">
        <v>537</v>
      </c>
      <c r="C659" s="2" t="s">
        <v>187</v>
      </c>
      <c r="D659" s="2" t="s">
        <v>50</v>
      </c>
      <c r="E659" s="2" t="s">
        <v>17</v>
      </c>
      <c r="F659" s="2" t="s">
        <v>25</v>
      </c>
      <c r="G659" s="1">
        <v>25</v>
      </c>
      <c r="H659" s="1">
        <v>874</v>
      </c>
      <c r="I659" s="2" t="s">
        <v>37</v>
      </c>
      <c r="J659" s="2" t="s">
        <v>26</v>
      </c>
      <c r="K659" s="1">
        <v>273.52</v>
      </c>
      <c r="L659" s="3">
        <v>45677</v>
      </c>
    </row>
    <row r="660" spans="1:12" x14ac:dyDescent="0.25">
      <c r="A660" s="1">
        <v>101564</v>
      </c>
      <c r="B660" s="2" t="s">
        <v>1451</v>
      </c>
      <c r="C660" s="2" t="s">
        <v>52</v>
      </c>
      <c r="D660" s="2" t="s">
        <v>50</v>
      </c>
      <c r="E660" s="2" t="s">
        <v>55</v>
      </c>
      <c r="F660" s="2" t="s">
        <v>83</v>
      </c>
      <c r="G660" s="1">
        <v>0</v>
      </c>
      <c r="H660" s="1">
        <v>362</v>
      </c>
      <c r="I660" s="2" t="s">
        <v>56</v>
      </c>
      <c r="J660" s="2" t="s">
        <v>20</v>
      </c>
      <c r="K660" s="1">
        <v>169.95</v>
      </c>
      <c r="L660" s="3">
        <v>45677</v>
      </c>
    </row>
    <row r="661" spans="1:12" x14ac:dyDescent="0.25">
      <c r="A661" s="1">
        <v>101390</v>
      </c>
      <c r="B661" s="2" t="s">
        <v>21</v>
      </c>
      <c r="C661" s="2" t="s">
        <v>22</v>
      </c>
      <c r="D661" s="2" t="s">
        <v>50</v>
      </c>
      <c r="E661" s="2" t="s">
        <v>17</v>
      </c>
      <c r="F661" s="2" t="s">
        <v>18</v>
      </c>
      <c r="G661" s="1">
        <v>0</v>
      </c>
      <c r="H661" s="1">
        <v>771</v>
      </c>
      <c r="I661" s="2" t="s">
        <v>37</v>
      </c>
      <c r="J661" s="2" t="s">
        <v>26</v>
      </c>
      <c r="K661" s="1">
        <v>830.75</v>
      </c>
      <c r="L661" s="3">
        <v>45676</v>
      </c>
    </row>
    <row r="662" spans="1:12" x14ac:dyDescent="0.25">
      <c r="A662" s="1">
        <v>101279</v>
      </c>
      <c r="B662" s="2" t="s">
        <v>418</v>
      </c>
      <c r="C662" s="2" t="s">
        <v>52</v>
      </c>
      <c r="D662" s="2" t="s">
        <v>50</v>
      </c>
      <c r="E662" s="2" t="s">
        <v>55</v>
      </c>
      <c r="F662" s="2" t="s">
        <v>18</v>
      </c>
      <c r="G662" s="1">
        <v>0</v>
      </c>
      <c r="H662" s="1">
        <v>371</v>
      </c>
      <c r="I662" s="2" t="s">
        <v>37</v>
      </c>
      <c r="J662" s="2" t="s">
        <v>26</v>
      </c>
      <c r="K662" s="1">
        <v>209.44</v>
      </c>
      <c r="L662" s="3">
        <v>45676</v>
      </c>
    </row>
    <row r="663" spans="1:12" x14ac:dyDescent="0.25">
      <c r="A663" s="1">
        <v>100721</v>
      </c>
      <c r="B663" s="2" t="s">
        <v>682</v>
      </c>
      <c r="C663" s="2" t="s">
        <v>152</v>
      </c>
      <c r="D663" s="2" t="s">
        <v>41</v>
      </c>
      <c r="E663" s="2" t="s">
        <v>78</v>
      </c>
      <c r="F663" s="2" t="s">
        <v>18</v>
      </c>
      <c r="G663" s="1">
        <v>0</v>
      </c>
      <c r="H663" s="1">
        <v>863</v>
      </c>
      <c r="I663" s="2" t="s">
        <v>19</v>
      </c>
      <c r="J663" s="2" t="s">
        <v>20</v>
      </c>
      <c r="K663" s="1">
        <v>731.34</v>
      </c>
      <c r="L663" s="3">
        <v>45675</v>
      </c>
    </row>
    <row r="664" spans="1:12" x14ac:dyDescent="0.25">
      <c r="A664" s="1">
        <v>101634</v>
      </c>
      <c r="B664" s="2" t="s">
        <v>371</v>
      </c>
      <c r="C664" s="2" t="s">
        <v>52</v>
      </c>
      <c r="D664" s="2" t="s">
        <v>41</v>
      </c>
      <c r="E664" s="2" t="s">
        <v>81</v>
      </c>
      <c r="F664" s="2" t="s">
        <v>18</v>
      </c>
      <c r="G664" s="1">
        <v>0</v>
      </c>
      <c r="H664" s="1">
        <v>339</v>
      </c>
      <c r="I664" s="2" t="s">
        <v>45</v>
      </c>
      <c r="J664" s="2" t="s">
        <v>26</v>
      </c>
      <c r="K664" s="1">
        <v>645.5</v>
      </c>
      <c r="L664" s="3">
        <v>45675</v>
      </c>
    </row>
    <row r="665" spans="1:12" x14ac:dyDescent="0.25">
      <c r="A665" s="1">
        <v>100458</v>
      </c>
      <c r="B665" s="2" t="s">
        <v>212</v>
      </c>
      <c r="C665" s="2" t="s">
        <v>95</v>
      </c>
      <c r="D665" s="2" t="s">
        <v>50</v>
      </c>
      <c r="E665" s="2" t="s">
        <v>78</v>
      </c>
      <c r="F665" s="2" t="s">
        <v>18</v>
      </c>
      <c r="G665" s="1">
        <v>0</v>
      </c>
      <c r="H665" s="1">
        <v>662</v>
      </c>
      <c r="I665" s="2" t="s">
        <v>32</v>
      </c>
      <c r="J665" s="2" t="s">
        <v>26</v>
      </c>
      <c r="K665" s="1">
        <v>623.6</v>
      </c>
      <c r="L665" s="3">
        <v>45675</v>
      </c>
    </row>
    <row r="666" spans="1:12" x14ac:dyDescent="0.25">
      <c r="A666" s="1">
        <v>100816</v>
      </c>
      <c r="B666" s="2" t="s">
        <v>478</v>
      </c>
      <c r="C666" s="2" t="s">
        <v>218</v>
      </c>
      <c r="D666" s="2" t="s">
        <v>16</v>
      </c>
      <c r="E666" s="2" t="s">
        <v>17</v>
      </c>
      <c r="F666" s="2" t="s">
        <v>42</v>
      </c>
      <c r="G666" s="1">
        <v>75</v>
      </c>
      <c r="H666" s="1">
        <v>712</v>
      </c>
      <c r="I666" s="2" t="s">
        <v>45</v>
      </c>
      <c r="J666" s="2" t="s">
        <v>26</v>
      </c>
      <c r="K666" s="1">
        <v>551.07000000000005</v>
      </c>
      <c r="L666" s="3">
        <v>45675</v>
      </c>
    </row>
    <row r="667" spans="1:12" x14ac:dyDescent="0.25">
      <c r="A667" s="1">
        <v>100507</v>
      </c>
      <c r="B667" s="2" t="s">
        <v>65</v>
      </c>
      <c r="C667" s="2" t="s">
        <v>62</v>
      </c>
      <c r="D667" s="2" t="s">
        <v>106</v>
      </c>
      <c r="E667" s="2" t="s">
        <v>81</v>
      </c>
      <c r="F667" s="2" t="s">
        <v>83</v>
      </c>
      <c r="G667" s="1" t="s">
        <v>35</v>
      </c>
      <c r="H667" s="1">
        <v>542</v>
      </c>
      <c r="I667" s="2" t="s">
        <v>45</v>
      </c>
      <c r="J667" s="2" t="s">
        <v>20</v>
      </c>
      <c r="K667" s="1">
        <v>533.14</v>
      </c>
      <c r="L667" s="3">
        <v>45675</v>
      </c>
    </row>
    <row r="668" spans="1:12" x14ac:dyDescent="0.25">
      <c r="A668" s="1">
        <v>101437</v>
      </c>
      <c r="B668" s="2" t="s">
        <v>607</v>
      </c>
      <c r="C668" s="2" t="s">
        <v>134</v>
      </c>
      <c r="D668" s="2" t="s">
        <v>50</v>
      </c>
      <c r="E668" s="2" t="s">
        <v>17</v>
      </c>
      <c r="F668" s="2" t="s">
        <v>18</v>
      </c>
      <c r="G668" s="1">
        <v>0</v>
      </c>
      <c r="H668" s="1">
        <v>458</v>
      </c>
      <c r="I668" s="2" t="s">
        <v>37</v>
      </c>
      <c r="J668" s="2" t="s">
        <v>26</v>
      </c>
      <c r="K668" s="1">
        <v>980.6</v>
      </c>
      <c r="L668" s="3">
        <v>45674</v>
      </c>
    </row>
    <row r="669" spans="1:12" x14ac:dyDescent="0.25">
      <c r="A669" s="1">
        <v>101563</v>
      </c>
      <c r="B669" s="2" t="s">
        <v>251</v>
      </c>
      <c r="C669" s="2" t="s">
        <v>72</v>
      </c>
      <c r="D669" s="2" t="s">
        <v>50</v>
      </c>
      <c r="E669" s="2" t="s">
        <v>17</v>
      </c>
      <c r="F669" s="2" t="s">
        <v>18</v>
      </c>
      <c r="G669" s="1">
        <v>0</v>
      </c>
      <c r="H669" s="1">
        <v>673</v>
      </c>
      <c r="I669" s="2" t="s">
        <v>56</v>
      </c>
      <c r="J669" s="2" t="s">
        <v>26</v>
      </c>
      <c r="K669" s="1">
        <v>316.57</v>
      </c>
      <c r="L669" s="3">
        <v>45674</v>
      </c>
    </row>
    <row r="670" spans="1:12" x14ac:dyDescent="0.25">
      <c r="A670" s="1">
        <v>102154</v>
      </c>
      <c r="B670" s="2" t="s">
        <v>141</v>
      </c>
      <c r="C670" s="2" t="s">
        <v>142</v>
      </c>
      <c r="D670" s="2" t="s">
        <v>50</v>
      </c>
      <c r="E670" s="2" t="s">
        <v>81</v>
      </c>
      <c r="F670" s="2" t="s">
        <v>18</v>
      </c>
      <c r="G670" s="1">
        <v>0</v>
      </c>
      <c r="H670" s="1">
        <v>430</v>
      </c>
      <c r="I670" s="2" t="s">
        <v>35</v>
      </c>
      <c r="J670" s="2" t="s">
        <v>26</v>
      </c>
      <c r="K670" s="1">
        <v>297.69</v>
      </c>
      <c r="L670" s="3">
        <v>45674</v>
      </c>
    </row>
    <row r="671" spans="1:12" x14ac:dyDescent="0.25">
      <c r="A671" s="1">
        <v>100122</v>
      </c>
      <c r="B671" s="2" t="s">
        <v>462</v>
      </c>
      <c r="C671" s="2" t="s">
        <v>168</v>
      </c>
      <c r="D671" s="2" t="s">
        <v>50</v>
      </c>
      <c r="E671" s="2" t="s">
        <v>17</v>
      </c>
      <c r="F671" s="2" t="s">
        <v>83</v>
      </c>
      <c r="G671" s="1">
        <v>0</v>
      </c>
      <c r="H671" s="1">
        <v>716</v>
      </c>
      <c r="I671" s="2" t="s">
        <v>56</v>
      </c>
      <c r="J671" s="2" t="s">
        <v>20</v>
      </c>
      <c r="K671" s="1"/>
      <c r="L671" s="3">
        <v>45674</v>
      </c>
    </row>
    <row r="672" spans="1:12" x14ac:dyDescent="0.25">
      <c r="A672" s="1">
        <v>100547</v>
      </c>
      <c r="B672" s="2" t="s">
        <v>109</v>
      </c>
      <c r="C672" s="2" t="s">
        <v>110</v>
      </c>
      <c r="D672" s="2" t="s">
        <v>106</v>
      </c>
      <c r="E672" s="2" t="s">
        <v>70</v>
      </c>
      <c r="F672" s="2" t="s">
        <v>18</v>
      </c>
      <c r="G672" s="1">
        <v>0</v>
      </c>
      <c r="H672" s="1">
        <v>591</v>
      </c>
      <c r="I672" s="2" t="s">
        <v>56</v>
      </c>
      <c r="J672" s="2" t="s">
        <v>20</v>
      </c>
      <c r="K672" s="1">
        <v>830.81</v>
      </c>
      <c r="L672" s="3">
        <v>45673</v>
      </c>
    </row>
    <row r="673" spans="1:12" x14ac:dyDescent="0.25">
      <c r="A673" s="1">
        <v>100940</v>
      </c>
      <c r="B673" s="2" t="s">
        <v>576</v>
      </c>
      <c r="C673" s="2" t="s">
        <v>22</v>
      </c>
      <c r="D673" s="2" t="s">
        <v>41</v>
      </c>
      <c r="E673" s="2" t="s">
        <v>17</v>
      </c>
      <c r="F673" s="2" t="s">
        <v>18</v>
      </c>
      <c r="G673" s="1">
        <v>0</v>
      </c>
      <c r="H673" s="1">
        <v>418</v>
      </c>
      <c r="I673" s="2" t="s">
        <v>19</v>
      </c>
      <c r="J673" s="2" t="s">
        <v>20</v>
      </c>
      <c r="K673" s="1">
        <v>588.03</v>
      </c>
      <c r="L673" s="3">
        <v>45673</v>
      </c>
    </row>
    <row r="674" spans="1:12" x14ac:dyDescent="0.25">
      <c r="A674" s="1">
        <v>101700</v>
      </c>
      <c r="B674" s="2" t="s">
        <v>94</v>
      </c>
      <c r="C674" s="2" t="s">
        <v>95</v>
      </c>
      <c r="D674" s="2" t="s">
        <v>16</v>
      </c>
      <c r="E674" s="2" t="s">
        <v>55</v>
      </c>
      <c r="F674" s="2" t="s">
        <v>18</v>
      </c>
      <c r="G674" s="1">
        <v>0</v>
      </c>
      <c r="H674" s="1">
        <v>360</v>
      </c>
      <c r="I674" s="2" t="s">
        <v>32</v>
      </c>
      <c r="J674" s="2" t="s">
        <v>26</v>
      </c>
      <c r="K674" s="1">
        <v>313.55</v>
      </c>
      <c r="L674" s="3">
        <v>45673</v>
      </c>
    </row>
    <row r="675" spans="1:12" x14ac:dyDescent="0.25">
      <c r="A675" s="1">
        <v>102147</v>
      </c>
      <c r="B675" s="2" t="s">
        <v>995</v>
      </c>
      <c r="C675" s="2" t="s">
        <v>134</v>
      </c>
      <c r="D675" s="2" t="s">
        <v>16</v>
      </c>
      <c r="E675" s="2" t="s">
        <v>70</v>
      </c>
      <c r="F675" s="2" t="s">
        <v>18</v>
      </c>
      <c r="G675" s="1">
        <v>0</v>
      </c>
      <c r="H675" s="1">
        <v>866</v>
      </c>
      <c r="I675" s="2" t="s">
        <v>37</v>
      </c>
      <c r="J675" s="2" t="s">
        <v>26</v>
      </c>
      <c r="K675" s="1">
        <v>131.93</v>
      </c>
      <c r="L675" s="3">
        <v>45673</v>
      </c>
    </row>
    <row r="676" spans="1:12" x14ac:dyDescent="0.25">
      <c r="A676" s="1">
        <v>102118</v>
      </c>
      <c r="B676" s="2" t="s">
        <v>537</v>
      </c>
      <c r="C676" s="2" t="s">
        <v>187</v>
      </c>
      <c r="D676" s="2" t="s">
        <v>16</v>
      </c>
      <c r="E676" s="2" t="s">
        <v>81</v>
      </c>
      <c r="F676" s="2" t="s">
        <v>25</v>
      </c>
      <c r="G676" s="1">
        <v>17</v>
      </c>
      <c r="H676" s="1">
        <v>874</v>
      </c>
      <c r="I676" s="2" t="s">
        <v>56</v>
      </c>
      <c r="J676" s="2" t="s">
        <v>20</v>
      </c>
      <c r="K676" s="1">
        <v>306.48</v>
      </c>
      <c r="L676" s="3">
        <v>45672</v>
      </c>
    </row>
    <row r="677" spans="1:12" x14ac:dyDescent="0.25">
      <c r="A677" s="1">
        <v>101290</v>
      </c>
      <c r="B677" s="2" t="s">
        <v>928</v>
      </c>
      <c r="C677" s="2" t="s">
        <v>110</v>
      </c>
      <c r="D677" s="2" t="s">
        <v>50</v>
      </c>
      <c r="E677" s="2" t="s">
        <v>78</v>
      </c>
      <c r="F677" s="2" t="s">
        <v>83</v>
      </c>
      <c r="G677" s="1">
        <v>0</v>
      </c>
      <c r="H677" s="1">
        <v>409</v>
      </c>
      <c r="I677" s="2" t="s">
        <v>37</v>
      </c>
      <c r="J677" s="2" t="s">
        <v>20</v>
      </c>
      <c r="K677" s="1">
        <v>292.93</v>
      </c>
      <c r="L677" s="3">
        <v>45672</v>
      </c>
    </row>
    <row r="678" spans="1:12" x14ac:dyDescent="0.25">
      <c r="A678" s="1">
        <v>100620</v>
      </c>
      <c r="B678" s="2" t="s">
        <v>141</v>
      </c>
      <c r="C678" s="2" t="s">
        <v>142</v>
      </c>
      <c r="D678" s="2" t="s">
        <v>106</v>
      </c>
      <c r="E678" s="2" t="s">
        <v>78</v>
      </c>
      <c r="F678" s="2" t="s">
        <v>25</v>
      </c>
      <c r="G678" s="1">
        <v>5</v>
      </c>
      <c r="H678" s="1">
        <v>430</v>
      </c>
      <c r="I678" s="2" t="s">
        <v>32</v>
      </c>
      <c r="J678" s="2" t="s">
        <v>20</v>
      </c>
      <c r="K678" s="1">
        <v>241.33</v>
      </c>
      <c r="L678" s="3">
        <v>45672</v>
      </c>
    </row>
    <row r="679" spans="1:12" x14ac:dyDescent="0.25">
      <c r="A679" s="1">
        <v>101650</v>
      </c>
      <c r="B679" s="2" t="s">
        <v>131</v>
      </c>
      <c r="C679" s="2" t="s">
        <v>39</v>
      </c>
      <c r="D679" s="2" t="s">
        <v>64</v>
      </c>
      <c r="E679" s="2" t="s">
        <v>60</v>
      </c>
      <c r="F679" s="2" t="s">
        <v>25</v>
      </c>
      <c r="G679" s="1">
        <v>25</v>
      </c>
      <c r="H679" s="1">
        <v>867</v>
      </c>
      <c r="I679" s="2" t="s">
        <v>19</v>
      </c>
      <c r="J679" s="2" t="s">
        <v>20</v>
      </c>
      <c r="K679" s="1">
        <v>214.35</v>
      </c>
      <c r="L679" s="3">
        <v>45672</v>
      </c>
    </row>
    <row r="680" spans="1:12" x14ac:dyDescent="0.25">
      <c r="A680" s="1">
        <v>101795</v>
      </c>
      <c r="B680" s="2" t="s">
        <v>157</v>
      </c>
      <c r="C680" s="2" t="s">
        <v>103</v>
      </c>
      <c r="D680" s="2" t="s">
        <v>106</v>
      </c>
      <c r="E680" s="2" t="s">
        <v>31</v>
      </c>
      <c r="F680" s="2" t="s">
        <v>18</v>
      </c>
      <c r="G680" s="1">
        <v>0</v>
      </c>
      <c r="H680" s="1">
        <v>897</v>
      </c>
      <c r="I680" s="2" t="s">
        <v>19</v>
      </c>
      <c r="J680" s="2" t="s">
        <v>35</v>
      </c>
      <c r="K680" s="1">
        <v>112.23</v>
      </c>
      <c r="L680" s="3">
        <v>45672</v>
      </c>
    </row>
    <row r="681" spans="1:12" x14ac:dyDescent="0.25">
      <c r="A681" s="1">
        <v>102131</v>
      </c>
      <c r="B681" s="2" t="s">
        <v>786</v>
      </c>
      <c r="C681" s="2" t="s">
        <v>95</v>
      </c>
      <c r="D681" s="2" t="s">
        <v>41</v>
      </c>
      <c r="E681" s="2" t="s">
        <v>31</v>
      </c>
      <c r="F681" s="2" t="s">
        <v>83</v>
      </c>
      <c r="G681" s="1">
        <v>0</v>
      </c>
      <c r="H681" s="1">
        <v>835</v>
      </c>
      <c r="I681" s="2" t="s">
        <v>37</v>
      </c>
      <c r="J681" s="2" t="s">
        <v>33</v>
      </c>
      <c r="K681" s="1">
        <v>907.25</v>
      </c>
      <c r="L681" s="3">
        <v>45671</v>
      </c>
    </row>
    <row r="682" spans="1:12" x14ac:dyDescent="0.25">
      <c r="A682" s="1">
        <v>100968</v>
      </c>
      <c r="B682" s="2" t="s">
        <v>138</v>
      </c>
      <c r="C682" s="2" t="s">
        <v>85</v>
      </c>
      <c r="D682" s="2" t="s">
        <v>16</v>
      </c>
      <c r="E682" s="2" t="s">
        <v>70</v>
      </c>
      <c r="F682" s="2" t="s">
        <v>18</v>
      </c>
      <c r="G682" s="1">
        <v>0</v>
      </c>
      <c r="H682" s="1">
        <v>623</v>
      </c>
      <c r="I682" s="2" t="s">
        <v>19</v>
      </c>
      <c r="J682" s="2" t="s">
        <v>33</v>
      </c>
      <c r="K682" s="1">
        <v>552.41</v>
      </c>
      <c r="L682" s="3">
        <v>45671</v>
      </c>
    </row>
    <row r="683" spans="1:12" x14ac:dyDescent="0.25">
      <c r="A683" s="1">
        <v>101379</v>
      </c>
      <c r="B683" s="2" t="s">
        <v>1026</v>
      </c>
      <c r="C683" s="2" t="s">
        <v>244</v>
      </c>
      <c r="D683" s="2" t="s">
        <v>16</v>
      </c>
      <c r="E683" s="2" t="s">
        <v>35</v>
      </c>
      <c r="F683" s="2" t="s">
        <v>83</v>
      </c>
      <c r="G683" s="1">
        <v>0</v>
      </c>
      <c r="H683" s="1">
        <v>560</v>
      </c>
      <c r="I683" s="2" t="s">
        <v>37</v>
      </c>
      <c r="J683" s="2" t="s">
        <v>20</v>
      </c>
      <c r="K683" s="1">
        <v>416.39</v>
      </c>
      <c r="L683" s="3">
        <v>45671</v>
      </c>
    </row>
    <row r="684" spans="1:12" x14ac:dyDescent="0.25">
      <c r="A684" s="1">
        <v>100754</v>
      </c>
      <c r="B684" s="2" t="s">
        <v>1177</v>
      </c>
      <c r="C684" s="2" t="s">
        <v>62</v>
      </c>
      <c r="D684" s="2" t="s">
        <v>16</v>
      </c>
      <c r="E684" s="2" t="s">
        <v>31</v>
      </c>
      <c r="F684" s="2" t="s">
        <v>18</v>
      </c>
      <c r="G684" s="1">
        <v>0</v>
      </c>
      <c r="H684" s="1">
        <v>482</v>
      </c>
      <c r="I684" s="2" t="s">
        <v>32</v>
      </c>
      <c r="J684" s="2" t="s">
        <v>33</v>
      </c>
      <c r="K684" s="1">
        <v>373.9</v>
      </c>
      <c r="L684" s="3">
        <v>45671</v>
      </c>
    </row>
    <row r="685" spans="1:12" x14ac:dyDescent="0.25">
      <c r="A685" s="1">
        <v>101438</v>
      </c>
      <c r="B685" s="2" t="s">
        <v>431</v>
      </c>
      <c r="C685" s="2" t="s">
        <v>28</v>
      </c>
      <c r="D685" s="2" t="s">
        <v>50</v>
      </c>
      <c r="E685" s="2" t="s">
        <v>60</v>
      </c>
      <c r="F685" s="2" t="s">
        <v>18</v>
      </c>
      <c r="G685" s="1">
        <v>0</v>
      </c>
      <c r="H685" s="1">
        <v>691</v>
      </c>
      <c r="I685" s="2" t="s">
        <v>45</v>
      </c>
      <c r="J685" s="2" t="s">
        <v>20</v>
      </c>
      <c r="K685" s="1">
        <v>323.10000000000002</v>
      </c>
      <c r="L685" s="3">
        <v>45671</v>
      </c>
    </row>
    <row r="686" spans="1:12" x14ac:dyDescent="0.25">
      <c r="A686" s="1">
        <v>101169</v>
      </c>
      <c r="B686" s="2" t="s">
        <v>200</v>
      </c>
      <c r="C686" s="2" t="s">
        <v>142</v>
      </c>
      <c r="D686" s="2" t="s">
        <v>41</v>
      </c>
      <c r="E686" s="2" t="s">
        <v>78</v>
      </c>
      <c r="F686" s="2" t="s">
        <v>25</v>
      </c>
      <c r="G686" s="1">
        <v>25</v>
      </c>
      <c r="H686" s="1">
        <v>784</v>
      </c>
      <c r="I686" s="2" t="s">
        <v>56</v>
      </c>
      <c r="J686" s="2" t="s">
        <v>33</v>
      </c>
      <c r="K686" s="1">
        <v>529.33000000000004</v>
      </c>
      <c r="L686" s="3">
        <v>45670</v>
      </c>
    </row>
    <row r="687" spans="1:12" x14ac:dyDescent="0.25">
      <c r="A687" s="1">
        <v>100486</v>
      </c>
      <c r="B687" s="2" t="s">
        <v>703</v>
      </c>
      <c r="C687" s="2" t="s">
        <v>52</v>
      </c>
      <c r="D687" s="2" t="s">
        <v>50</v>
      </c>
      <c r="E687" s="2" t="s">
        <v>60</v>
      </c>
      <c r="F687" s="2" t="s">
        <v>18</v>
      </c>
      <c r="G687" s="1">
        <v>0</v>
      </c>
      <c r="H687" s="1">
        <v>609</v>
      </c>
      <c r="I687" s="2" t="s">
        <v>45</v>
      </c>
      <c r="J687" s="2" t="s">
        <v>26</v>
      </c>
      <c r="K687" s="1">
        <v>221.6</v>
      </c>
      <c r="L687" s="3">
        <v>45670</v>
      </c>
    </row>
    <row r="688" spans="1:12" x14ac:dyDescent="0.25">
      <c r="A688" s="1">
        <v>101522</v>
      </c>
      <c r="B688" s="2" t="s">
        <v>619</v>
      </c>
      <c r="C688" s="2" t="s">
        <v>244</v>
      </c>
      <c r="D688" s="2" t="s">
        <v>16</v>
      </c>
      <c r="E688" s="2" t="s">
        <v>60</v>
      </c>
      <c r="F688" s="2" t="s">
        <v>18</v>
      </c>
      <c r="G688" s="1">
        <v>0</v>
      </c>
      <c r="H688" s="1">
        <v>351</v>
      </c>
      <c r="I688" s="2" t="s">
        <v>45</v>
      </c>
      <c r="J688" s="2" t="s">
        <v>26</v>
      </c>
      <c r="K688" s="1">
        <v>162.75</v>
      </c>
      <c r="L688" s="3">
        <v>45670</v>
      </c>
    </row>
    <row r="689" spans="1:12" x14ac:dyDescent="0.25">
      <c r="A689" s="1">
        <v>100987</v>
      </c>
      <c r="B689" s="2" t="s">
        <v>940</v>
      </c>
      <c r="C689" s="2" t="s">
        <v>52</v>
      </c>
      <c r="D689" s="2" t="s">
        <v>41</v>
      </c>
      <c r="E689" s="2" t="s">
        <v>60</v>
      </c>
      <c r="F689" s="2" t="s">
        <v>25</v>
      </c>
      <c r="G689" s="1">
        <v>18</v>
      </c>
      <c r="H689" s="1">
        <v>640</v>
      </c>
      <c r="I689" s="2" t="s">
        <v>45</v>
      </c>
      <c r="J689" s="2" t="s">
        <v>33</v>
      </c>
      <c r="K689" s="1">
        <v>474.91</v>
      </c>
      <c r="L689" s="3">
        <v>45669</v>
      </c>
    </row>
    <row r="690" spans="1:12" x14ac:dyDescent="0.25">
      <c r="A690" s="1">
        <v>102099</v>
      </c>
      <c r="B690" s="2" t="s">
        <v>107</v>
      </c>
      <c r="C690" s="2" t="s">
        <v>58</v>
      </c>
      <c r="D690" s="2" t="s">
        <v>16</v>
      </c>
      <c r="E690" s="2" t="s">
        <v>70</v>
      </c>
      <c r="F690" s="2" t="s">
        <v>18</v>
      </c>
      <c r="G690" s="1">
        <v>0</v>
      </c>
      <c r="H690" s="1">
        <v>884</v>
      </c>
      <c r="I690" s="2" t="s">
        <v>37</v>
      </c>
      <c r="J690" s="2" t="s">
        <v>20</v>
      </c>
      <c r="K690" s="1">
        <v>463.63</v>
      </c>
      <c r="L690" s="3">
        <v>45669</v>
      </c>
    </row>
    <row r="691" spans="1:12" x14ac:dyDescent="0.25">
      <c r="A691" s="1">
        <v>100286</v>
      </c>
      <c r="B691" s="2" t="s">
        <v>515</v>
      </c>
      <c r="C691" s="2" t="s">
        <v>22</v>
      </c>
      <c r="D691" s="2" t="s">
        <v>41</v>
      </c>
      <c r="E691" s="2" t="s">
        <v>81</v>
      </c>
      <c r="F691" s="2" t="s">
        <v>18</v>
      </c>
      <c r="G691" s="1">
        <v>0</v>
      </c>
      <c r="H691" s="1">
        <v>826</v>
      </c>
      <c r="I691" s="2" t="s">
        <v>37</v>
      </c>
      <c r="J691" s="2" t="s">
        <v>33</v>
      </c>
      <c r="K691" s="1">
        <v>134.03</v>
      </c>
      <c r="L691" s="3">
        <v>45669</v>
      </c>
    </row>
    <row r="692" spans="1:12" x14ac:dyDescent="0.25">
      <c r="A692" s="1">
        <v>102010</v>
      </c>
      <c r="B692" s="2" t="s">
        <v>1402</v>
      </c>
      <c r="C692" s="2" t="s">
        <v>100</v>
      </c>
      <c r="D692" s="2" t="s">
        <v>50</v>
      </c>
      <c r="E692" s="2" t="s">
        <v>70</v>
      </c>
      <c r="F692" s="2" t="s">
        <v>18</v>
      </c>
      <c r="G692" s="1">
        <v>0</v>
      </c>
      <c r="H692" s="1">
        <v>588</v>
      </c>
      <c r="I692" s="2" t="s">
        <v>19</v>
      </c>
      <c r="J692" s="2" t="s">
        <v>26</v>
      </c>
      <c r="K692" s="1">
        <v>430.06</v>
      </c>
      <c r="L692" s="3">
        <v>45668</v>
      </c>
    </row>
    <row r="693" spans="1:12" x14ac:dyDescent="0.25">
      <c r="A693" s="1">
        <v>100226</v>
      </c>
      <c r="B693" s="2" t="s">
        <v>636</v>
      </c>
      <c r="C693" s="2" t="s">
        <v>244</v>
      </c>
      <c r="D693" s="2" t="s">
        <v>64</v>
      </c>
      <c r="E693" s="2" t="s">
        <v>78</v>
      </c>
      <c r="F693" s="2" t="s">
        <v>18</v>
      </c>
      <c r="G693" s="1">
        <v>0</v>
      </c>
      <c r="H693" s="1">
        <v>303</v>
      </c>
      <c r="I693" s="2" t="s">
        <v>45</v>
      </c>
      <c r="J693" s="2" t="s">
        <v>33</v>
      </c>
      <c r="K693" s="1">
        <v>427.25</v>
      </c>
      <c r="L693" s="3">
        <v>45668</v>
      </c>
    </row>
    <row r="694" spans="1:12" x14ac:dyDescent="0.25">
      <c r="A694" s="1">
        <v>100105</v>
      </c>
      <c r="B694" s="2" t="s">
        <v>177</v>
      </c>
      <c r="C694" s="2" t="s">
        <v>85</v>
      </c>
      <c r="D694" s="2" t="s">
        <v>50</v>
      </c>
      <c r="E694" s="2" t="s">
        <v>81</v>
      </c>
      <c r="F694" s="2" t="s">
        <v>18</v>
      </c>
      <c r="G694" s="1">
        <v>0</v>
      </c>
      <c r="H694" s="1">
        <v>375</v>
      </c>
      <c r="I694" s="2" t="s">
        <v>45</v>
      </c>
      <c r="J694" s="2" t="s">
        <v>20</v>
      </c>
      <c r="K694" s="1">
        <v>317.39</v>
      </c>
      <c r="L694" s="3">
        <v>45668</v>
      </c>
    </row>
    <row r="695" spans="1:12" x14ac:dyDescent="0.25">
      <c r="A695" s="1">
        <v>100402</v>
      </c>
      <c r="B695" s="2" t="s">
        <v>570</v>
      </c>
      <c r="C695" s="2" t="s">
        <v>39</v>
      </c>
      <c r="D695" s="2" t="s">
        <v>64</v>
      </c>
      <c r="E695" s="2" t="s">
        <v>70</v>
      </c>
      <c r="F695" s="2" t="s">
        <v>18</v>
      </c>
      <c r="G695" s="1">
        <v>0</v>
      </c>
      <c r="H695" s="1">
        <v>371</v>
      </c>
      <c r="I695" s="2" t="s">
        <v>37</v>
      </c>
      <c r="J695" s="2" t="s">
        <v>20</v>
      </c>
      <c r="K695" s="1">
        <v>422.76</v>
      </c>
      <c r="L695" s="3">
        <v>45667</v>
      </c>
    </row>
    <row r="696" spans="1:12" x14ac:dyDescent="0.25">
      <c r="A696" s="1">
        <v>100736</v>
      </c>
      <c r="B696" s="2" t="s">
        <v>1663</v>
      </c>
      <c r="C696" s="2" t="s">
        <v>35</v>
      </c>
      <c r="D696" s="2" t="s">
        <v>64</v>
      </c>
      <c r="E696" s="2" t="s">
        <v>17</v>
      </c>
      <c r="F696" s="2" t="s">
        <v>18</v>
      </c>
      <c r="G696" s="1">
        <v>0</v>
      </c>
      <c r="H696" s="1">
        <v>452</v>
      </c>
      <c r="I696" s="2" t="s">
        <v>37</v>
      </c>
      <c r="J696" s="2" t="s">
        <v>33</v>
      </c>
      <c r="K696" s="1">
        <v>421.49</v>
      </c>
      <c r="L696" s="3">
        <v>45667</v>
      </c>
    </row>
    <row r="697" spans="1:12" x14ac:dyDescent="0.25">
      <c r="A697" s="1">
        <v>100912</v>
      </c>
      <c r="B697" s="2" t="s">
        <v>2124</v>
      </c>
      <c r="C697" s="2" t="s">
        <v>134</v>
      </c>
      <c r="D697" s="2" t="s">
        <v>106</v>
      </c>
      <c r="E697" s="2" t="s">
        <v>81</v>
      </c>
      <c r="F697" s="2" t="s">
        <v>83</v>
      </c>
      <c r="G697" s="1">
        <v>0</v>
      </c>
      <c r="H697" s="1">
        <v>340</v>
      </c>
      <c r="I697" s="2" t="s">
        <v>56</v>
      </c>
      <c r="J697" s="2" t="s">
        <v>20</v>
      </c>
      <c r="K697" s="1">
        <v>317.22000000000003</v>
      </c>
      <c r="L697" s="3">
        <v>45667</v>
      </c>
    </row>
    <row r="698" spans="1:12" x14ac:dyDescent="0.25">
      <c r="A698" s="1">
        <v>100079</v>
      </c>
      <c r="B698" s="2" t="s">
        <v>269</v>
      </c>
      <c r="C698" s="2" t="s">
        <v>270</v>
      </c>
      <c r="D698" s="2" t="s">
        <v>64</v>
      </c>
      <c r="E698" s="2" t="s">
        <v>35</v>
      </c>
      <c r="F698" s="2" t="s">
        <v>25</v>
      </c>
      <c r="G698" s="1">
        <v>13</v>
      </c>
      <c r="H698" s="1">
        <v>515</v>
      </c>
      <c r="I698" s="2" t="s">
        <v>37</v>
      </c>
      <c r="J698" s="2" t="s">
        <v>20</v>
      </c>
      <c r="K698" s="1">
        <v>80.73</v>
      </c>
      <c r="L698" s="3">
        <v>45667</v>
      </c>
    </row>
    <row r="699" spans="1:12" x14ac:dyDescent="0.25">
      <c r="A699" s="1">
        <v>101142</v>
      </c>
      <c r="B699" s="2" t="s">
        <v>225</v>
      </c>
      <c r="C699" s="2" t="s">
        <v>142</v>
      </c>
      <c r="D699" s="2" t="s">
        <v>50</v>
      </c>
      <c r="E699" s="2" t="s">
        <v>55</v>
      </c>
      <c r="F699" s="2" t="s">
        <v>25</v>
      </c>
      <c r="G699" s="1">
        <v>30</v>
      </c>
      <c r="H699" s="1">
        <v>741</v>
      </c>
      <c r="I699" s="2" t="s">
        <v>45</v>
      </c>
      <c r="J699" s="2" t="s">
        <v>20</v>
      </c>
      <c r="K699" s="1">
        <v>693.97</v>
      </c>
      <c r="L699" s="3">
        <v>45666</v>
      </c>
    </row>
    <row r="700" spans="1:12" x14ac:dyDescent="0.25">
      <c r="A700" s="1">
        <v>100263</v>
      </c>
      <c r="B700" s="2" t="s">
        <v>215</v>
      </c>
      <c r="C700" s="2" t="s">
        <v>126</v>
      </c>
      <c r="D700" s="2" t="s">
        <v>16</v>
      </c>
      <c r="E700" s="2" t="s">
        <v>70</v>
      </c>
      <c r="F700" s="2" t="s">
        <v>18</v>
      </c>
      <c r="G700" s="1">
        <v>0</v>
      </c>
      <c r="H700" s="1">
        <v>395</v>
      </c>
      <c r="I700" s="2" t="s">
        <v>56</v>
      </c>
      <c r="J700" s="2" t="s">
        <v>26</v>
      </c>
      <c r="K700" s="1">
        <v>320.82</v>
      </c>
      <c r="L700" s="3">
        <v>45666</v>
      </c>
    </row>
    <row r="701" spans="1:12" x14ac:dyDescent="0.25">
      <c r="A701" s="1">
        <v>100040</v>
      </c>
      <c r="B701" s="2" t="s">
        <v>202</v>
      </c>
      <c r="C701" s="2" t="s">
        <v>95</v>
      </c>
      <c r="D701" s="2" t="s">
        <v>16</v>
      </c>
      <c r="E701" s="2" t="s">
        <v>81</v>
      </c>
      <c r="F701" s="2" t="s">
        <v>18</v>
      </c>
      <c r="G701" s="1">
        <v>0</v>
      </c>
      <c r="H701" s="1">
        <v>570</v>
      </c>
      <c r="I701" s="2" t="s">
        <v>56</v>
      </c>
      <c r="J701" s="2" t="s">
        <v>20</v>
      </c>
      <c r="K701" s="1">
        <v>292.38</v>
      </c>
      <c r="L701" s="3">
        <v>45666</v>
      </c>
    </row>
    <row r="702" spans="1:12" x14ac:dyDescent="0.25">
      <c r="A702" s="1">
        <v>102026</v>
      </c>
      <c r="B702" s="2" t="s">
        <v>595</v>
      </c>
      <c r="C702" s="2" t="s">
        <v>22</v>
      </c>
      <c r="D702" s="2" t="s">
        <v>16</v>
      </c>
      <c r="E702" s="2" t="s">
        <v>17</v>
      </c>
      <c r="F702" s="2" t="s">
        <v>83</v>
      </c>
      <c r="G702" s="1">
        <v>0</v>
      </c>
      <c r="H702" s="1">
        <v>372</v>
      </c>
      <c r="I702" s="2" t="s">
        <v>56</v>
      </c>
      <c r="J702" s="2" t="s">
        <v>35</v>
      </c>
      <c r="K702" s="1">
        <v>171.11</v>
      </c>
      <c r="L702" s="3">
        <v>45666</v>
      </c>
    </row>
    <row r="703" spans="1:12" x14ac:dyDescent="0.25">
      <c r="A703" s="1">
        <v>101599</v>
      </c>
      <c r="B703" s="2" t="s">
        <v>1402</v>
      </c>
      <c r="C703" s="2" t="s">
        <v>100</v>
      </c>
      <c r="D703" s="2" t="s">
        <v>16</v>
      </c>
      <c r="E703" s="2" t="s">
        <v>78</v>
      </c>
      <c r="F703" s="2" t="s">
        <v>18</v>
      </c>
      <c r="G703" s="1">
        <v>0</v>
      </c>
      <c r="H703" s="1">
        <v>588</v>
      </c>
      <c r="I703" s="2" t="s">
        <v>56</v>
      </c>
      <c r="J703" s="2" t="s">
        <v>20</v>
      </c>
      <c r="K703" s="1">
        <v>197.08</v>
      </c>
      <c r="L703" s="3">
        <v>45665</v>
      </c>
    </row>
    <row r="704" spans="1:12" x14ac:dyDescent="0.25">
      <c r="A704" s="1">
        <v>101541</v>
      </c>
      <c r="B704" s="2" t="s">
        <v>667</v>
      </c>
      <c r="C704" s="2" t="s">
        <v>122</v>
      </c>
      <c r="D704" s="2" t="s">
        <v>16</v>
      </c>
      <c r="E704" s="2" t="s">
        <v>31</v>
      </c>
      <c r="F704" s="2" t="s">
        <v>25</v>
      </c>
      <c r="G704" s="1">
        <v>16</v>
      </c>
      <c r="H704" s="1">
        <v>896</v>
      </c>
      <c r="I704" s="2" t="s">
        <v>19</v>
      </c>
      <c r="J704" s="2" t="s">
        <v>26</v>
      </c>
      <c r="K704" s="1">
        <v>224.33</v>
      </c>
      <c r="L704" s="3">
        <v>45664</v>
      </c>
    </row>
    <row r="705" spans="1:12" x14ac:dyDescent="0.25">
      <c r="A705" s="1">
        <v>101807</v>
      </c>
      <c r="B705" s="2" t="s">
        <v>1005</v>
      </c>
      <c r="C705" s="2" t="s">
        <v>244</v>
      </c>
      <c r="D705" s="2" t="s">
        <v>50</v>
      </c>
      <c r="E705" s="2" t="s">
        <v>70</v>
      </c>
      <c r="F705" s="2" t="s">
        <v>83</v>
      </c>
      <c r="G705" s="1">
        <v>0</v>
      </c>
      <c r="H705" s="1">
        <v>370</v>
      </c>
      <c r="I705" s="2" t="s">
        <v>37</v>
      </c>
      <c r="J705" s="2" t="s">
        <v>20</v>
      </c>
      <c r="K705" s="1">
        <v>189.52</v>
      </c>
      <c r="L705" s="3">
        <v>45664</v>
      </c>
    </row>
    <row r="706" spans="1:12" x14ac:dyDescent="0.25">
      <c r="A706" s="1">
        <v>100283</v>
      </c>
      <c r="B706" s="2" t="s">
        <v>202</v>
      </c>
      <c r="C706" s="2" t="s">
        <v>95</v>
      </c>
      <c r="D706" s="2" t="s">
        <v>16</v>
      </c>
      <c r="E706" s="2" t="s">
        <v>31</v>
      </c>
      <c r="F706" s="2" t="s">
        <v>18</v>
      </c>
      <c r="G706" s="1">
        <v>0</v>
      </c>
      <c r="H706" s="1">
        <v>570</v>
      </c>
      <c r="I706" s="2" t="s">
        <v>32</v>
      </c>
      <c r="J706" s="2" t="s">
        <v>20</v>
      </c>
      <c r="K706" s="1">
        <v>182.21</v>
      </c>
      <c r="L706" s="3">
        <v>45664</v>
      </c>
    </row>
    <row r="707" spans="1:12" x14ac:dyDescent="0.25">
      <c r="A707" s="1">
        <v>101176</v>
      </c>
      <c r="B707" s="2" t="s">
        <v>1009</v>
      </c>
      <c r="C707" s="2" t="s">
        <v>58</v>
      </c>
      <c r="D707" s="2" t="s">
        <v>64</v>
      </c>
      <c r="E707" s="2" t="s">
        <v>31</v>
      </c>
      <c r="F707" s="2" t="s">
        <v>18</v>
      </c>
      <c r="G707" s="1">
        <v>0</v>
      </c>
      <c r="H707" s="1">
        <v>400</v>
      </c>
      <c r="I707" s="2" t="s">
        <v>32</v>
      </c>
      <c r="J707" s="2" t="s">
        <v>33</v>
      </c>
      <c r="K707" s="1">
        <v>507.24</v>
      </c>
      <c r="L707" s="3">
        <v>45663</v>
      </c>
    </row>
    <row r="708" spans="1:12" x14ac:dyDescent="0.25">
      <c r="A708" s="1">
        <v>100043</v>
      </c>
      <c r="B708" s="2" t="s">
        <v>610</v>
      </c>
      <c r="C708" s="2" t="s">
        <v>126</v>
      </c>
      <c r="D708" s="2" t="s">
        <v>106</v>
      </c>
      <c r="E708" s="2" t="s">
        <v>81</v>
      </c>
      <c r="F708" s="2" t="s">
        <v>18</v>
      </c>
      <c r="G708" s="1">
        <v>0</v>
      </c>
      <c r="H708" s="1">
        <v>315</v>
      </c>
      <c r="I708" s="2" t="s">
        <v>32</v>
      </c>
      <c r="J708" s="2" t="s">
        <v>33</v>
      </c>
      <c r="K708" s="1">
        <v>433.01</v>
      </c>
      <c r="L708" s="3">
        <v>45663</v>
      </c>
    </row>
    <row r="709" spans="1:12" x14ac:dyDescent="0.25">
      <c r="A709" s="1">
        <v>101857</v>
      </c>
      <c r="B709" s="2" t="s">
        <v>71</v>
      </c>
      <c r="C709" s="2" t="s">
        <v>72</v>
      </c>
      <c r="D709" s="2" t="s">
        <v>16</v>
      </c>
      <c r="E709" s="2" t="s">
        <v>78</v>
      </c>
      <c r="F709" s="2" t="s">
        <v>83</v>
      </c>
      <c r="G709" s="1">
        <v>0</v>
      </c>
      <c r="H709" s="1">
        <v>841</v>
      </c>
      <c r="I709" s="2" t="s">
        <v>56</v>
      </c>
      <c r="J709" s="2" t="s">
        <v>20</v>
      </c>
      <c r="K709" s="1">
        <v>223.77</v>
      </c>
      <c r="L709" s="3">
        <v>45663</v>
      </c>
    </row>
    <row r="710" spans="1:12" x14ac:dyDescent="0.25">
      <c r="A710" s="1">
        <v>100046</v>
      </c>
      <c r="B710" s="2" t="s">
        <v>1203</v>
      </c>
      <c r="C710" s="2" t="s">
        <v>187</v>
      </c>
      <c r="D710" s="2" t="s">
        <v>50</v>
      </c>
      <c r="E710" s="2" t="s">
        <v>31</v>
      </c>
      <c r="F710" s="2" t="s">
        <v>18</v>
      </c>
      <c r="G710" s="1" t="s">
        <v>35</v>
      </c>
      <c r="H710" s="1">
        <v>752</v>
      </c>
      <c r="I710" s="2" t="s">
        <v>56</v>
      </c>
      <c r="J710" s="2" t="s">
        <v>20</v>
      </c>
      <c r="K710" s="1">
        <v>886.36</v>
      </c>
      <c r="L710" s="3">
        <v>45662</v>
      </c>
    </row>
    <row r="711" spans="1:12" x14ac:dyDescent="0.25">
      <c r="A711" s="1">
        <v>100446</v>
      </c>
      <c r="B711" s="2" t="s">
        <v>344</v>
      </c>
      <c r="C711" s="2" t="s">
        <v>244</v>
      </c>
      <c r="D711" s="2" t="s">
        <v>50</v>
      </c>
      <c r="E711" s="2" t="s">
        <v>60</v>
      </c>
      <c r="F711" s="2" t="s">
        <v>18</v>
      </c>
      <c r="G711" s="1">
        <v>0</v>
      </c>
      <c r="H711" s="1">
        <v>792</v>
      </c>
      <c r="I711" s="2" t="s">
        <v>32</v>
      </c>
      <c r="J711" s="2" t="s">
        <v>26</v>
      </c>
      <c r="K711" s="1">
        <v>318.02999999999997</v>
      </c>
      <c r="L711" s="3">
        <v>45662</v>
      </c>
    </row>
    <row r="712" spans="1:12" x14ac:dyDescent="0.25">
      <c r="A712" s="1">
        <v>102090</v>
      </c>
      <c r="B712" s="2" t="s">
        <v>1535</v>
      </c>
      <c r="C712" s="2" t="s">
        <v>122</v>
      </c>
      <c r="D712" s="2" t="s">
        <v>106</v>
      </c>
      <c r="E712" s="2" t="s">
        <v>60</v>
      </c>
      <c r="F712" s="2" t="s">
        <v>25</v>
      </c>
      <c r="G712" s="1">
        <v>7</v>
      </c>
      <c r="H712" s="1">
        <v>873</v>
      </c>
      <c r="I712" s="2" t="s">
        <v>19</v>
      </c>
      <c r="J712" s="2" t="s">
        <v>35</v>
      </c>
      <c r="K712" s="1">
        <v>217.54</v>
      </c>
      <c r="L712" s="3">
        <v>45662</v>
      </c>
    </row>
    <row r="713" spans="1:12" x14ac:dyDescent="0.25">
      <c r="A713" s="1">
        <v>100057</v>
      </c>
      <c r="B713" s="2" t="s">
        <v>38</v>
      </c>
      <c r="C713" s="2" t="s">
        <v>39</v>
      </c>
      <c r="D713" s="2" t="s">
        <v>16</v>
      </c>
      <c r="E713" s="2" t="s">
        <v>81</v>
      </c>
      <c r="F713" s="2" t="s">
        <v>42</v>
      </c>
      <c r="G713" s="1">
        <v>142</v>
      </c>
      <c r="H713" s="1">
        <v>533</v>
      </c>
      <c r="I713" s="2" t="s">
        <v>19</v>
      </c>
      <c r="J713" s="2" t="s">
        <v>20</v>
      </c>
      <c r="K713" s="1">
        <v>191.23</v>
      </c>
      <c r="L713" s="3">
        <v>45662</v>
      </c>
    </row>
    <row r="714" spans="1:12" x14ac:dyDescent="0.25">
      <c r="A714" s="1">
        <v>101789</v>
      </c>
      <c r="B714" s="2" t="s">
        <v>540</v>
      </c>
      <c r="C714" s="2" t="s">
        <v>13</v>
      </c>
      <c r="D714" s="2" t="s">
        <v>41</v>
      </c>
      <c r="E714" s="2" t="s">
        <v>17</v>
      </c>
      <c r="F714" s="2" t="s">
        <v>83</v>
      </c>
      <c r="G714" s="1">
        <v>0</v>
      </c>
      <c r="H714" s="1">
        <v>487</v>
      </c>
      <c r="I714" s="2" t="s">
        <v>32</v>
      </c>
      <c r="J714" s="2" t="s">
        <v>33</v>
      </c>
      <c r="K714" s="1">
        <v>746.53</v>
      </c>
      <c r="L714" s="3">
        <v>45661</v>
      </c>
    </row>
    <row r="715" spans="1:12" x14ac:dyDescent="0.25">
      <c r="A715" s="1">
        <v>100193</v>
      </c>
      <c r="B715" s="2" t="s">
        <v>155</v>
      </c>
      <c r="C715" s="2" t="s">
        <v>35</v>
      </c>
      <c r="D715" s="2" t="s">
        <v>41</v>
      </c>
      <c r="E715" s="2" t="s">
        <v>70</v>
      </c>
      <c r="F715" s="2" t="s">
        <v>18</v>
      </c>
      <c r="G715" s="1">
        <v>0</v>
      </c>
      <c r="H715" s="1">
        <v>339</v>
      </c>
      <c r="I715" s="2" t="s">
        <v>32</v>
      </c>
      <c r="J715" s="2" t="s">
        <v>33</v>
      </c>
      <c r="K715" s="1">
        <v>570.72</v>
      </c>
      <c r="L715" s="3">
        <v>45661</v>
      </c>
    </row>
    <row r="716" spans="1:12" x14ac:dyDescent="0.25">
      <c r="A716" s="1">
        <v>100715</v>
      </c>
      <c r="B716" s="2" t="s">
        <v>288</v>
      </c>
      <c r="C716" s="2" t="s">
        <v>35</v>
      </c>
      <c r="D716" s="2" t="s">
        <v>16</v>
      </c>
      <c r="E716" s="2" t="s">
        <v>17</v>
      </c>
      <c r="F716" s="2" t="s">
        <v>18</v>
      </c>
      <c r="G716" s="1">
        <v>0</v>
      </c>
      <c r="H716" s="1">
        <v>746</v>
      </c>
      <c r="I716" s="2" t="s">
        <v>19</v>
      </c>
      <c r="J716" s="2" t="s">
        <v>33</v>
      </c>
      <c r="K716" s="1">
        <v>355.04</v>
      </c>
      <c r="L716" s="3">
        <v>45661</v>
      </c>
    </row>
    <row r="717" spans="1:12" x14ac:dyDescent="0.25">
      <c r="A717" s="1">
        <v>100566</v>
      </c>
      <c r="B717" s="2" t="s">
        <v>34</v>
      </c>
      <c r="C717" s="2" t="s">
        <v>35</v>
      </c>
      <c r="D717" s="2" t="s">
        <v>16</v>
      </c>
      <c r="E717" s="2" t="s">
        <v>35</v>
      </c>
      <c r="F717" s="2" t="s">
        <v>18</v>
      </c>
      <c r="G717" s="1">
        <v>0</v>
      </c>
      <c r="H717" s="1">
        <v>672</v>
      </c>
      <c r="I717" s="2" t="s">
        <v>37</v>
      </c>
      <c r="J717" s="2" t="s">
        <v>33</v>
      </c>
      <c r="K717" s="1">
        <v>335.11</v>
      </c>
      <c r="L717" s="3">
        <v>45661</v>
      </c>
    </row>
    <row r="718" spans="1:12" x14ac:dyDescent="0.25">
      <c r="A718" s="1">
        <v>101502</v>
      </c>
      <c r="B718" s="2" t="s">
        <v>164</v>
      </c>
      <c r="C718" s="2" t="s">
        <v>126</v>
      </c>
      <c r="D718" s="2" t="s">
        <v>41</v>
      </c>
      <c r="E718" s="2" t="s">
        <v>70</v>
      </c>
      <c r="F718" s="2" t="s">
        <v>18</v>
      </c>
      <c r="G718" s="1">
        <v>0</v>
      </c>
      <c r="H718" s="1">
        <v>722</v>
      </c>
      <c r="I718" s="2" t="s">
        <v>56</v>
      </c>
      <c r="J718" s="2" t="s">
        <v>20</v>
      </c>
      <c r="K718" s="1">
        <v>513.38</v>
      </c>
      <c r="L718" s="3">
        <v>45660</v>
      </c>
    </row>
    <row r="719" spans="1:12" x14ac:dyDescent="0.25">
      <c r="A719" s="1">
        <v>100210</v>
      </c>
      <c r="B719" s="2" t="s">
        <v>719</v>
      </c>
      <c r="C719" s="2" t="s">
        <v>22</v>
      </c>
      <c r="D719" s="2" t="s">
        <v>41</v>
      </c>
      <c r="E719" s="2" t="s">
        <v>31</v>
      </c>
      <c r="F719" s="2" t="s">
        <v>18</v>
      </c>
      <c r="G719" s="1">
        <v>0</v>
      </c>
      <c r="H719" s="1">
        <v>461</v>
      </c>
      <c r="I719" s="2" t="s">
        <v>56</v>
      </c>
      <c r="J719" s="2" t="s">
        <v>20</v>
      </c>
      <c r="K719" s="1">
        <v>331.47</v>
      </c>
      <c r="L719" s="3">
        <v>45660</v>
      </c>
    </row>
    <row r="720" spans="1:12" x14ac:dyDescent="0.25">
      <c r="A720" s="1">
        <v>100677</v>
      </c>
      <c r="B720" s="2" t="s">
        <v>138</v>
      </c>
      <c r="C720" s="2" t="s">
        <v>85</v>
      </c>
      <c r="D720" s="2" t="s">
        <v>16</v>
      </c>
      <c r="E720" s="2" t="s">
        <v>31</v>
      </c>
      <c r="F720" s="2" t="s">
        <v>18</v>
      </c>
      <c r="G720" s="1">
        <v>0</v>
      </c>
      <c r="H720" s="1">
        <v>623</v>
      </c>
      <c r="I720" s="2" t="s">
        <v>56</v>
      </c>
      <c r="J720" s="2" t="s">
        <v>33</v>
      </c>
      <c r="K720" s="1">
        <v>147.66999999999999</v>
      </c>
      <c r="L720" s="3">
        <v>45660</v>
      </c>
    </row>
    <row r="721" spans="1:12" x14ac:dyDescent="0.25">
      <c r="A721" s="1">
        <v>102022</v>
      </c>
      <c r="B721" s="2" t="s">
        <v>234</v>
      </c>
      <c r="C721" s="2" t="s">
        <v>142</v>
      </c>
      <c r="D721" s="2" t="s">
        <v>64</v>
      </c>
      <c r="E721" s="2" t="s">
        <v>78</v>
      </c>
      <c r="F721" s="2" t="s">
        <v>18</v>
      </c>
      <c r="G721" s="1">
        <v>0</v>
      </c>
      <c r="H721" s="1">
        <v>494</v>
      </c>
      <c r="I721" s="2" t="s">
        <v>19</v>
      </c>
      <c r="J721" s="2" t="s">
        <v>20</v>
      </c>
      <c r="K721" s="1">
        <v>129.75</v>
      </c>
      <c r="L721" s="3">
        <v>45660</v>
      </c>
    </row>
    <row r="722" spans="1:12" x14ac:dyDescent="0.25">
      <c r="A722" s="1">
        <v>100175</v>
      </c>
      <c r="B722" s="2" t="s">
        <v>84</v>
      </c>
      <c r="C722" s="2" t="s">
        <v>85</v>
      </c>
      <c r="D722" s="2" t="s">
        <v>41</v>
      </c>
      <c r="E722" s="2" t="s">
        <v>60</v>
      </c>
      <c r="F722" s="2" t="s">
        <v>18</v>
      </c>
      <c r="G722" s="1">
        <v>0</v>
      </c>
      <c r="H722" s="1">
        <v>400</v>
      </c>
      <c r="I722" s="2" t="s">
        <v>32</v>
      </c>
      <c r="J722" s="2" t="s">
        <v>20</v>
      </c>
      <c r="K722" s="1">
        <v>591.24</v>
      </c>
      <c r="L722" s="3">
        <v>45659</v>
      </c>
    </row>
    <row r="723" spans="1:12" x14ac:dyDescent="0.25">
      <c r="A723" s="1">
        <v>101007</v>
      </c>
      <c r="B723" s="2" t="s">
        <v>241</v>
      </c>
      <c r="C723" s="2" t="s">
        <v>58</v>
      </c>
      <c r="D723" s="2" t="s">
        <v>41</v>
      </c>
      <c r="E723" s="2" t="s">
        <v>70</v>
      </c>
      <c r="F723" s="2" t="s">
        <v>18</v>
      </c>
      <c r="G723" s="1">
        <v>0</v>
      </c>
      <c r="H723" s="1">
        <v>468</v>
      </c>
      <c r="I723" s="2" t="s">
        <v>35</v>
      </c>
      <c r="J723" s="2" t="s">
        <v>33</v>
      </c>
      <c r="K723" s="1">
        <v>265.55</v>
      </c>
      <c r="L723" s="3">
        <v>45659</v>
      </c>
    </row>
    <row r="724" spans="1:12" x14ac:dyDescent="0.25">
      <c r="A724" s="1">
        <v>100117</v>
      </c>
      <c r="B724" s="2" t="s">
        <v>133</v>
      </c>
      <c r="C724" s="2" t="s">
        <v>134</v>
      </c>
      <c r="D724" s="2" t="s">
        <v>41</v>
      </c>
      <c r="E724" s="2" t="s">
        <v>70</v>
      </c>
      <c r="F724" s="2" t="s">
        <v>18</v>
      </c>
      <c r="G724" s="1">
        <v>0</v>
      </c>
      <c r="H724" s="1">
        <v>345</v>
      </c>
      <c r="I724" s="2" t="s">
        <v>32</v>
      </c>
      <c r="J724" s="2" t="s">
        <v>33</v>
      </c>
      <c r="K724" s="1">
        <v>167.81</v>
      </c>
      <c r="L724" s="3">
        <v>45659</v>
      </c>
    </row>
    <row r="725" spans="1:12" x14ac:dyDescent="0.25">
      <c r="A725" s="1">
        <v>100368</v>
      </c>
      <c r="B725" s="2" t="s">
        <v>610</v>
      </c>
      <c r="C725" s="2" t="s">
        <v>126</v>
      </c>
      <c r="D725" s="2" t="s">
        <v>16</v>
      </c>
      <c r="E725" s="2" t="s">
        <v>17</v>
      </c>
      <c r="F725" s="2" t="s">
        <v>83</v>
      </c>
      <c r="G725" s="1">
        <v>0</v>
      </c>
      <c r="H725" s="1">
        <v>315</v>
      </c>
      <c r="I725" s="2" t="s">
        <v>45</v>
      </c>
      <c r="J725" s="2" t="s">
        <v>20</v>
      </c>
      <c r="K725" s="1">
        <v>143.5</v>
      </c>
      <c r="L725" s="3">
        <v>45659</v>
      </c>
    </row>
    <row r="726" spans="1:12" x14ac:dyDescent="0.25">
      <c r="A726" s="1">
        <v>101252</v>
      </c>
      <c r="B726" s="2" t="s">
        <v>388</v>
      </c>
      <c r="C726" s="2" t="s">
        <v>142</v>
      </c>
      <c r="D726" s="2" t="s">
        <v>16</v>
      </c>
      <c r="E726" s="2" t="s">
        <v>60</v>
      </c>
      <c r="F726" s="2" t="s">
        <v>18</v>
      </c>
      <c r="G726" s="1">
        <v>0</v>
      </c>
      <c r="H726" s="1">
        <v>662</v>
      </c>
      <c r="I726" s="2" t="s">
        <v>32</v>
      </c>
      <c r="J726" s="2" t="s">
        <v>20</v>
      </c>
      <c r="K726" s="1">
        <v>1094.1099999999999</v>
      </c>
      <c r="L726" s="3">
        <v>45658</v>
      </c>
    </row>
    <row r="727" spans="1:12" x14ac:dyDescent="0.25">
      <c r="A727" s="1">
        <v>100471</v>
      </c>
      <c r="B727" s="2" t="s">
        <v>259</v>
      </c>
      <c r="C727" s="2" t="s">
        <v>218</v>
      </c>
      <c r="D727" s="2" t="s">
        <v>64</v>
      </c>
      <c r="E727" s="2" t="s">
        <v>60</v>
      </c>
      <c r="F727" s="2" t="s">
        <v>18</v>
      </c>
      <c r="G727" s="1">
        <v>0</v>
      </c>
      <c r="H727" s="1">
        <v>732</v>
      </c>
      <c r="I727" s="2" t="s">
        <v>45</v>
      </c>
      <c r="J727" s="2" t="s">
        <v>20</v>
      </c>
      <c r="K727" s="1">
        <v>815.43</v>
      </c>
      <c r="L727" s="3">
        <v>45658</v>
      </c>
    </row>
    <row r="728" spans="1:12" x14ac:dyDescent="0.25">
      <c r="A728" s="1">
        <v>101089</v>
      </c>
      <c r="B728" s="2" t="s">
        <v>510</v>
      </c>
      <c r="C728" s="2" t="s">
        <v>244</v>
      </c>
      <c r="D728" s="2" t="s">
        <v>50</v>
      </c>
      <c r="E728" s="2" t="s">
        <v>78</v>
      </c>
      <c r="F728" s="2" t="s">
        <v>42</v>
      </c>
      <c r="G728" s="1">
        <v>83</v>
      </c>
      <c r="H728" s="1">
        <v>411</v>
      </c>
      <c r="I728" s="2" t="s">
        <v>56</v>
      </c>
      <c r="J728" s="2" t="s">
        <v>20</v>
      </c>
      <c r="K728" s="1">
        <v>437.53</v>
      </c>
      <c r="L728" s="3">
        <v>45658</v>
      </c>
    </row>
    <row r="729" spans="1:12" x14ac:dyDescent="0.25">
      <c r="A729" s="1">
        <v>100852</v>
      </c>
      <c r="B729" s="2" t="s">
        <v>429</v>
      </c>
      <c r="C729" s="2" t="s">
        <v>52</v>
      </c>
      <c r="D729" s="2" t="s">
        <v>64</v>
      </c>
      <c r="E729" s="2" t="s">
        <v>55</v>
      </c>
      <c r="F729" s="2" t="s">
        <v>83</v>
      </c>
      <c r="G729" s="1">
        <v>0</v>
      </c>
      <c r="H729" s="1">
        <v>568</v>
      </c>
      <c r="I729" s="2" t="s">
        <v>32</v>
      </c>
      <c r="J729" s="2" t="s">
        <v>26</v>
      </c>
      <c r="K729" s="1">
        <v>335.17</v>
      </c>
      <c r="L729" s="3">
        <v>45658</v>
      </c>
    </row>
    <row r="730" spans="1:12" x14ac:dyDescent="0.25">
      <c r="A730" s="1">
        <v>100481</v>
      </c>
      <c r="B730" s="2" t="s">
        <v>329</v>
      </c>
      <c r="C730" s="2" t="s">
        <v>270</v>
      </c>
      <c r="D730" s="2" t="s">
        <v>41</v>
      </c>
      <c r="E730" s="2" t="s">
        <v>17</v>
      </c>
      <c r="F730" s="2" t="s">
        <v>18</v>
      </c>
      <c r="G730" s="1">
        <v>0</v>
      </c>
      <c r="H730" s="1">
        <v>328</v>
      </c>
      <c r="I730" s="2" t="s">
        <v>37</v>
      </c>
      <c r="J730" s="2" t="s">
        <v>20</v>
      </c>
      <c r="K730" s="1">
        <v>286.07</v>
      </c>
      <c r="L730" s="3">
        <v>45658</v>
      </c>
    </row>
    <row r="731" spans="1:12" x14ac:dyDescent="0.25">
      <c r="A731" s="1">
        <v>100148</v>
      </c>
      <c r="B731" s="2" t="s">
        <v>1059</v>
      </c>
      <c r="C731" s="2" t="s">
        <v>149</v>
      </c>
      <c r="D731" s="2" t="s">
        <v>106</v>
      </c>
      <c r="E731" s="2" t="s">
        <v>70</v>
      </c>
      <c r="F731" s="2" t="s">
        <v>25</v>
      </c>
      <c r="G731" s="1">
        <v>26</v>
      </c>
      <c r="H731" s="1">
        <v>571</v>
      </c>
      <c r="I731" s="2" t="s">
        <v>37</v>
      </c>
      <c r="J731" s="2" t="s">
        <v>26</v>
      </c>
      <c r="K731" s="1">
        <v>232.21</v>
      </c>
      <c r="L731" s="3">
        <v>45658</v>
      </c>
    </row>
    <row r="732" spans="1:12" x14ac:dyDescent="0.25">
      <c r="A732" s="1">
        <v>100893</v>
      </c>
      <c r="B732" s="2" t="s">
        <v>450</v>
      </c>
      <c r="C732" s="2" t="s">
        <v>95</v>
      </c>
      <c r="D732" s="2" t="s">
        <v>50</v>
      </c>
      <c r="E732" s="2" t="s">
        <v>81</v>
      </c>
      <c r="F732" s="2" t="s">
        <v>83</v>
      </c>
      <c r="G732" s="1">
        <v>0</v>
      </c>
      <c r="H732" s="1">
        <v>890</v>
      </c>
      <c r="I732" s="2" t="s">
        <v>56</v>
      </c>
      <c r="J732" s="2" t="s">
        <v>20</v>
      </c>
      <c r="K732" s="1">
        <v>173.53</v>
      </c>
      <c r="L732" s="3">
        <v>45658</v>
      </c>
    </row>
    <row r="733" spans="1:12" x14ac:dyDescent="0.25">
      <c r="A733" s="1">
        <v>101846</v>
      </c>
      <c r="B733" s="2" t="s">
        <v>238</v>
      </c>
      <c r="C733" s="2" t="s">
        <v>47</v>
      </c>
      <c r="D733" s="2" t="s">
        <v>50</v>
      </c>
      <c r="E733" s="2" t="s">
        <v>31</v>
      </c>
      <c r="F733" s="2" t="s">
        <v>18</v>
      </c>
      <c r="G733" s="1">
        <v>0</v>
      </c>
      <c r="H733" s="1">
        <v>497</v>
      </c>
      <c r="I733" s="2" t="s">
        <v>37</v>
      </c>
      <c r="J733" s="2" t="s">
        <v>26</v>
      </c>
      <c r="K733" s="1">
        <v>585.92999999999995</v>
      </c>
      <c r="L733" s="3">
        <v>45657</v>
      </c>
    </row>
    <row r="734" spans="1:12" x14ac:dyDescent="0.25">
      <c r="A734" s="1">
        <v>101140</v>
      </c>
      <c r="B734" s="2" t="s">
        <v>832</v>
      </c>
      <c r="C734" s="2" t="s">
        <v>134</v>
      </c>
      <c r="D734" s="2" t="s">
        <v>16</v>
      </c>
      <c r="E734" s="2" t="s">
        <v>55</v>
      </c>
      <c r="F734" s="2" t="s">
        <v>42</v>
      </c>
      <c r="G734" s="1">
        <v>33</v>
      </c>
      <c r="H734" s="1">
        <v>641</v>
      </c>
      <c r="I734" s="2" t="s">
        <v>45</v>
      </c>
      <c r="J734" s="2" t="s">
        <v>26</v>
      </c>
      <c r="K734" s="1">
        <v>245.06</v>
      </c>
      <c r="L734" s="3">
        <v>45657</v>
      </c>
    </row>
    <row r="735" spans="1:12" x14ac:dyDescent="0.25">
      <c r="A735" s="1">
        <v>100866</v>
      </c>
      <c r="B735" s="2" t="s">
        <v>890</v>
      </c>
      <c r="C735" s="2" t="s">
        <v>149</v>
      </c>
      <c r="D735" s="2" t="s">
        <v>106</v>
      </c>
      <c r="E735" s="2" t="s">
        <v>78</v>
      </c>
      <c r="F735" s="2" t="s">
        <v>18</v>
      </c>
      <c r="G735" s="1">
        <v>0</v>
      </c>
      <c r="H735" s="1">
        <v>733</v>
      </c>
      <c r="I735" s="2" t="s">
        <v>19</v>
      </c>
      <c r="J735" s="2" t="s">
        <v>26</v>
      </c>
      <c r="K735" s="1">
        <v>233.93</v>
      </c>
      <c r="L735" s="3">
        <v>45657</v>
      </c>
    </row>
    <row r="736" spans="1:12" x14ac:dyDescent="0.25">
      <c r="A736" s="1">
        <v>102092</v>
      </c>
      <c r="B736" s="2" t="s">
        <v>241</v>
      </c>
      <c r="C736" s="2" t="s">
        <v>58</v>
      </c>
      <c r="D736" s="2" t="s">
        <v>16</v>
      </c>
      <c r="E736" s="2" t="s">
        <v>60</v>
      </c>
      <c r="F736" s="2" t="s">
        <v>25</v>
      </c>
      <c r="G736" s="1">
        <v>3</v>
      </c>
      <c r="H736" s="1">
        <v>468</v>
      </c>
      <c r="I736" s="2" t="s">
        <v>37</v>
      </c>
      <c r="J736" s="2" t="s">
        <v>33</v>
      </c>
      <c r="K736" s="1">
        <v>181.66</v>
      </c>
      <c r="L736" s="3">
        <v>45657</v>
      </c>
    </row>
    <row r="737" spans="1:12" x14ac:dyDescent="0.25">
      <c r="A737" s="1">
        <v>101498</v>
      </c>
      <c r="B737" s="2" t="s">
        <v>303</v>
      </c>
      <c r="C737" s="2" t="s">
        <v>187</v>
      </c>
      <c r="D737" s="2" t="s">
        <v>16</v>
      </c>
      <c r="E737" s="2" t="s">
        <v>60</v>
      </c>
      <c r="F737" s="2" t="s">
        <v>83</v>
      </c>
      <c r="G737" s="1">
        <v>0</v>
      </c>
      <c r="H737" s="1">
        <v>800</v>
      </c>
      <c r="I737" s="2" t="s">
        <v>19</v>
      </c>
      <c r="J737" s="2" t="s">
        <v>26</v>
      </c>
      <c r="K737" s="1">
        <v>142.86000000000001</v>
      </c>
      <c r="L737" s="3">
        <v>45657</v>
      </c>
    </row>
    <row r="738" spans="1:12" x14ac:dyDescent="0.25">
      <c r="A738" s="1">
        <v>101751</v>
      </c>
      <c r="B738" s="2" t="s">
        <v>349</v>
      </c>
      <c r="C738" s="2" t="s">
        <v>28</v>
      </c>
      <c r="D738" s="2" t="s">
        <v>16</v>
      </c>
      <c r="E738" s="2" t="s">
        <v>55</v>
      </c>
      <c r="F738" s="2" t="s">
        <v>18</v>
      </c>
      <c r="G738" s="1">
        <v>0</v>
      </c>
      <c r="H738" s="1">
        <v>708</v>
      </c>
      <c r="I738" s="2" t="s">
        <v>19</v>
      </c>
      <c r="J738" s="2" t="s">
        <v>26</v>
      </c>
      <c r="K738" s="1">
        <v>363.63</v>
      </c>
      <c r="L738" s="3">
        <v>45656</v>
      </c>
    </row>
    <row r="739" spans="1:12" x14ac:dyDescent="0.25">
      <c r="A739" s="1">
        <v>100260</v>
      </c>
      <c r="B739" s="2" t="s">
        <v>87</v>
      </c>
      <c r="C739" s="2" t="s">
        <v>47</v>
      </c>
      <c r="D739" s="2" t="s">
        <v>106</v>
      </c>
      <c r="E739" s="2" t="s">
        <v>17</v>
      </c>
      <c r="F739" s="2" t="s">
        <v>25</v>
      </c>
      <c r="G739" s="1">
        <v>25</v>
      </c>
      <c r="H739" s="1">
        <v>892</v>
      </c>
      <c r="I739" s="2" t="s">
        <v>19</v>
      </c>
      <c r="J739" s="2" t="s">
        <v>20</v>
      </c>
      <c r="K739" s="1">
        <v>314.56</v>
      </c>
      <c r="L739" s="3">
        <v>45656</v>
      </c>
    </row>
    <row r="740" spans="1:12" x14ac:dyDescent="0.25">
      <c r="A740" s="1">
        <v>101980</v>
      </c>
      <c r="B740" s="2" t="s">
        <v>765</v>
      </c>
      <c r="C740" s="2" t="s">
        <v>22</v>
      </c>
      <c r="D740" s="2" t="s">
        <v>64</v>
      </c>
      <c r="E740" s="2" t="s">
        <v>55</v>
      </c>
      <c r="F740" s="2" t="s">
        <v>83</v>
      </c>
      <c r="G740" s="1">
        <v>0</v>
      </c>
      <c r="H740" s="1">
        <v>851</v>
      </c>
      <c r="I740" s="2" t="s">
        <v>32</v>
      </c>
      <c r="J740" s="2" t="s">
        <v>26</v>
      </c>
      <c r="K740" s="1">
        <v>772.95</v>
      </c>
      <c r="L740" s="3">
        <v>45655</v>
      </c>
    </row>
    <row r="741" spans="1:12" x14ac:dyDescent="0.25">
      <c r="A741" s="1">
        <v>101330</v>
      </c>
      <c r="B741" s="2" t="s">
        <v>288</v>
      </c>
      <c r="C741" s="2" t="s">
        <v>85</v>
      </c>
      <c r="D741" s="2" t="s">
        <v>64</v>
      </c>
      <c r="E741" s="2" t="s">
        <v>78</v>
      </c>
      <c r="F741" s="2" t="s">
        <v>25</v>
      </c>
      <c r="G741" s="1">
        <v>24</v>
      </c>
      <c r="H741" s="1">
        <v>746</v>
      </c>
      <c r="I741" s="2" t="s">
        <v>37</v>
      </c>
      <c r="J741" s="2" t="s">
        <v>33</v>
      </c>
      <c r="K741" s="1">
        <v>404.16</v>
      </c>
      <c r="L741" s="3">
        <v>45655</v>
      </c>
    </row>
    <row r="742" spans="1:12" x14ac:dyDescent="0.25">
      <c r="A742" s="1">
        <v>101184</v>
      </c>
      <c r="B742" s="2" t="s">
        <v>276</v>
      </c>
      <c r="C742" s="2" t="s">
        <v>52</v>
      </c>
      <c r="D742" s="2" t="s">
        <v>50</v>
      </c>
      <c r="E742" s="2" t="s">
        <v>60</v>
      </c>
      <c r="F742" s="2" t="s">
        <v>18</v>
      </c>
      <c r="G742" s="1">
        <v>0</v>
      </c>
      <c r="H742" s="1">
        <v>638</v>
      </c>
      <c r="I742" s="2" t="s">
        <v>37</v>
      </c>
      <c r="J742" s="2" t="s">
        <v>20</v>
      </c>
      <c r="K742" s="1">
        <v>489.31</v>
      </c>
      <c r="L742" s="3">
        <v>45654</v>
      </c>
    </row>
    <row r="743" spans="1:12" x14ac:dyDescent="0.25">
      <c r="A743" s="1">
        <v>101800</v>
      </c>
      <c r="B743" s="2" t="s">
        <v>409</v>
      </c>
      <c r="C743" s="2" t="s">
        <v>187</v>
      </c>
      <c r="D743" s="2" t="s">
        <v>64</v>
      </c>
      <c r="E743" s="2" t="s">
        <v>78</v>
      </c>
      <c r="F743" s="2" t="s">
        <v>83</v>
      </c>
      <c r="G743" s="1">
        <v>0</v>
      </c>
      <c r="H743" s="1">
        <v>694</v>
      </c>
      <c r="I743" s="2" t="s">
        <v>45</v>
      </c>
      <c r="J743" s="2" t="s">
        <v>26</v>
      </c>
      <c r="K743" s="1">
        <v>456.63</v>
      </c>
      <c r="L743" s="3">
        <v>45654</v>
      </c>
    </row>
    <row r="744" spans="1:12" x14ac:dyDescent="0.25">
      <c r="A744" s="1">
        <v>100321</v>
      </c>
      <c r="B744" s="2" t="s">
        <v>167</v>
      </c>
      <c r="C744" s="2" t="s">
        <v>168</v>
      </c>
      <c r="D744" s="2" t="s">
        <v>50</v>
      </c>
      <c r="E744" s="2" t="s">
        <v>70</v>
      </c>
      <c r="F744" s="2" t="s">
        <v>83</v>
      </c>
      <c r="G744" s="1">
        <v>0</v>
      </c>
      <c r="H744" s="1">
        <v>658</v>
      </c>
      <c r="I744" s="2" t="s">
        <v>45</v>
      </c>
      <c r="J744" s="2" t="s">
        <v>33</v>
      </c>
      <c r="K744" s="1">
        <v>208.28</v>
      </c>
      <c r="L744" s="3">
        <v>45654</v>
      </c>
    </row>
    <row r="745" spans="1:12" x14ac:dyDescent="0.25">
      <c r="A745" s="1">
        <v>101244</v>
      </c>
      <c r="B745" s="2" t="s">
        <v>204</v>
      </c>
      <c r="C745" s="2" t="s">
        <v>152</v>
      </c>
      <c r="D745" s="2" t="s">
        <v>16</v>
      </c>
      <c r="E745" s="2" t="s">
        <v>31</v>
      </c>
      <c r="F745" s="2" t="s">
        <v>42</v>
      </c>
      <c r="G745" s="1">
        <v>66</v>
      </c>
      <c r="H745" s="1">
        <v>362</v>
      </c>
      <c r="I745" s="2" t="s">
        <v>32</v>
      </c>
      <c r="J745" s="2" t="s">
        <v>26</v>
      </c>
      <c r="K745" s="1">
        <v>54.27</v>
      </c>
      <c r="L745" s="3">
        <v>45654</v>
      </c>
    </row>
    <row r="746" spans="1:12" x14ac:dyDescent="0.25">
      <c r="A746" s="1">
        <v>100259</v>
      </c>
      <c r="B746" s="2" t="s">
        <v>553</v>
      </c>
      <c r="C746" s="2" t="s">
        <v>72</v>
      </c>
      <c r="D746" s="2" t="s">
        <v>16</v>
      </c>
      <c r="E746" s="2" t="s">
        <v>31</v>
      </c>
      <c r="F746" s="2" t="s">
        <v>18</v>
      </c>
      <c r="G746" s="1">
        <v>0</v>
      </c>
      <c r="H746" s="1">
        <v>638</v>
      </c>
      <c r="I746" s="2" t="s">
        <v>37</v>
      </c>
      <c r="J746" s="2" t="s">
        <v>33</v>
      </c>
      <c r="K746" s="1">
        <v>40.9</v>
      </c>
      <c r="L746" s="3">
        <v>45654</v>
      </c>
    </row>
    <row r="747" spans="1:12" x14ac:dyDescent="0.25">
      <c r="A747" s="1">
        <v>101573</v>
      </c>
      <c r="B747" s="2" t="s">
        <v>129</v>
      </c>
      <c r="C747" s="2" t="s">
        <v>13</v>
      </c>
      <c r="D747" s="2" t="s">
        <v>41</v>
      </c>
      <c r="E747" s="2" t="s">
        <v>17</v>
      </c>
      <c r="F747" s="2" t="s">
        <v>18</v>
      </c>
      <c r="G747" s="1">
        <v>0</v>
      </c>
      <c r="H747" s="1">
        <v>336</v>
      </c>
      <c r="I747" s="2" t="s">
        <v>56</v>
      </c>
      <c r="J747" s="2" t="s">
        <v>26</v>
      </c>
      <c r="K747" s="1">
        <v>953.47</v>
      </c>
      <c r="L747" s="3">
        <v>45653</v>
      </c>
    </row>
    <row r="748" spans="1:12" x14ac:dyDescent="0.25">
      <c r="A748" s="1">
        <v>100078</v>
      </c>
      <c r="B748" s="2" t="s">
        <v>506</v>
      </c>
      <c r="C748" s="2" t="s">
        <v>58</v>
      </c>
      <c r="D748" s="2" t="s">
        <v>106</v>
      </c>
      <c r="E748" s="2" t="s">
        <v>55</v>
      </c>
      <c r="F748" s="2" t="s">
        <v>18</v>
      </c>
      <c r="G748" s="1">
        <v>0</v>
      </c>
      <c r="H748" s="1">
        <v>394</v>
      </c>
      <c r="I748" s="2" t="s">
        <v>32</v>
      </c>
      <c r="J748" s="2" t="s">
        <v>20</v>
      </c>
      <c r="K748" s="1">
        <v>215.09</v>
      </c>
      <c r="L748" s="3">
        <v>45653</v>
      </c>
    </row>
    <row r="749" spans="1:12" x14ac:dyDescent="0.25">
      <c r="A749" s="1">
        <v>102091</v>
      </c>
      <c r="B749" s="2" t="s">
        <v>431</v>
      </c>
      <c r="C749" s="2" t="s">
        <v>28</v>
      </c>
      <c r="D749" s="2" t="s">
        <v>106</v>
      </c>
      <c r="E749" s="2" t="s">
        <v>17</v>
      </c>
      <c r="F749" s="2" t="s">
        <v>42</v>
      </c>
      <c r="G749" s="1">
        <v>31</v>
      </c>
      <c r="H749" s="1">
        <v>691</v>
      </c>
      <c r="I749" s="2" t="s">
        <v>45</v>
      </c>
      <c r="J749" s="2" t="s">
        <v>20</v>
      </c>
      <c r="K749" s="1">
        <v>178.04</v>
      </c>
      <c r="L749" s="3">
        <v>45653</v>
      </c>
    </row>
    <row r="750" spans="1:12" x14ac:dyDescent="0.25">
      <c r="A750" s="1">
        <v>100922</v>
      </c>
      <c r="B750" s="2" t="s">
        <v>222</v>
      </c>
      <c r="C750" s="2" t="s">
        <v>100</v>
      </c>
      <c r="D750" s="2" t="s">
        <v>50</v>
      </c>
      <c r="E750" s="2" t="s">
        <v>31</v>
      </c>
      <c r="F750" s="2" t="s">
        <v>83</v>
      </c>
      <c r="G750" s="1">
        <v>0</v>
      </c>
      <c r="H750" s="1">
        <v>585</v>
      </c>
      <c r="I750" s="2" t="s">
        <v>45</v>
      </c>
      <c r="J750" s="2" t="s">
        <v>33</v>
      </c>
      <c r="K750" s="1">
        <v>658.28</v>
      </c>
      <c r="L750" s="3">
        <v>45652</v>
      </c>
    </row>
    <row r="751" spans="1:12" x14ac:dyDescent="0.25">
      <c r="A751" s="1">
        <v>100416</v>
      </c>
      <c r="B751" s="2" t="s">
        <v>34</v>
      </c>
      <c r="C751" s="2" t="s">
        <v>35</v>
      </c>
      <c r="D751" s="2" t="s">
        <v>16</v>
      </c>
      <c r="E751" s="2" t="s">
        <v>60</v>
      </c>
      <c r="F751" s="2" t="s">
        <v>83</v>
      </c>
      <c r="G751" s="1" t="s">
        <v>35</v>
      </c>
      <c r="H751" s="1">
        <v>672</v>
      </c>
      <c r="I751" s="2" t="s">
        <v>37</v>
      </c>
      <c r="J751" s="2" t="s">
        <v>33</v>
      </c>
      <c r="K751" s="1">
        <v>379.8</v>
      </c>
      <c r="L751" s="3">
        <v>45652</v>
      </c>
    </row>
    <row r="752" spans="1:12" x14ac:dyDescent="0.25">
      <c r="A752" s="1">
        <v>100744</v>
      </c>
      <c r="B752" s="2" t="s">
        <v>212</v>
      </c>
      <c r="C752" s="2" t="s">
        <v>95</v>
      </c>
      <c r="D752" s="2" t="s">
        <v>16</v>
      </c>
      <c r="E752" s="2" t="s">
        <v>60</v>
      </c>
      <c r="F752" s="2" t="s">
        <v>18</v>
      </c>
      <c r="G752" s="1">
        <v>0</v>
      </c>
      <c r="H752" s="1">
        <v>662</v>
      </c>
      <c r="I752" s="2" t="s">
        <v>56</v>
      </c>
      <c r="J752" s="2" t="s">
        <v>20</v>
      </c>
      <c r="K752" s="1">
        <v>105.62</v>
      </c>
      <c r="L752" s="3">
        <v>45652</v>
      </c>
    </row>
    <row r="753" spans="1:12" x14ac:dyDescent="0.25">
      <c r="A753" s="1">
        <v>101546</v>
      </c>
      <c r="B753" s="2" t="s">
        <v>215</v>
      </c>
      <c r="C753" s="2" t="s">
        <v>126</v>
      </c>
      <c r="D753" s="2" t="s">
        <v>106</v>
      </c>
      <c r="E753" s="2" t="s">
        <v>70</v>
      </c>
      <c r="F753" s="2" t="s">
        <v>18</v>
      </c>
      <c r="G753" s="1">
        <v>0</v>
      </c>
      <c r="H753" s="1">
        <v>395</v>
      </c>
      <c r="I753" s="2" t="s">
        <v>45</v>
      </c>
      <c r="J753" s="2" t="s">
        <v>20</v>
      </c>
      <c r="K753" s="1">
        <v>80.92</v>
      </c>
      <c r="L753" s="3">
        <v>45651</v>
      </c>
    </row>
    <row r="754" spans="1:12" x14ac:dyDescent="0.25">
      <c r="A754" s="1">
        <v>100794</v>
      </c>
      <c r="B754" s="2" t="s">
        <v>1357</v>
      </c>
      <c r="C754" s="2" t="s">
        <v>100</v>
      </c>
      <c r="D754" s="2" t="s">
        <v>106</v>
      </c>
      <c r="E754" s="2" t="s">
        <v>60</v>
      </c>
      <c r="F754" s="2" t="s">
        <v>18</v>
      </c>
      <c r="G754" s="1">
        <v>0</v>
      </c>
      <c r="H754" s="1">
        <v>522</v>
      </c>
      <c r="I754" s="2" t="s">
        <v>45</v>
      </c>
      <c r="J754" s="2" t="s">
        <v>33</v>
      </c>
      <c r="K754" s="1">
        <v>720.08</v>
      </c>
      <c r="L754" s="3">
        <v>45650</v>
      </c>
    </row>
    <row r="755" spans="1:12" x14ac:dyDescent="0.25">
      <c r="A755" s="1">
        <v>100326</v>
      </c>
      <c r="B755" s="2" t="s">
        <v>27</v>
      </c>
      <c r="C755" s="2" t="s">
        <v>28</v>
      </c>
      <c r="D755" s="2" t="s">
        <v>50</v>
      </c>
      <c r="E755" s="2" t="s">
        <v>17</v>
      </c>
      <c r="F755" s="2" t="s">
        <v>18</v>
      </c>
      <c r="G755" s="1">
        <v>0</v>
      </c>
      <c r="H755" s="1">
        <v>849</v>
      </c>
      <c r="I755" s="2" t="s">
        <v>32</v>
      </c>
      <c r="J755" s="2" t="s">
        <v>20</v>
      </c>
      <c r="K755" s="1">
        <v>442.64</v>
      </c>
      <c r="L755" s="3">
        <v>45650</v>
      </c>
    </row>
    <row r="756" spans="1:12" x14ac:dyDescent="0.25">
      <c r="A756" s="1">
        <v>101442</v>
      </c>
      <c r="B756" s="2" t="s">
        <v>1300</v>
      </c>
      <c r="C756" s="2" t="s">
        <v>103</v>
      </c>
      <c r="D756" s="2" t="s">
        <v>64</v>
      </c>
      <c r="E756" s="2" t="s">
        <v>78</v>
      </c>
      <c r="F756" s="2" t="s">
        <v>83</v>
      </c>
      <c r="G756" s="1">
        <v>0</v>
      </c>
      <c r="H756" s="1">
        <v>374</v>
      </c>
      <c r="I756" s="2" t="s">
        <v>32</v>
      </c>
      <c r="J756" s="2" t="s">
        <v>33</v>
      </c>
      <c r="K756" s="1">
        <v>175.15</v>
      </c>
      <c r="L756" s="3">
        <v>45650</v>
      </c>
    </row>
    <row r="757" spans="1:12" x14ac:dyDescent="0.25">
      <c r="A757" s="1">
        <v>102062</v>
      </c>
      <c r="B757" s="2" t="s">
        <v>102</v>
      </c>
      <c r="C757" s="2" t="s">
        <v>103</v>
      </c>
      <c r="D757" s="2" t="s">
        <v>64</v>
      </c>
      <c r="E757" s="2" t="s">
        <v>60</v>
      </c>
      <c r="F757" s="2" t="s">
        <v>18</v>
      </c>
      <c r="G757" s="1">
        <v>0</v>
      </c>
      <c r="H757" s="1">
        <v>733</v>
      </c>
      <c r="I757" s="2" t="s">
        <v>37</v>
      </c>
      <c r="J757" s="2" t="s">
        <v>33</v>
      </c>
      <c r="K757" s="1">
        <v>60.33</v>
      </c>
      <c r="L757" s="3">
        <v>45650</v>
      </c>
    </row>
    <row r="758" spans="1:12" x14ac:dyDescent="0.25">
      <c r="A758" s="1">
        <v>100069</v>
      </c>
      <c r="B758" s="2" t="s">
        <v>1303</v>
      </c>
      <c r="C758" s="2" t="s">
        <v>126</v>
      </c>
      <c r="D758" s="2" t="s">
        <v>16</v>
      </c>
      <c r="E758" s="2" t="s">
        <v>70</v>
      </c>
      <c r="F758" s="2" t="s">
        <v>25</v>
      </c>
      <c r="G758" s="1">
        <v>14</v>
      </c>
      <c r="H758" s="1">
        <v>788</v>
      </c>
      <c r="I758" s="2" t="s">
        <v>19</v>
      </c>
      <c r="J758" s="2" t="s">
        <v>26</v>
      </c>
      <c r="K758" s="1">
        <v>351.03</v>
      </c>
      <c r="L758" s="3">
        <v>45649</v>
      </c>
    </row>
    <row r="759" spans="1:12" x14ac:dyDescent="0.25">
      <c r="A759" s="1">
        <v>101022</v>
      </c>
      <c r="B759" s="2" t="s">
        <v>563</v>
      </c>
      <c r="C759" s="2" t="s">
        <v>58</v>
      </c>
      <c r="D759" s="2" t="s">
        <v>50</v>
      </c>
      <c r="E759" s="2" t="s">
        <v>60</v>
      </c>
      <c r="F759" s="2" t="s">
        <v>18</v>
      </c>
      <c r="G759" s="1">
        <v>0</v>
      </c>
      <c r="H759" s="1">
        <v>893</v>
      </c>
      <c r="I759" s="2" t="s">
        <v>45</v>
      </c>
      <c r="J759" s="2" t="s">
        <v>20</v>
      </c>
      <c r="K759" s="1">
        <v>36.01</v>
      </c>
      <c r="L759" s="3">
        <v>45649</v>
      </c>
    </row>
    <row r="760" spans="1:12" x14ac:dyDescent="0.25">
      <c r="A760" s="1">
        <v>102198</v>
      </c>
      <c r="B760" s="2" t="s">
        <v>121</v>
      </c>
      <c r="C760" s="2" t="s">
        <v>122</v>
      </c>
      <c r="D760" s="2" t="s">
        <v>50</v>
      </c>
      <c r="E760" s="2" t="s">
        <v>17</v>
      </c>
      <c r="F760" s="2" t="s">
        <v>83</v>
      </c>
      <c r="G760" s="1">
        <v>0</v>
      </c>
      <c r="H760" s="1">
        <v>823</v>
      </c>
      <c r="I760" s="2" t="s">
        <v>45</v>
      </c>
      <c r="J760" s="2" t="s">
        <v>33</v>
      </c>
      <c r="K760" s="1">
        <v>763.84</v>
      </c>
      <c r="L760" s="3">
        <v>45648</v>
      </c>
    </row>
    <row r="761" spans="1:12" x14ac:dyDescent="0.25">
      <c r="A761" s="1">
        <v>100256</v>
      </c>
      <c r="B761" s="2" t="s">
        <v>1175</v>
      </c>
      <c r="C761" s="2" t="s">
        <v>142</v>
      </c>
      <c r="D761" s="2" t="s">
        <v>106</v>
      </c>
      <c r="E761" s="2" t="s">
        <v>17</v>
      </c>
      <c r="F761" s="2" t="s">
        <v>83</v>
      </c>
      <c r="G761" s="1">
        <v>0</v>
      </c>
      <c r="H761" s="1">
        <v>573</v>
      </c>
      <c r="I761" s="2" t="s">
        <v>32</v>
      </c>
      <c r="J761" s="2" t="s">
        <v>20</v>
      </c>
      <c r="K761" s="1">
        <v>98.05</v>
      </c>
      <c r="L761" s="3">
        <v>45648</v>
      </c>
    </row>
    <row r="762" spans="1:12" x14ac:dyDescent="0.25">
      <c r="A762" s="1">
        <v>100880</v>
      </c>
      <c r="B762" s="2" t="s">
        <v>1535</v>
      </c>
      <c r="C762" s="2" t="s">
        <v>122</v>
      </c>
      <c r="D762" s="2" t="s">
        <v>64</v>
      </c>
      <c r="E762" s="2" t="s">
        <v>31</v>
      </c>
      <c r="F762" s="2" t="s">
        <v>83</v>
      </c>
      <c r="G762" s="1">
        <v>0</v>
      </c>
      <c r="H762" s="1">
        <v>873</v>
      </c>
      <c r="I762" s="2" t="s">
        <v>45</v>
      </c>
      <c r="J762" s="2" t="s">
        <v>26</v>
      </c>
      <c r="K762" s="1">
        <v>853.01</v>
      </c>
      <c r="L762" s="3">
        <v>45647</v>
      </c>
    </row>
    <row r="763" spans="1:12" x14ac:dyDescent="0.25">
      <c r="A763" s="1">
        <v>101679</v>
      </c>
      <c r="B763" s="2" t="s">
        <v>399</v>
      </c>
      <c r="C763" s="2" t="s">
        <v>187</v>
      </c>
      <c r="D763" s="2" t="s">
        <v>106</v>
      </c>
      <c r="E763" s="2" t="s">
        <v>17</v>
      </c>
      <c r="F763" s="2" t="s">
        <v>18</v>
      </c>
      <c r="G763" s="1">
        <v>0</v>
      </c>
      <c r="H763" s="1">
        <v>370</v>
      </c>
      <c r="I763" s="2" t="s">
        <v>37</v>
      </c>
      <c r="J763" s="2" t="s">
        <v>33</v>
      </c>
      <c r="K763" s="1">
        <v>726.05</v>
      </c>
      <c r="L763" s="3">
        <v>45647</v>
      </c>
    </row>
    <row r="764" spans="1:12" x14ac:dyDescent="0.25">
      <c r="A764" s="1">
        <v>100501</v>
      </c>
      <c r="B764" s="2" t="s">
        <v>537</v>
      </c>
      <c r="C764" s="2" t="s">
        <v>187</v>
      </c>
      <c r="D764" s="2" t="s">
        <v>64</v>
      </c>
      <c r="E764" s="2" t="s">
        <v>81</v>
      </c>
      <c r="F764" s="2" t="s">
        <v>83</v>
      </c>
      <c r="G764" s="1">
        <v>0</v>
      </c>
      <c r="H764" s="1">
        <v>874</v>
      </c>
      <c r="I764" s="2" t="s">
        <v>56</v>
      </c>
      <c r="J764" s="2" t="s">
        <v>20</v>
      </c>
      <c r="K764" s="1">
        <v>327.92</v>
      </c>
      <c r="L764" s="3">
        <v>45647</v>
      </c>
    </row>
    <row r="765" spans="1:12" x14ac:dyDescent="0.25">
      <c r="A765" s="1">
        <v>100634</v>
      </c>
      <c r="B765" s="2" t="s">
        <v>232</v>
      </c>
      <c r="C765" s="2" t="s">
        <v>152</v>
      </c>
      <c r="D765" s="2" t="s">
        <v>16</v>
      </c>
      <c r="E765" s="2" t="s">
        <v>78</v>
      </c>
      <c r="F765" s="2" t="s">
        <v>83</v>
      </c>
      <c r="G765" s="1">
        <v>0</v>
      </c>
      <c r="H765" s="1">
        <v>781</v>
      </c>
      <c r="I765" s="2" t="s">
        <v>37</v>
      </c>
      <c r="J765" s="2" t="s">
        <v>33</v>
      </c>
      <c r="K765" s="1">
        <v>302.83</v>
      </c>
      <c r="L765" s="3">
        <v>45647</v>
      </c>
    </row>
    <row r="766" spans="1:12" x14ac:dyDescent="0.25">
      <c r="A766" s="1">
        <v>101808</v>
      </c>
      <c r="B766" s="2" t="s">
        <v>148</v>
      </c>
      <c r="C766" s="2" t="s">
        <v>149</v>
      </c>
      <c r="D766" s="2" t="s">
        <v>64</v>
      </c>
      <c r="E766" s="2" t="s">
        <v>70</v>
      </c>
      <c r="F766" s="2" t="s">
        <v>18</v>
      </c>
      <c r="G766" s="1">
        <v>0</v>
      </c>
      <c r="H766" s="1">
        <v>876</v>
      </c>
      <c r="I766" s="2" t="s">
        <v>37</v>
      </c>
      <c r="J766" s="2" t="s">
        <v>26</v>
      </c>
      <c r="K766" s="1">
        <v>280.77999999999997</v>
      </c>
      <c r="L766" s="3">
        <v>45647</v>
      </c>
    </row>
    <row r="767" spans="1:12" x14ac:dyDescent="0.25">
      <c r="A767" s="1">
        <v>101643</v>
      </c>
      <c r="B767" s="2" t="s">
        <v>282</v>
      </c>
      <c r="C767" s="2" t="s">
        <v>152</v>
      </c>
      <c r="D767" s="2" t="s">
        <v>50</v>
      </c>
      <c r="E767" s="2" t="s">
        <v>31</v>
      </c>
      <c r="F767" s="2" t="s">
        <v>83</v>
      </c>
      <c r="G767" s="1">
        <v>0</v>
      </c>
      <c r="H767" s="1">
        <v>301</v>
      </c>
      <c r="I767" s="2" t="s">
        <v>32</v>
      </c>
      <c r="J767" s="2" t="s">
        <v>20</v>
      </c>
      <c r="K767" s="1">
        <v>76.245000000000005</v>
      </c>
      <c r="L767" s="3">
        <v>45646</v>
      </c>
    </row>
    <row r="768" spans="1:12" x14ac:dyDescent="0.25">
      <c r="A768" s="1">
        <v>101813</v>
      </c>
      <c r="B768" s="2" t="s">
        <v>779</v>
      </c>
      <c r="C768" s="2" t="s">
        <v>39</v>
      </c>
      <c r="D768" s="2" t="s">
        <v>64</v>
      </c>
      <c r="E768" s="2" t="s">
        <v>81</v>
      </c>
      <c r="F768" s="2" t="s">
        <v>18</v>
      </c>
      <c r="G768" s="1">
        <v>0</v>
      </c>
      <c r="H768" s="1">
        <v>402</v>
      </c>
      <c r="I768" s="2" t="s">
        <v>32</v>
      </c>
      <c r="J768" s="2" t="s">
        <v>20</v>
      </c>
      <c r="K768" s="1">
        <v>521.38</v>
      </c>
      <c r="L768" s="3">
        <v>45645</v>
      </c>
    </row>
    <row r="769" spans="1:12" x14ac:dyDescent="0.25">
      <c r="A769" s="1">
        <v>100850</v>
      </c>
      <c r="B769" s="2" t="s">
        <v>443</v>
      </c>
      <c r="C769" s="2" t="s">
        <v>72</v>
      </c>
      <c r="D769" s="2" t="s">
        <v>41</v>
      </c>
      <c r="E769" s="2" t="s">
        <v>55</v>
      </c>
      <c r="F769" s="2" t="s">
        <v>18</v>
      </c>
      <c r="G769" s="1">
        <v>0</v>
      </c>
      <c r="H769" s="1">
        <v>309</v>
      </c>
      <c r="I769" s="2" t="s">
        <v>37</v>
      </c>
      <c r="J769" s="2" t="s">
        <v>20</v>
      </c>
      <c r="K769" s="1">
        <v>503.8</v>
      </c>
      <c r="L769" s="3">
        <v>45645</v>
      </c>
    </row>
    <row r="770" spans="1:12" x14ac:dyDescent="0.25">
      <c r="A770" s="1">
        <v>100054</v>
      </c>
      <c r="B770" s="2" t="s">
        <v>160</v>
      </c>
      <c r="C770" s="2" t="s">
        <v>72</v>
      </c>
      <c r="D770" s="2" t="s">
        <v>16</v>
      </c>
      <c r="E770" s="2" t="s">
        <v>55</v>
      </c>
      <c r="F770" s="2" t="s">
        <v>18</v>
      </c>
      <c r="G770" s="1">
        <v>0</v>
      </c>
      <c r="H770" s="1">
        <v>585</v>
      </c>
      <c r="I770" s="2" t="s">
        <v>19</v>
      </c>
      <c r="J770" s="2" t="s">
        <v>33</v>
      </c>
      <c r="K770" s="1">
        <v>423.51</v>
      </c>
      <c r="L770" s="3">
        <v>45645</v>
      </c>
    </row>
    <row r="771" spans="1:12" x14ac:dyDescent="0.25">
      <c r="A771" s="1">
        <v>100088</v>
      </c>
      <c r="B771" s="2" t="s">
        <v>478</v>
      </c>
      <c r="C771" s="2" t="s">
        <v>218</v>
      </c>
      <c r="D771" s="2" t="s">
        <v>41</v>
      </c>
      <c r="E771" s="2" t="s">
        <v>81</v>
      </c>
      <c r="F771" s="2" t="s">
        <v>18</v>
      </c>
      <c r="G771" s="1">
        <v>0</v>
      </c>
      <c r="H771" s="1">
        <v>712</v>
      </c>
      <c r="I771" s="2" t="s">
        <v>45</v>
      </c>
      <c r="J771" s="2" t="s">
        <v>35</v>
      </c>
      <c r="K771" s="1">
        <v>383.48</v>
      </c>
      <c r="L771" s="3">
        <v>45645</v>
      </c>
    </row>
    <row r="772" spans="1:12" x14ac:dyDescent="0.25">
      <c r="A772" s="1">
        <v>100554</v>
      </c>
      <c r="B772" s="2" t="s">
        <v>347</v>
      </c>
      <c r="C772" s="2" t="s">
        <v>95</v>
      </c>
      <c r="D772" s="2" t="s">
        <v>106</v>
      </c>
      <c r="E772" s="2" t="s">
        <v>70</v>
      </c>
      <c r="F772" s="2" t="s">
        <v>42</v>
      </c>
      <c r="G772" s="1">
        <v>166</v>
      </c>
      <c r="H772" s="1">
        <v>699</v>
      </c>
      <c r="I772" s="2" t="s">
        <v>37</v>
      </c>
      <c r="J772" s="2" t="s">
        <v>20</v>
      </c>
      <c r="K772" s="1">
        <v>195.6</v>
      </c>
      <c r="L772" s="3">
        <v>45645</v>
      </c>
    </row>
    <row r="773" spans="1:12" x14ac:dyDescent="0.25">
      <c r="A773" s="1">
        <v>100194</v>
      </c>
      <c r="B773" s="2" t="s">
        <v>347</v>
      </c>
      <c r="C773" s="2" t="s">
        <v>95</v>
      </c>
      <c r="D773" s="2" t="s">
        <v>50</v>
      </c>
      <c r="E773" s="2" t="s">
        <v>31</v>
      </c>
      <c r="F773" s="2" t="s">
        <v>83</v>
      </c>
      <c r="G773" s="1">
        <v>0</v>
      </c>
      <c r="H773" s="1">
        <v>699</v>
      </c>
      <c r="I773" s="2" t="s">
        <v>32</v>
      </c>
      <c r="J773" s="2" t="s">
        <v>20</v>
      </c>
      <c r="K773" s="1">
        <v>333</v>
      </c>
      <c r="L773" s="3">
        <v>45644</v>
      </c>
    </row>
    <row r="774" spans="1:12" x14ac:dyDescent="0.25">
      <c r="A774" s="1">
        <v>100235</v>
      </c>
      <c r="B774" s="2" t="s">
        <v>460</v>
      </c>
      <c r="C774" s="2" t="s">
        <v>95</v>
      </c>
      <c r="D774" s="2" t="s">
        <v>50</v>
      </c>
      <c r="E774" s="2" t="s">
        <v>78</v>
      </c>
      <c r="F774" s="2" t="s">
        <v>18</v>
      </c>
      <c r="G774" s="1">
        <v>0</v>
      </c>
      <c r="H774" s="1">
        <v>716</v>
      </c>
      <c r="I774" s="2" t="s">
        <v>56</v>
      </c>
      <c r="J774" s="2" t="s">
        <v>20</v>
      </c>
      <c r="K774" s="1">
        <v>308.61</v>
      </c>
      <c r="L774" s="3">
        <v>45644</v>
      </c>
    </row>
    <row r="775" spans="1:12" x14ac:dyDescent="0.25">
      <c r="A775" s="1">
        <v>101553</v>
      </c>
      <c r="B775" s="2" t="s">
        <v>329</v>
      </c>
      <c r="C775" s="2" t="s">
        <v>270</v>
      </c>
      <c r="D775" s="2" t="s">
        <v>16</v>
      </c>
      <c r="E775" s="2" t="s">
        <v>60</v>
      </c>
      <c r="F775" s="2" t="s">
        <v>18</v>
      </c>
      <c r="G775" s="1" t="s">
        <v>35</v>
      </c>
      <c r="H775" s="1">
        <v>328</v>
      </c>
      <c r="I775" s="2" t="s">
        <v>32</v>
      </c>
      <c r="J775" s="2" t="s">
        <v>33</v>
      </c>
      <c r="K775" s="1">
        <v>179.98</v>
      </c>
      <c r="L775" s="3">
        <v>45644</v>
      </c>
    </row>
    <row r="776" spans="1:12" x14ac:dyDescent="0.25">
      <c r="A776" s="1">
        <v>101745</v>
      </c>
      <c r="B776" s="2" t="s">
        <v>742</v>
      </c>
      <c r="C776" s="2" t="s">
        <v>100</v>
      </c>
      <c r="D776" s="2" t="s">
        <v>64</v>
      </c>
      <c r="E776" s="2" t="s">
        <v>17</v>
      </c>
      <c r="F776" s="2" t="s">
        <v>25</v>
      </c>
      <c r="G776" s="1">
        <v>24</v>
      </c>
      <c r="H776" s="1">
        <v>571</v>
      </c>
      <c r="I776" s="2" t="s">
        <v>37</v>
      </c>
      <c r="J776" s="2" t="s">
        <v>33</v>
      </c>
      <c r="K776" s="1"/>
      <c r="L776" s="3">
        <v>45644</v>
      </c>
    </row>
    <row r="777" spans="1:12" x14ac:dyDescent="0.25">
      <c r="A777" s="1">
        <v>100640</v>
      </c>
      <c r="B777" s="2" t="s">
        <v>385</v>
      </c>
      <c r="C777" s="2" t="s">
        <v>85</v>
      </c>
      <c r="D777" s="2" t="s">
        <v>16</v>
      </c>
      <c r="E777" s="2" t="s">
        <v>31</v>
      </c>
      <c r="F777" s="2" t="s">
        <v>83</v>
      </c>
      <c r="G777" s="1">
        <v>0</v>
      </c>
      <c r="H777" s="1">
        <v>490</v>
      </c>
      <c r="I777" s="2" t="s">
        <v>56</v>
      </c>
      <c r="J777" s="2" t="s">
        <v>26</v>
      </c>
      <c r="K777" s="1">
        <v>473.24</v>
      </c>
      <c r="L777" s="3">
        <v>45643</v>
      </c>
    </row>
    <row r="778" spans="1:12" x14ac:dyDescent="0.25">
      <c r="A778" s="1">
        <v>101889</v>
      </c>
      <c r="B778" s="2" t="s">
        <v>875</v>
      </c>
      <c r="C778" s="2" t="s">
        <v>72</v>
      </c>
      <c r="D778" s="2" t="s">
        <v>16</v>
      </c>
      <c r="E778" s="2" t="s">
        <v>78</v>
      </c>
      <c r="F778" s="2" t="s">
        <v>18</v>
      </c>
      <c r="G778" s="1">
        <v>0</v>
      </c>
      <c r="H778" s="1">
        <v>678</v>
      </c>
      <c r="I778" s="2" t="s">
        <v>45</v>
      </c>
      <c r="J778" s="2" t="s">
        <v>33</v>
      </c>
      <c r="K778" s="1">
        <v>455.03</v>
      </c>
      <c r="L778" s="3">
        <v>45643</v>
      </c>
    </row>
    <row r="779" spans="1:12" x14ac:dyDescent="0.25">
      <c r="A779" s="1">
        <v>101860</v>
      </c>
      <c r="B779" s="2" t="s">
        <v>396</v>
      </c>
      <c r="C779" s="2" t="s">
        <v>103</v>
      </c>
      <c r="D779" s="2" t="s">
        <v>50</v>
      </c>
      <c r="E779" s="2" t="s">
        <v>17</v>
      </c>
      <c r="F779" s="2" t="s">
        <v>25</v>
      </c>
      <c r="G779" s="1">
        <v>26</v>
      </c>
      <c r="H779" s="1">
        <v>437</v>
      </c>
      <c r="I779" s="2" t="s">
        <v>37</v>
      </c>
      <c r="J779" s="2" t="s">
        <v>20</v>
      </c>
      <c r="K779" s="1">
        <v>296.89</v>
      </c>
      <c r="L779" s="3">
        <v>45643</v>
      </c>
    </row>
    <row r="780" spans="1:12" x14ac:dyDescent="0.25">
      <c r="A780" s="1">
        <v>100149</v>
      </c>
      <c r="B780" s="2" t="s">
        <v>738</v>
      </c>
      <c r="C780" s="2" t="s">
        <v>100</v>
      </c>
      <c r="D780" s="2" t="s">
        <v>41</v>
      </c>
      <c r="E780" s="2" t="s">
        <v>31</v>
      </c>
      <c r="F780" s="2" t="s">
        <v>25</v>
      </c>
      <c r="G780" s="1">
        <v>2</v>
      </c>
      <c r="H780" s="1">
        <v>585</v>
      </c>
      <c r="I780" s="2" t="s">
        <v>19</v>
      </c>
      <c r="J780" s="2" t="s">
        <v>26</v>
      </c>
      <c r="K780" s="1">
        <v>199.58</v>
      </c>
      <c r="L780" s="3">
        <v>45643</v>
      </c>
    </row>
    <row r="781" spans="1:12" x14ac:dyDescent="0.25">
      <c r="A781" s="1">
        <v>102071</v>
      </c>
      <c r="B781" s="2" t="s">
        <v>167</v>
      </c>
      <c r="C781" s="2" t="s">
        <v>168</v>
      </c>
      <c r="D781" s="2" t="s">
        <v>50</v>
      </c>
      <c r="E781" s="2" t="s">
        <v>70</v>
      </c>
      <c r="F781" s="2" t="s">
        <v>18</v>
      </c>
      <c r="G781" s="1">
        <v>0</v>
      </c>
      <c r="H781" s="1">
        <v>658</v>
      </c>
      <c r="I781" s="2" t="s">
        <v>45</v>
      </c>
      <c r="J781" s="2" t="s">
        <v>33</v>
      </c>
      <c r="K781" s="1">
        <v>189.11</v>
      </c>
      <c r="L781" s="3">
        <v>45643</v>
      </c>
    </row>
    <row r="782" spans="1:12" x14ac:dyDescent="0.25">
      <c r="A782" s="1">
        <v>100567</v>
      </c>
      <c r="B782" s="2" t="s">
        <v>164</v>
      </c>
      <c r="C782" s="2" t="s">
        <v>126</v>
      </c>
      <c r="D782" s="2" t="s">
        <v>50</v>
      </c>
      <c r="E782" s="2" t="s">
        <v>17</v>
      </c>
      <c r="F782" s="2" t="s">
        <v>18</v>
      </c>
      <c r="G782" s="1">
        <v>0</v>
      </c>
      <c r="H782" s="1">
        <v>722</v>
      </c>
      <c r="I782" s="2" t="s">
        <v>56</v>
      </c>
      <c r="J782" s="2" t="s">
        <v>20</v>
      </c>
      <c r="K782" s="1">
        <v>124.05</v>
      </c>
      <c r="L782" s="3">
        <v>45643</v>
      </c>
    </row>
    <row r="783" spans="1:12" x14ac:dyDescent="0.25">
      <c r="A783" s="1">
        <v>101950</v>
      </c>
      <c r="B783" s="2" t="s">
        <v>418</v>
      </c>
      <c r="C783" s="2" t="s">
        <v>52</v>
      </c>
      <c r="D783" s="2" t="s">
        <v>64</v>
      </c>
      <c r="E783" s="2" t="s">
        <v>81</v>
      </c>
      <c r="F783" s="2" t="s">
        <v>42</v>
      </c>
      <c r="G783" s="1">
        <v>125</v>
      </c>
      <c r="H783" s="1">
        <v>371</v>
      </c>
      <c r="I783" s="2" t="s">
        <v>19</v>
      </c>
      <c r="J783" s="2" t="s">
        <v>33</v>
      </c>
      <c r="K783" s="1">
        <v>20.190000000000001</v>
      </c>
      <c r="L783" s="3">
        <v>45643</v>
      </c>
    </row>
    <row r="784" spans="1:12" x14ac:dyDescent="0.25">
      <c r="A784" s="1">
        <v>101378</v>
      </c>
      <c r="B784" s="2" t="s">
        <v>38</v>
      </c>
      <c r="C784" s="2" t="s">
        <v>39</v>
      </c>
      <c r="D784" s="2" t="s">
        <v>106</v>
      </c>
      <c r="E784" s="2" t="s">
        <v>60</v>
      </c>
      <c r="F784" s="2" t="s">
        <v>18</v>
      </c>
      <c r="G784" s="1">
        <v>0</v>
      </c>
      <c r="H784" s="1">
        <v>533</v>
      </c>
      <c r="I784" s="2" t="s">
        <v>37</v>
      </c>
      <c r="J784" s="2" t="s">
        <v>33</v>
      </c>
      <c r="K784" s="1">
        <v>658.53499999999997</v>
      </c>
      <c r="L784" s="3">
        <v>45642</v>
      </c>
    </row>
    <row r="785" spans="1:12" x14ac:dyDescent="0.25">
      <c r="A785" s="1">
        <v>100900</v>
      </c>
      <c r="B785" s="2" t="s">
        <v>102</v>
      </c>
      <c r="C785" s="2" t="s">
        <v>103</v>
      </c>
      <c r="D785" s="2" t="s">
        <v>106</v>
      </c>
      <c r="E785" s="2" t="s">
        <v>81</v>
      </c>
      <c r="F785" s="2" t="s">
        <v>25</v>
      </c>
      <c r="G785" s="1">
        <v>9</v>
      </c>
      <c r="H785" s="1">
        <v>733</v>
      </c>
      <c r="I785" s="2" t="s">
        <v>32</v>
      </c>
      <c r="J785" s="2" t="s">
        <v>33</v>
      </c>
      <c r="K785" s="1">
        <v>610.92999999999995</v>
      </c>
      <c r="L785" s="3">
        <v>45642</v>
      </c>
    </row>
    <row r="786" spans="1:12" x14ac:dyDescent="0.25">
      <c r="A786" s="1">
        <v>101367</v>
      </c>
      <c r="B786" s="2" t="s">
        <v>616</v>
      </c>
      <c r="C786" s="2" t="s">
        <v>95</v>
      </c>
      <c r="D786" s="2" t="s">
        <v>50</v>
      </c>
      <c r="E786" s="2" t="s">
        <v>81</v>
      </c>
      <c r="F786" s="2" t="s">
        <v>83</v>
      </c>
      <c r="G786" s="1">
        <v>0</v>
      </c>
      <c r="H786" s="1">
        <v>898</v>
      </c>
      <c r="I786" s="2" t="s">
        <v>37</v>
      </c>
      <c r="J786" s="2" t="s">
        <v>20</v>
      </c>
      <c r="K786" s="1">
        <v>319.75</v>
      </c>
      <c r="L786" s="3">
        <v>45642</v>
      </c>
    </row>
    <row r="787" spans="1:12" x14ac:dyDescent="0.25">
      <c r="A787" s="1">
        <v>101000</v>
      </c>
      <c r="B787" s="2" t="s">
        <v>71</v>
      </c>
      <c r="C787" s="2" t="s">
        <v>72</v>
      </c>
      <c r="D787" s="2" t="s">
        <v>16</v>
      </c>
      <c r="E787" s="2" t="s">
        <v>35</v>
      </c>
      <c r="F787" s="2" t="s">
        <v>18</v>
      </c>
      <c r="G787" s="1">
        <v>0</v>
      </c>
      <c r="H787" s="1">
        <v>841</v>
      </c>
      <c r="I787" s="2" t="s">
        <v>45</v>
      </c>
      <c r="J787" s="2" t="s">
        <v>26</v>
      </c>
      <c r="K787" s="1">
        <v>104.7</v>
      </c>
      <c r="L787" s="3">
        <v>45642</v>
      </c>
    </row>
    <row r="788" spans="1:12" x14ac:dyDescent="0.25">
      <c r="A788" s="1">
        <v>101267</v>
      </c>
      <c r="B788" s="2" t="s">
        <v>75</v>
      </c>
      <c r="C788" s="2" t="s">
        <v>35</v>
      </c>
      <c r="D788" s="2" t="s">
        <v>16</v>
      </c>
      <c r="E788" s="2" t="s">
        <v>17</v>
      </c>
      <c r="F788" s="2" t="s">
        <v>18</v>
      </c>
      <c r="G788" s="1">
        <v>0</v>
      </c>
      <c r="H788" s="1">
        <v>554</v>
      </c>
      <c r="I788" s="2" t="s">
        <v>37</v>
      </c>
      <c r="J788" s="2" t="s">
        <v>20</v>
      </c>
      <c r="K788" s="1">
        <v>428.96</v>
      </c>
      <c r="L788" s="3">
        <v>45641</v>
      </c>
    </row>
    <row r="789" spans="1:12" x14ac:dyDescent="0.25">
      <c r="A789" s="1">
        <v>100065</v>
      </c>
      <c r="B789" s="2" t="s">
        <v>463</v>
      </c>
      <c r="C789" s="2" t="s">
        <v>35</v>
      </c>
      <c r="D789" s="2" t="s">
        <v>64</v>
      </c>
      <c r="E789" s="2" t="s">
        <v>55</v>
      </c>
      <c r="F789" s="2" t="s">
        <v>18</v>
      </c>
      <c r="G789" s="1">
        <v>0</v>
      </c>
      <c r="H789" s="1">
        <v>765</v>
      </c>
      <c r="I789" s="2" t="s">
        <v>45</v>
      </c>
      <c r="J789" s="2" t="s">
        <v>20</v>
      </c>
      <c r="K789" s="1">
        <v>403.4</v>
      </c>
      <c r="L789" s="3">
        <v>45641</v>
      </c>
    </row>
    <row r="790" spans="1:12" x14ac:dyDescent="0.25">
      <c r="A790" s="1">
        <v>100857</v>
      </c>
      <c r="B790" s="2" t="s">
        <v>515</v>
      </c>
      <c r="C790" s="2" t="s">
        <v>22</v>
      </c>
      <c r="D790" s="2" t="s">
        <v>16</v>
      </c>
      <c r="E790" s="2" t="s">
        <v>31</v>
      </c>
      <c r="F790" s="2" t="s">
        <v>18</v>
      </c>
      <c r="G790" s="1">
        <v>0</v>
      </c>
      <c r="H790" s="1">
        <v>826</v>
      </c>
      <c r="I790" s="2" t="s">
        <v>45</v>
      </c>
      <c r="J790" s="2" t="s">
        <v>33</v>
      </c>
      <c r="K790" s="1">
        <v>316.07</v>
      </c>
      <c r="L790" s="3">
        <v>45641</v>
      </c>
    </row>
    <row r="791" spans="1:12" x14ac:dyDescent="0.25">
      <c r="A791" s="1">
        <v>100903</v>
      </c>
      <c r="B791" s="2" t="s">
        <v>1663</v>
      </c>
      <c r="C791" s="2" t="s">
        <v>100</v>
      </c>
      <c r="D791" s="2" t="s">
        <v>41</v>
      </c>
      <c r="E791" s="2" t="s">
        <v>60</v>
      </c>
      <c r="F791" s="2" t="s">
        <v>18</v>
      </c>
      <c r="G791" s="1">
        <v>0</v>
      </c>
      <c r="H791" s="1">
        <v>452</v>
      </c>
      <c r="I791" s="2" t="s">
        <v>32</v>
      </c>
      <c r="J791" s="2" t="s">
        <v>20</v>
      </c>
      <c r="K791" s="1">
        <v>293</v>
      </c>
      <c r="L791" s="3">
        <v>45641</v>
      </c>
    </row>
    <row r="792" spans="1:12" x14ac:dyDescent="0.25">
      <c r="A792" s="1">
        <v>100686</v>
      </c>
      <c r="B792" s="2" t="s">
        <v>1059</v>
      </c>
      <c r="C792" s="2" t="s">
        <v>149</v>
      </c>
      <c r="D792" s="2" t="s">
        <v>106</v>
      </c>
      <c r="E792" s="2" t="s">
        <v>81</v>
      </c>
      <c r="F792" s="2" t="s">
        <v>18</v>
      </c>
      <c r="G792" s="1">
        <v>0</v>
      </c>
      <c r="H792" s="1">
        <v>571</v>
      </c>
      <c r="I792" s="2" t="s">
        <v>37</v>
      </c>
      <c r="J792" s="2" t="s">
        <v>26</v>
      </c>
      <c r="K792" s="1">
        <v>191.24</v>
      </c>
      <c r="L792" s="3">
        <v>45641</v>
      </c>
    </row>
    <row r="793" spans="1:12" x14ac:dyDescent="0.25">
      <c r="A793" s="1">
        <v>101782</v>
      </c>
      <c r="B793" s="2" t="s">
        <v>61</v>
      </c>
      <c r="C793" s="2" t="s">
        <v>62</v>
      </c>
      <c r="D793" s="2" t="s">
        <v>64</v>
      </c>
      <c r="E793" s="2" t="s">
        <v>55</v>
      </c>
      <c r="F793" s="2" t="s">
        <v>83</v>
      </c>
      <c r="G793" s="1">
        <v>0</v>
      </c>
      <c r="H793" s="1">
        <v>542</v>
      </c>
      <c r="I793" s="2" t="s">
        <v>37</v>
      </c>
      <c r="J793" s="2" t="s">
        <v>26</v>
      </c>
      <c r="K793" s="1">
        <v>71.069999999999993</v>
      </c>
      <c r="L793" s="3">
        <v>45641</v>
      </c>
    </row>
    <row r="794" spans="1:12" x14ac:dyDescent="0.25">
      <c r="A794" s="1">
        <v>100989</v>
      </c>
      <c r="B794" s="2" t="s">
        <v>863</v>
      </c>
      <c r="C794" s="2" t="s">
        <v>39</v>
      </c>
      <c r="D794" s="2" t="s">
        <v>64</v>
      </c>
      <c r="E794" s="2" t="s">
        <v>60</v>
      </c>
      <c r="F794" s="2" t="s">
        <v>18</v>
      </c>
      <c r="G794" s="1">
        <v>0</v>
      </c>
      <c r="H794" s="1">
        <v>427</v>
      </c>
      <c r="I794" s="2" t="s">
        <v>32</v>
      </c>
      <c r="J794" s="2" t="s">
        <v>20</v>
      </c>
      <c r="K794" s="1">
        <v>531.79999999999995</v>
      </c>
      <c r="L794" s="3">
        <v>45640</v>
      </c>
    </row>
    <row r="795" spans="1:12" x14ac:dyDescent="0.25">
      <c r="A795" s="1">
        <v>101809</v>
      </c>
      <c r="B795" s="2" t="s">
        <v>371</v>
      </c>
      <c r="C795" s="2" t="s">
        <v>52</v>
      </c>
      <c r="D795" s="2" t="s">
        <v>41</v>
      </c>
      <c r="E795" s="2" t="s">
        <v>60</v>
      </c>
      <c r="F795" s="2" t="s">
        <v>18</v>
      </c>
      <c r="G795" s="1">
        <v>0</v>
      </c>
      <c r="H795" s="1">
        <v>339</v>
      </c>
      <c r="I795" s="2" t="s">
        <v>45</v>
      </c>
      <c r="J795" s="2" t="s">
        <v>20</v>
      </c>
      <c r="K795" s="1">
        <v>347.44</v>
      </c>
      <c r="L795" s="3">
        <v>45640</v>
      </c>
    </row>
    <row r="796" spans="1:12" x14ac:dyDescent="0.25">
      <c r="A796" s="1">
        <v>100891</v>
      </c>
      <c r="B796" s="2" t="s">
        <v>259</v>
      </c>
      <c r="C796" s="2" t="s">
        <v>218</v>
      </c>
      <c r="D796" s="2" t="s">
        <v>41</v>
      </c>
      <c r="E796" s="2" t="s">
        <v>81</v>
      </c>
      <c r="F796" s="2" t="s">
        <v>18</v>
      </c>
      <c r="G796" s="1">
        <v>0</v>
      </c>
      <c r="H796" s="1">
        <v>732</v>
      </c>
      <c r="I796" s="2" t="s">
        <v>45</v>
      </c>
      <c r="J796" s="2" t="s">
        <v>26</v>
      </c>
      <c r="K796" s="1">
        <v>327.31</v>
      </c>
      <c r="L796" s="3">
        <v>45640</v>
      </c>
    </row>
    <row r="797" spans="1:12" x14ac:dyDescent="0.25">
      <c r="A797" s="1">
        <v>101155</v>
      </c>
      <c r="B797" s="2" t="s">
        <v>636</v>
      </c>
      <c r="C797" s="2" t="s">
        <v>244</v>
      </c>
      <c r="D797" s="2" t="s">
        <v>64</v>
      </c>
      <c r="E797" s="2" t="s">
        <v>55</v>
      </c>
      <c r="F797" s="2" t="s">
        <v>18</v>
      </c>
      <c r="G797" s="1">
        <v>0</v>
      </c>
      <c r="H797" s="1">
        <v>303</v>
      </c>
      <c r="I797" s="2" t="s">
        <v>56</v>
      </c>
      <c r="J797" s="2" t="s">
        <v>20</v>
      </c>
      <c r="K797" s="1">
        <v>633.73</v>
      </c>
      <c r="L797" s="3">
        <v>45639</v>
      </c>
    </row>
    <row r="798" spans="1:12" x14ac:dyDescent="0.25">
      <c r="A798" s="1">
        <v>100442</v>
      </c>
      <c r="B798" s="2" t="s">
        <v>734</v>
      </c>
      <c r="C798" s="2" t="s">
        <v>218</v>
      </c>
      <c r="D798" s="2" t="s">
        <v>16</v>
      </c>
      <c r="E798" s="2" t="s">
        <v>78</v>
      </c>
      <c r="F798" s="2" t="s">
        <v>18</v>
      </c>
      <c r="G798" s="1">
        <v>0</v>
      </c>
      <c r="H798" s="1">
        <v>865</v>
      </c>
      <c r="I798" s="2" t="s">
        <v>45</v>
      </c>
      <c r="J798" s="2" t="s">
        <v>33</v>
      </c>
      <c r="K798" s="1">
        <v>541.84</v>
      </c>
      <c r="L798" s="3">
        <v>45639</v>
      </c>
    </row>
    <row r="799" spans="1:12" x14ac:dyDescent="0.25">
      <c r="A799" s="1">
        <v>100092</v>
      </c>
      <c r="B799" s="2" t="s">
        <v>905</v>
      </c>
      <c r="C799" s="2" t="s">
        <v>100</v>
      </c>
      <c r="D799" s="2" t="s">
        <v>64</v>
      </c>
      <c r="E799" s="2" t="s">
        <v>60</v>
      </c>
      <c r="F799" s="2" t="s">
        <v>18</v>
      </c>
      <c r="G799" s="1">
        <v>0</v>
      </c>
      <c r="H799" s="1">
        <v>325</v>
      </c>
      <c r="I799" s="2" t="s">
        <v>45</v>
      </c>
      <c r="J799" s="2" t="s">
        <v>20</v>
      </c>
      <c r="K799" s="1">
        <v>414.46</v>
      </c>
      <c r="L799" s="3">
        <v>45639</v>
      </c>
    </row>
    <row r="800" spans="1:12" x14ac:dyDescent="0.25">
      <c r="A800" s="1">
        <v>102104</v>
      </c>
      <c r="B800" s="2" t="s">
        <v>510</v>
      </c>
      <c r="C800" s="2" t="s">
        <v>244</v>
      </c>
      <c r="D800" s="2" t="s">
        <v>16</v>
      </c>
      <c r="E800" s="2" t="s">
        <v>78</v>
      </c>
      <c r="F800" s="2" t="s">
        <v>18</v>
      </c>
      <c r="G800" s="1">
        <v>0</v>
      </c>
      <c r="H800" s="1">
        <v>411</v>
      </c>
      <c r="I800" s="2" t="s">
        <v>32</v>
      </c>
      <c r="J800" s="2" t="s">
        <v>33</v>
      </c>
      <c r="K800" s="1">
        <v>244.44</v>
      </c>
      <c r="L800" s="3">
        <v>45639</v>
      </c>
    </row>
    <row r="801" spans="1:12" x14ac:dyDescent="0.25">
      <c r="A801" s="1">
        <v>101430</v>
      </c>
      <c r="B801" s="2" t="s">
        <v>162</v>
      </c>
      <c r="C801" s="2" t="s">
        <v>13</v>
      </c>
      <c r="D801" s="2" t="s">
        <v>16</v>
      </c>
      <c r="E801" s="2" t="s">
        <v>55</v>
      </c>
      <c r="F801" s="2" t="s">
        <v>18</v>
      </c>
      <c r="G801" s="1">
        <v>0</v>
      </c>
      <c r="H801" s="1">
        <v>410</v>
      </c>
      <c r="I801" s="2" t="s">
        <v>56</v>
      </c>
      <c r="J801" s="2" t="s">
        <v>33</v>
      </c>
      <c r="K801" s="1">
        <v>594.41999999999996</v>
      </c>
      <c r="L801" s="3">
        <v>45638</v>
      </c>
    </row>
    <row r="802" spans="1:12" x14ac:dyDescent="0.25">
      <c r="A802" s="1">
        <v>100219</v>
      </c>
      <c r="B802" s="2" t="s">
        <v>266</v>
      </c>
      <c r="C802" s="2" t="s">
        <v>122</v>
      </c>
      <c r="D802" s="2" t="s">
        <v>50</v>
      </c>
      <c r="E802" s="2" t="s">
        <v>70</v>
      </c>
      <c r="F802" s="2" t="s">
        <v>18</v>
      </c>
      <c r="G802" s="1">
        <v>0</v>
      </c>
      <c r="H802" s="1">
        <v>504</v>
      </c>
      <c r="I802" s="2" t="s">
        <v>56</v>
      </c>
      <c r="J802" s="2" t="s">
        <v>20</v>
      </c>
      <c r="K802" s="1">
        <v>473.95</v>
      </c>
      <c r="L802" s="3">
        <v>45638</v>
      </c>
    </row>
    <row r="803" spans="1:12" x14ac:dyDescent="0.25">
      <c r="A803" s="1">
        <v>101605</v>
      </c>
      <c r="B803" s="2" t="s">
        <v>596</v>
      </c>
      <c r="C803" s="2" t="s">
        <v>22</v>
      </c>
      <c r="D803" s="2" t="s">
        <v>50</v>
      </c>
      <c r="E803" s="2" t="s">
        <v>55</v>
      </c>
      <c r="F803" s="2" t="s">
        <v>18</v>
      </c>
      <c r="G803" s="1">
        <v>0</v>
      </c>
      <c r="H803" s="1">
        <v>603</v>
      </c>
      <c r="I803" s="2" t="s">
        <v>45</v>
      </c>
      <c r="J803" s="2" t="s">
        <v>20</v>
      </c>
      <c r="K803" s="1">
        <v>371.95</v>
      </c>
      <c r="L803" s="3">
        <v>45638</v>
      </c>
    </row>
    <row r="804" spans="1:12" x14ac:dyDescent="0.25">
      <c r="A804" s="1">
        <v>102041</v>
      </c>
      <c r="B804" s="2" t="s">
        <v>129</v>
      </c>
      <c r="C804" s="2" t="s">
        <v>13</v>
      </c>
      <c r="D804" s="2" t="s">
        <v>41</v>
      </c>
      <c r="E804" s="2" t="s">
        <v>60</v>
      </c>
      <c r="F804" s="2" t="s">
        <v>18</v>
      </c>
      <c r="G804" s="1">
        <v>0</v>
      </c>
      <c r="H804" s="1">
        <v>336</v>
      </c>
      <c r="I804" s="2" t="s">
        <v>19</v>
      </c>
      <c r="J804" s="2" t="s">
        <v>26</v>
      </c>
      <c r="K804" s="1">
        <v>381.89</v>
      </c>
      <c r="L804" s="3">
        <v>45637</v>
      </c>
    </row>
    <row r="805" spans="1:12" x14ac:dyDescent="0.25">
      <c r="A805" s="1">
        <v>101025</v>
      </c>
      <c r="B805" s="2" t="s">
        <v>91</v>
      </c>
      <c r="C805" s="2" t="s">
        <v>58</v>
      </c>
      <c r="D805" s="2" t="s">
        <v>64</v>
      </c>
      <c r="E805" s="2" t="s">
        <v>55</v>
      </c>
      <c r="F805" s="2" t="s">
        <v>83</v>
      </c>
      <c r="G805" s="1">
        <v>0</v>
      </c>
      <c r="H805" s="1">
        <v>769</v>
      </c>
      <c r="I805" s="2" t="s">
        <v>35</v>
      </c>
      <c r="J805" s="2" t="s">
        <v>33</v>
      </c>
      <c r="K805" s="1">
        <v>355.26</v>
      </c>
      <c r="L805" s="3">
        <v>45637</v>
      </c>
    </row>
    <row r="806" spans="1:12" x14ac:dyDescent="0.25">
      <c r="A806" s="1">
        <v>100086</v>
      </c>
      <c r="B806" s="2" t="s">
        <v>805</v>
      </c>
      <c r="C806" s="2" t="s">
        <v>62</v>
      </c>
      <c r="D806" s="2" t="s">
        <v>64</v>
      </c>
      <c r="E806" s="2" t="s">
        <v>70</v>
      </c>
      <c r="F806" s="2" t="s">
        <v>18</v>
      </c>
      <c r="G806" s="1">
        <v>0</v>
      </c>
      <c r="H806" s="1">
        <v>352</v>
      </c>
      <c r="I806" s="2" t="s">
        <v>19</v>
      </c>
      <c r="J806" s="2" t="s">
        <v>20</v>
      </c>
      <c r="K806" s="1">
        <v>115.1</v>
      </c>
      <c r="L806" s="3">
        <v>45637</v>
      </c>
    </row>
    <row r="807" spans="1:12" x14ac:dyDescent="0.25">
      <c r="A807" s="1">
        <v>101831</v>
      </c>
      <c r="B807" s="2" t="s">
        <v>196</v>
      </c>
      <c r="C807" s="2" t="s">
        <v>152</v>
      </c>
      <c r="D807" s="2" t="s">
        <v>64</v>
      </c>
      <c r="E807" s="2" t="s">
        <v>60</v>
      </c>
      <c r="F807" s="2" t="s">
        <v>18</v>
      </c>
      <c r="G807" s="1">
        <v>0</v>
      </c>
      <c r="H807" s="1">
        <v>405</v>
      </c>
      <c r="I807" s="2" t="s">
        <v>56</v>
      </c>
      <c r="J807" s="2" t="s">
        <v>26</v>
      </c>
      <c r="K807" s="1">
        <v>426.33</v>
      </c>
      <c r="L807" s="3">
        <v>45636</v>
      </c>
    </row>
    <row r="808" spans="1:12" x14ac:dyDescent="0.25">
      <c r="A808" s="1">
        <v>100684</v>
      </c>
      <c r="B808" s="2" t="s">
        <v>474</v>
      </c>
      <c r="C808" s="2" t="s">
        <v>270</v>
      </c>
      <c r="D808" s="2" t="s">
        <v>106</v>
      </c>
      <c r="E808" s="2" t="s">
        <v>17</v>
      </c>
      <c r="F808" s="2" t="s">
        <v>83</v>
      </c>
      <c r="G808" s="1">
        <v>0</v>
      </c>
      <c r="H808" s="1">
        <v>483</v>
      </c>
      <c r="I808" s="2" t="s">
        <v>19</v>
      </c>
      <c r="J808" s="2" t="s">
        <v>20</v>
      </c>
      <c r="K808" s="1">
        <v>366.98</v>
      </c>
      <c r="L808" s="3">
        <v>45636</v>
      </c>
    </row>
    <row r="809" spans="1:12" x14ac:dyDescent="0.25">
      <c r="A809" s="1">
        <v>102163</v>
      </c>
      <c r="B809" s="2" t="s">
        <v>162</v>
      </c>
      <c r="C809" s="2" t="s">
        <v>13</v>
      </c>
      <c r="D809" s="2" t="s">
        <v>50</v>
      </c>
      <c r="E809" s="2" t="s">
        <v>70</v>
      </c>
      <c r="F809" s="2" t="s">
        <v>42</v>
      </c>
      <c r="G809" s="1">
        <v>62</v>
      </c>
      <c r="H809" s="1">
        <v>410</v>
      </c>
      <c r="I809" s="2" t="s">
        <v>45</v>
      </c>
      <c r="J809" s="2" t="s">
        <v>20</v>
      </c>
      <c r="K809" s="1">
        <v>910.11</v>
      </c>
      <c r="L809" s="3">
        <v>45635</v>
      </c>
    </row>
    <row r="810" spans="1:12" x14ac:dyDescent="0.25">
      <c r="A810" s="1">
        <v>100551</v>
      </c>
      <c r="B810" s="2" t="s">
        <v>89</v>
      </c>
      <c r="C810" s="2" t="s">
        <v>72</v>
      </c>
      <c r="D810" s="2" t="s">
        <v>41</v>
      </c>
      <c r="E810" s="2" t="s">
        <v>81</v>
      </c>
      <c r="F810" s="2" t="s">
        <v>83</v>
      </c>
      <c r="G810" s="1">
        <v>0</v>
      </c>
      <c r="H810" s="1">
        <v>358</v>
      </c>
      <c r="I810" s="2" t="s">
        <v>56</v>
      </c>
      <c r="J810" s="2" t="s">
        <v>20</v>
      </c>
      <c r="K810" s="1">
        <v>780.33</v>
      </c>
      <c r="L810" s="3">
        <v>45635</v>
      </c>
    </row>
    <row r="811" spans="1:12" x14ac:dyDescent="0.25">
      <c r="A811" s="1">
        <v>101386</v>
      </c>
      <c r="B811" s="2" t="s">
        <v>1069</v>
      </c>
      <c r="C811" s="2" t="s">
        <v>22</v>
      </c>
      <c r="D811" s="2" t="s">
        <v>106</v>
      </c>
      <c r="E811" s="2" t="s">
        <v>31</v>
      </c>
      <c r="F811" s="2" t="s">
        <v>18</v>
      </c>
      <c r="G811" s="1">
        <v>0</v>
      </c>
      <c r="H811" s="1">
        <v>607</v>
      </c>
      <c r="I811" s="2" t="s">
        <v>37</v>
      </c>
      <c r="J811" s="2" t="s">
        <v>26</v>
      </c>
      <c r="K811" s="1">
        <v>594.83000000000004</v>
      </c>
      <c r="L811" s="3">
        <v>45635</v>
      </c>
    </row>
    <row r="812" spans="1:12" x14ac:dyDescent="0.25">
      <c r="A812" s="1">
        <v>100511</v>
      </c>
      <c r="B812" s="2" t="s">
        <v>1053</v>
      </c>
      <c r="C812" s="2" t="s">
        <v>47</v>
      </c>
      <c r="D812" s="2" t="s">
        <v>106</v>
      </c>
      <c r="E812" s="2" t="s">
        <v>31</v>
      </c>
      <c r="F812" s="2" t="s">
        <v>83</v>
      </c>
      <c r="G812" s="1">
        <v>0</v>
      </c>
      <c r="H812" s="1">
        <v>864</v>
      </c>
      <c r="I812" s="2" t="s">
        <v>37</v>
      </c>
      <c r="J812" s="2" t="s">
        <v>26</v>
      </c>
      <c r="K812" s="1">
        <v>580.87</v>
      </c>
      <c r="L812" s="3">
        <v>45635</v>
      </c>
    </row>
    <row r="813" spans="1:12" x14ac:dyDescent="0.25">
      <c r="A813" s="1">
        <v>101636</v>
      </c>
      <c r="B813" s="2" t="s">
        <v>230</v>
      </c>
      <c r="C813" s="2" t="s">
        <v>95</v>
      </c>
      <c r="D813" s="2" t="s">
        <v>50</v>
      </c>
      <c r="E813" s="2" t="s">
        <v>70</v>
      </c>
      <c r="F813" s="2" t="s">
        <v>18</v>
      </c>
      <c r="G813" s="1">
        <v>0</v>
      </c>
      <c r="H813" s="1">
        <v>818</v>
      </c>
      <c r="I813" s="2" t="s">
        <v>32</v>
      </c>
      <c r="J813" s="2" t="s">
        <v>20</v>
      </c>
      <c r="K813" s="1">
        <v>519.41</v>
      </c>
      <c r="L813" s="3">
        <v>45635</v>
      </c>
    </row>
    <row r="814" spans="1:12" x14ac:dyDescent="0.25">
      <c r="A814" s="1">
        <v>100859</v>
      </c>
      <c r="B814" s="2" t="s">
        <v>1022</v>
      </c>
      <c r="C814" s="2" t="s">
        <v>270</v>
      </c>
      <c r="D814" s="2" t="s">
        <v>41</v>
      </c>
      <c r="E814" s="2" t="s">
        <v>60</v>
      </c>
      <c r="F814" s="2" t="s">
        <v>83</v>
      </c>
      <c r="G814" s="1">
        <v>0</v>
      </c>
      <c r="H814" s="1">
        <v>383</v>
      </c>
      <c r="I814" s="2" t="s">
        <v>37</v>
      </c>
      <c r="J814" s="2" t="s">
        <v>26</v>
      </c>
      <c r="K814" s="1">
        <v>141.82</v>
      </c>
      <c r="L814" s="3">
        <v>45635</v>
      </c>
    </row>
    <row r="815" spans="1:12" x14ac:dyDescent="0.25">
      <c r="A815" s="1">
        <v>101170</v>
      </c>
      <c r="B815" s="2" t="s">
        <v>1059</v>
      </c>
      <c r="C815" s="2" t="s">
        <v>149</v>
      </c>
      <c r="D815" s="2" t="s">
        <v>106</v>
      </c>
      <c r="E815" s="2" t="s">
        <v>55</v>
      </c>
      <c r="F815" s="2" t="s">
        <v>25</v>
      </c>
      <c r="G815" s="1">
        <v>12</v>
      </c>
      <c r="H815" s="1">
        <v>571</v>
      </c>
      <c r="I815" s="2" t="s">
        <v>45</v>
      </c>
      <c r="J815" s="2" t="s">
        <v>26</v>
      </c>
      <c r="K815" s="1">
        <v>135.33000000000001</v>
      </c>
      <c r="L815" s="3">
        <v>45635</v>
      </c>
    </row>
    <row r="816" spans="1:12" x14ac:dyDescent="0.25">
      <c r="A816" s="1">
        <v>101506</v>
      </c>
      <c r="B816" s="2" t="s">
        <v>525</v>
      </c>
      <c r="C816" s="2" t="s">
        <v>58</v>
      </c>
      <c r="D816" s="2" t="s">
        <v>41</v>
      </c>
      <c r="E816" s="2" t="s">
        <v>17</v>
      </c>
      <c r="F816" s="2" t="s">
        <v>83</v>
      </c>
      <c r="G816" s="1">
        <v>0</v>
      </c>
      <c r="H816" s="1">
        <v>501</v>
      </c>
      <c r="I816" s="2" t="s">
        <v>37</v>
      </c>
      <c r="J816" s="2" t="s">
        <v>20</v>
      </c>
      <c r="K816" s="1">
        <v>401.12</v>
      </c>
      <c r="L816" s="3">
        <v>45634</v>
      </c>
    </row>
    <row r="817" spans="1:12" x14ac:dyDescent="0.25">
      <c r="A817" s="1">
        <v>100939</v>
      </c>
      <c r="B817" s="2" t="s">
        <v>238</v>
      </c>
      <c r="C817" s="2" t="s">
        <v>47</v>
      </c>
      <c r="D817" s="2" t="s">
        <v>16</v>
      </c>
      <c r="E817" s="2" t="s">
        <v>60</v>
      </c>
      <c r="F817" s="2" t="s">
        <v>18</v>
      </c>
      <c r="G817" s="1">
        <v>0</v>
      </c>
      <c r="H817" s="1">
        <v>497</v>
      </c>
      <c r="I817" s="2" t="s">
        <v>19</v>
      </c>
      <c r="J817" s="2" t="s">
        <v>20</v>
      </c>
      <c r="K817" s="1">
        <v>330.41</v>
      </c>
      <c r="L817" s="3">
        <v>45634</v>
      </c>
    </row>
    <row r="818" spans="1:12" x14ac:dyDescent="0.25">
      <c r="A818" s="1">
        <v>101733</v>
      </c>
      <c r="B818" s="2" t="s">
        <v>307</v>
      </c>
      <c r="C818" s="2" t="s">
        <v>58</v>
      </c>
      <c r="D818" s="2" t="s">
        <v>50</v>
      </c>
      <c r="E818" s="2" t="s">
        <v>78</v>
      </c>
      <c r="F818" s="2" t="s">
        <v>18</v>
      </c>
      <c r="G818" s="1">
        <v>0</v>
      </c>
      <c r="H818" s="1">
        <v>616</v>
      </c>
      <c r="I818" s="2" t="s">
        <v>45</v>
      </c>
      <c r="J818" s="2" t="s">
        <v>33</v>
      </c>
      <c r="K818" s="1">
        <v>255.42</v>
      </c>
      <c r="L818" s="3">
        <v>45634</v>
      </c>
    </row>
    <row r="819" spans="1:12" x14ac:dyDescent="0.25">
      <c r="A819" s="1">
        <v>100371</v>
      </c>
      <c r="B819" s="2" t="s">
        <v>288</v>
      </c>
      <c r="C819" s="2" t="s">
        <v>85</v>
      </c>
      <c r="D819" s="2" t="s">
        <v>64</v>
      </c>
      <c r="E819" s="2" t="s">
        <v>31</v>
      </c>
      <c r="F819" s="2" t="s">
        <v>18</v>
      </c>
      <c r="G819" s="1">
        <v>0</v>
      </c>
      <c r="H819" s="1">
        <v>746</v>
      </c>
      <c r="I819" s="2" t="s">
        <v>37</v>
      </c>
      <c r="J819" s="2" t="s">
        <v>20</v>
      </c>
      <c r="K819" s="1">
        <v>107.54</v>
      </c>
      <c r="L819" s="3">
        <v>45634</v>
      </c>
    </row>
    <row r="820" spans="1:12" x14ac:dyDescent="0.25">
      <c r="A820" s="1">
        <v>100440</v>
      </c>
      <c r="B820" s="2" t="s">
        <v>329</v>
      </c>
      <c r="C820" s="2" t="s">
        <v>270</v>
      </c>
      <c r="D820" s="2" t="s">
        <v>16</v>
      </c>
      <c r="E820" s="2" t="s">
        <v>78</v>
      </c>
      <c r="F820" s="2" t="s">
        <v>83</v>
      </c>
      <c r="G820" s="1">
        <v>0</v>
      </c>
      <c r="H820" s="1">
        <v>328</v>
      </c>
      <c r="I820" s="2" t="s">
        <v>19</v>
      </c>
      <c r="J820" s="2" t="s">
        <v>26</v>
      </c>
      <c r="K820" s="1">
        <v>327.47000000000003</v>
      </c>
      <c r="L820" s="3">
        <v>45633</v>
      </c>
    </row>
    <row r="821" spans="1:12" x14ac:dyDescent="0.25">
      <c r="A821" s="1">
        <v>100273</v>
      </c>
      <c r="B821" s="2" t="s">
        <v>553</v>
      </c>
      <c r="C821" s="2" t="s">
        <v>72</v>
      </c>
      <c r="D821" s="2" t="s">
        <v>16</v>
      </c>
      <c r="E821" s="2" t="s">
        <v>31</v>
      </c>
      <c r="F821" s="2" t="s">
        <v>25</v>
      </c>
      <c r="G821" s="1">
        <v>29</v>
      </c>
      <c r="H821" s="1">
        <v>638</v>
      </c>
      <c r="I821" s="2" t="s">
        <v>37</v>
      </c>
      <c r="J821" s="2" t="s">
        <v>26</v>
      </c>
      <c r="K821" s="1">
        <v>309.13</v>
      </c>
      <c r="L821" s="3">
        <v>45633</v>
      </c>
    </row>
    <row r="822" spans="1:12" x14ac:dyDescent="0.25">
      <c r="A822" s="1">
        <v>100477</v>
      </c>
      <c r="B822" s="2" t="s">
        <v>145</v>
      </c>
      <c r="C822" s="2" t="s">
        <v>52</v>
      </c>
      <c r="D822" s="2" t="s">
        <v>64</v>
      </c>
      <c r="E822" s="2" t="s">
        <v>60</v>
      </c>
      <c r="F822" s="2" t="s">
        <v>18</v>
      </c>
      <c r="G822" s="1">
        <v>0</v>
      </c>
      <c r="H822" s="1">
        <v>435</v>
      </c>
      <c r="I822" s="2" t="s">
        <v>19</v>
      </c>
      <c r="J822" s="2" t="s">
        <v>26</v>
      </c>
      <c r="K822" s="1">
        <v>180.34</v>
      </c>
      <c r="L822" s="3">
        <v>45633</v>
      </c>
    </row>
    <row r="823" spans="1:12" x14ac:dyDescent="0.25">
      <c r="A823" s="1">
        <v>100421</v>
      </c>
      <c r="B823" s="2" t="s">
        <v>194</v>
      </c>
      <c r="C823" s="2" t="s">
        <v>47</v>
      </c>
      <c r="D823" s="2" t="s">
        <v>16</v>
      </c>
      <c r="E823" s="2" t="s">
        <v>81</v>
      </c>
      <c r="F823" s="2" t="s">
        <v>18</v>
      </c>
      <c r="G823" s="1" t="s">
        <v>35</v>
      </c>
      <c r="H823" s="1">
        <v>308</v>
      </c>
      <c r="I823" s="2" t="s">
        <v>45</v>
      </c>
      <c r="J823" s="2" t="s">
        <v>26</v>
      </c>
      <c r="K823" s="1">
        <v>148.25</v>
      </c>
      <c r="L823" s="3">
        <v>45633</v>
      </c>
    </row>
    <row r="824" spans="1:12" x14ac:dyDescent="0.25">
      <c r="A824" s="1">
        <v>101863</v>
      </c>
      <c r="B824" s="2" t="s">
        <v>2030</v>
      </c>
      <c r="C824" s="2" t="s">
        <v>168</v>
      </c>
      <c r="D824" s="2" t="s">
        <v>50</v>
      </c>
      <c r="E824" s="2" t="s">
        <v>31</v>
      </c>
      <c r="F824" s="2" t="s">
        <v>83</v>
      </c>
      <c r="G824" s="1">
        <v>0</v>
      </c>
      <c r="H824" s="1">
        <v>768</v>
      </c>
      <c r="I824" s="2" t="s">
        <v>32</v>
      </c>
      <c r="J824" s="2" t="s">
        <v>20</v>
      </c>
      <c r="K824" s="1">
        <v>124.69</v>
      </c>
      <c r="L824" s="3">
        <v>45633</v>
      </c>
    </row>
    <row r="825" spans="1:12" x14ac:dyDescent="0.25">
      <c r="A825" s="1">
        <v>100352</v>
      </c>
      <c r="B825" s="2" t="s">
        <v>234</v>
      </c>
      <c r="C825" s="2" t="s">
        <v>142</v>
      </c>
      <c r="D825" s="2" t="s">
        <v>64</v>
      </c>
      <c r="E825" s="2" t="s">
        <v>78</v>
      </c>
      <c r="F825" s="2" t="s">
        <v>42</v>
      </c>
      <c r="G825" s="1">
        <v>133</v>
      </c>
      <c r="H825" s="1">
        <v>494</v>
      </c>
      <c r="I825" s="2" t="s">
        <v>19</v>
      </c>
      <c r="J825" s="2" t="s">
        <v>20</v>
      </c>
      <c r="K825" s="1">
        <v>60.94</v>
      </c>
      <c r="L825" s="3">
        <v>45633</v>
      </c>
    </row>
    <row r="826" spans="1:12" x14ac:dyDescent="0.25">
      <c r="A826" s="1">
        <v>101521</v>
      </c>
      <c r="B826" s="2" t="s">
        <v>148</v>
      </c>
      <c r="C826" s="2" t="s">
        <v>149</v>
      </c>
      <c r="D826" s="2" t="s">
        <v>16</v>
      </c>
      <c r="E826" s="2" t="s">
        <v>60</v>
      </c>
      <c r="F826" s="2" t="s">
        <v>18</v>
      </c>
      <c r="G826" s="1">
        <v>0</v>
      </c>
      <c r="H826" s="1">
        <v>876</v>
      </c>
      <c r="I826" s="2" t="s">
        <v>32</v>
      </c>
      <c r="J826" s="2" t="s">
        <v>26</v>
      </c>
      <c r="K826" s="1">
        <v>494.31</v>
      </c>
      <c r="L826" s="3">
        <v>45632</v>
      </c>
    </row>
    <row r="827" spans="1:12" x14ac:dyDescent="0.25">
      <c r="A827" s="1">
        <v>101946</v>
      </c>
      <c r="B827" s="2" t="s">
        <v>595</v>
      </c>
      <c r="C827" s="2" t="s">
        <v>22</v>
      </c>
      <c r="D827" s="2" t="s">
        <v>106</v>
      </c>
      <c r="E827" s="2" t="s">
        <v>17</v>
      </c>
      <c r="F827" s="2" t="s">
        <v>42</v>
      </c>
      <c r="G827" s="1">
        <v>101</v>
      </c>
      <c r="H827" s="1">
        <v>372</v>
      </c>
      <c r="I827" s="2" t="s">
        <v>19</v>
      </c>
      <c r="J827" s="2" t="s">
        <v>26</v>
      </c>
      <c r="K827" s="1">
        <v>467.01</v>
      </c>
      <c r="L827" s="3">
        <v>45632</v>
      </c>
    </row>
    <row r="828" spans="1:12" x14ac:dyDescent="0.25">
      <c r="A828" s="1">
        <v>102034</v>
      </c>
      <c r="B828" s="2" t="s">
        <v>177</v>
      </c>
      <c r="C828" s="2" t="s">
        <v>85</v>
      </c>
      <c r="D828" s="2" t="s">
        <v>16</v>
      </c>
      <c r="E828" s="2" t="s">
        <v>35</v>
      </c>
      <c r="F828" s="2" t="s">
        <v>18</v>
      </c>
      <c r="G828" s="1">
        <v>0</v>
      </c>
      <c r="H828" s="1">
        <v>375</v>
      </c>
      <c r="I828" s="2" t="s">
        <v>56</v>
      </c>
      <c r="J828" s="2" t="s">
        <v>20</v>
      </c>
      <c r="K828" s="1">
        <v>426.36</v>
      </c>
      <c r="L828" s="3">
        <v>45632</v>
      </c>
    </row>
    <row r="829" spans="1:12" x14ac:dyDescent="0.25">
      <c r="A829" s="1">
        <v>101040</v>
      </c>
      <c r="B829" s="2" t="s">
        <v>392</v>
      </c>
      <c r="C829" s="2" t="s">
        <v>72</v>
      </c>
      <c r="D829" s="2" t="s">
        <v>64</v>
      </c>
      <c r="E829" s="2" t="s">
        <v>17</v>
      </c>
      <c r="F829" s="2" t="s">
        <v>18</v>
      </c>
      <c r="G829" s="1" t="s">
        <v>35</v>
      </c>
      <c r="H829" s="1">
        <v>433</v>
      </c>
      <c r="I829" s="2" t="s">
        <v>45</v>
      </c>
      <c r="J829" s="2" t="s">
        <v>20</v>
      </c>
      <c r="K829" s="1">
        <v>119.64</v>
      </c>
      <c r="L829" s="3">
        <v>45632</v>
      </c>
    </row>
    <row r="830" spans="1:12" x14ac:dyDescent="0.25">
      <c r="A830" s="1">
        <v>100976</v>
      </c>
      <c r="B830" s="2" t="s">
        <v>148</v>
      </c>
      <c r="C830" s="2" t="s">
        <v>149</v>
      </c>
      <c r="D830" s="2" t="s">
        <v>41</v>
      </c>
      <c r="E830" s="2" t="s">
        <v>78</v>
      </c>
      <c r="F830" s="2" t="s">
        <v>18</v>
      </c>
      <c r="G830" s="1">
        <v>0</v>
      </c>
      <c r="H830" s="1">
        <v>876</v>
      </c>
      <c r="I830" s="2" t="s">
        <v>45</v>
      </c>
      <c r="J830" s="2" t="s">
        <v>20</v>
      </c>
      <c r="K830" s="1"/>
      <c r="L830" s="3">
        <v>45632</v>
      </c>
    </row>
    <row r="831" spans="1:12" x14ac:dyDescent="0.25">
      <c r="A831" s="1">
        <v>100596</v>
      </c>
      <c r="B831" s="2" t="s">
        <v>719</v>
      </c>
      <c r="C831" s="2" t="s">
        <v>22</v>
      </c>
      <c r="D831" s="2" t="s">
        <v>106</v>
      </c>
      <c r="E831" s="2" t="s">
        <v>78</v>
      </c>
      <c r="F831" s="2" t="s">
        <v>18</v>
      </c>
      <c r="G831" s="1">
        <v>0</v>
      </c>
      <c r="H831" s="1">
        <v>461</v>
      </c>
      <c r="I831" s="2" t="s">
        <v>32</v>
      </c>
      <c r="J831" s="2" t="s">
        <v>33</v>
      </c>
      <c r="K831" s="1">
        <v>230.63</v>
      </c>
      <c r="L831" s="3">
        <v>45631</v>
      </c>
    </row>
    <row r="832" spans="1:12" x14ac:dyDescent="0.25">
      <c r="A832" s="1">
        <v>100559</v>
      </c>
      <c r="B832" s="2" t="s">
        <v>342</v>
      </c>
      <c r="C832" s="2" t="s">
        <v>110</v>
      </c>
      <c r="D832" s="2" t="s">
        <v>50</v>
      </c>
      <c r="E832" s="2" t="s">
        <v>60</v>
      </c>
      <c r="F832" s="2" t="s">
        <v>18</v>
      </c>
      <c r="G832" s="1">
        <v>0</v>
      </c>
      <c r="H832" s="1">
        <v>659</v>
      </c>
      <c r="I832" s="2" t="s">
        <v>45</v>
      </c>
      <c r="J832" s="2" t="s">
        <v>20</v>
      </c>
      <c r="K832" s="1">
        <v>52.61</v>
      </c>
      <c r="L832" s="3">
        <v>45631</v>
      </c>
    </row>
    <row r="833" spans="1:12" x14ac:dyDescent="0.25">
      <c r="A833" s="1">
        <v>101630</v>
      </c>
      <c r="B833" s="2" t="s">
        <v>504</v>
      </c>
      <c r="C833" s="2" t="s">
        <v>187</v>
      </c>
      <c r="D833" s="2" t="s">
        <v>106</v>
      </c>
      <c r="E833" s="2" t="s">
        <v>31</v>
      </c>
      <c r="F833" s="2" t="s">
        <v>83</v>
      </c>
      <c r="G833" s="1">
        <v>0</v>
      </c>
      <c r="H833" s="1">
        <v>494</v>
      </c>
      <c r="I833" s="2" t="s">
        <v>19</v>
      </c>
      <c r="J833" s="2" t="s">
        <v>20</v>
      </c>
      <c r="K833" s="1">
        <v>600.77</v>
      </c>
      <c r="L833" s="3">
        <v>45630</v>
      </c>
    </row>
    <row r="834" spans="1:12" x14ac:dyDescent="0.25">
      <c r="A834" s="1">
        <v>100607</v>
      </c>
      <c r="B834" s="2" t="s">
        <v>610</v>
      </c>
      <c r="C834" s="2" t="s">
        <v>126</v>
      </c>
      <c r="D834" s="2" t="s">
        <v>50</v>
      </c>
      <c r="E834" s="2" t="s">
        <v>78</v>
      </c>
      <c r="F834" s="2" t="s">
        <v>83</v>
      </c>
      <c r="G834" s="1">
        <v>0</v>
      </c>
      <c r="H834" s="1">
        <v>315</v>
      </c>
      <c r="I834" s="2" t="s">
        <v>37</v>
      </c>
      <c r="J834" s="2" t="s">
        <v>20</v>
      </c>
      <c r="K834" s="1">
        <v>404.27</v>
      </c>
      <c r="L834" s="3">
        <v>45630</v>
      </c>
    </row>
    <row r="835" spans="1:12" x14ac:dyDescent="0.25">
      <c r="A835" s="1">
        <v>100708</v>
      </c>
      <c r="B835" s="2" t="s">
        <v>446</v>
      </c>
      <c r="C835" s="2" t="s">
        <v>168</v>
      </c>
      <c r="D835" s="2" t="s">
        <v>64</v>
      </c>
      <c r="E835" s="2" t="s">
        <v>60</v>
      </c>
      <c r="F835" s="2" t="s">
        <v>42</v>
      </c>
      <c r="G835" s="1">
        <v>73</v>
      </c>
      <c r="H835" s="1">
        <v>515</v>
      </c>
      <c r="I835" s="2" t="s">
        <v>37</v>
      </c>
      <c r="J835" s="2" t="s">
        <v>26</v>
      </c>
      <c r="K835" s="1">
        <v>396.84</v>
      </c>
      <c r="L835" s="3">
        <v>45630</v>
      </c>
    </row>
    <row r="836" spans="1:12" x14ac:dyDescent="0.25">
      <c r="A836" s="1">
        <v>101224</v>
      </c>
      <c r="B836" s="2" t="s">
        <v>786</v>
      </c>
      <c r="C836" s="2" t="s">
        <v>35</v>
      </c>
      <c r="D836" s="2" t="s">
        <v>16</v>
      </c>
      <c r="E836" s="2" t="s">
        <v>35</v>
      </c>
      <c r="F836" s="2" t="s">
        <v>25</v>
      </c>
      <c r="G836" s="1">
        <v>9</v>
      </c>
      <c r="H836" s="1">
        <v>835</v>
      </c>
      <c r="I836" s="2" t="s">
        <v>56</v>
      </c>
      <c r="J836" s="2" t="s">
        <v>20</v>
      </c>
      <c r="K836" s="1">
        <v>384.85</v>
      </c>
      <c r="L836" s="3">
        <v>45630</v>
      </c>
    </row>
    <row r="837" spans="1:12" x14ac:dyDescent="0.25">
      <c r="A837" s="1">
        <v>100329</v>
      </c>
      <c r="B837" s="2" t="s">
        <v>288</v>
      </c>
      <c r="C837" s="2" t="s">
        <v>85</v>
      </c>
      <c r="D837" s="2" t="s">
        <v>106</v>
      </c>
      <c r="E837" s="2" t="s">
        <v>17</v>
      </c>
      <c r="F837" s="2" t="s">
        <v>25</v>
      </c>
      <c r="G837" s="1">
        <v>15</v>
      </c>
      <c r="H837" s="1">
        <v>746</v>
      </c>
      <c r="I837" s="2" t="s">
        <v>56</v>
      </c>
      <c r="J837" s="2" t="s">
        <v>20</v>
      </c>
      <c r="K837" s="1">
        <v>262.02999999999997</v>
      </c>
      <c r="L837" s="3">
        <v>45630</v>
      </c>
    </row>
    <row r="838" spans="1:12" x14ac:dyDescent="0.25">
      <c r="A838" s="1">
        <v>101397</v>
      </c>
      <c r="B838" s="2" t="s">
        <v>238</v>
      </c>
      <c r="C838" s="2" t="s">
        <v>47</v>
      </c>
      <c r="D838" s="2" t="s">
        <v>50</v>
      </c>
      <c r="E838" s="2" t="s">
        <v>55</v>
      </c>
      <c r="F838" s="2" t="s">
        <v>18</v>
      </c>
      <c r="G838" s="1">
        <v>0</v>
      </c>
      <c r="H838" s="1">
        <v>497</v>
      </c>
      <c r="I838" s="2" t="s">
        <v>45</v>
      </c>
      <c r="J838" s="2" t="s">
        <v>20</v>
      </c>
      <c r="K838" s="1">
        <v>1708.24</v>
      </c>
      <c r="L838" s="3">
        <v>45629</v>
      </c>
    </row>
    <row r="839" spans="1:12" x14ac:dyDescent="0.25">
      <c r="A839" s="1">
        <v>101550</v>
      </c>
      <c r="B839" s="2" t="s">
        <v>230</v>
      </c>
      <c r="C839" s="2" t="s">
        <v>95</v>
      </c>
      <c r="D839" s="2" t="s">
        <v>50</v>
      </c>
      <c r="E839" s="2" t="s">
        <v>70</v>
      </c>
      <c r="F839" s="2" t="s">
        <v>25</v>
      </c>
      <c r="G839" s="1">
        <v>10</v>
      </c>
      <c r="H839" s="1">
        <v>818</v>
      </c>
      <c r="I839" s="2" t="s">
        <v>19</v>
      </c>
      <c r="J839" s="2" t="s">
        <v>33</v>
      </c>
      <c r="K839" s="1">
        <v>468.24</v>
      </c>
      <c r="L839" s="3">
        <v>45629</v>
      </c>
    </row>
    <row r="840" spans="1:12" x14ac:dyDescent="0.25">
      <c r="A840" s="1">
        <v>100498</v>
      </c>
      <c r="B840" s="2" t="s">
        <v>525</v>
      </c>
      <c r="C840" s="2" t="s">
        <v>58</v>
      </c>
      <c r="D840" s="2" t="s">
        <v>50</v>
      </c>
      <c r="E840" s="2" t="s">
        <v>17</v>
      </c>
      <c r="F840" s="2" t="s">
        <v>42</v>
      </c>
      <c r="G840" s="1">
        <v>45</v>
      </c>
      <c r="H840" s="1">
        <v>501</v>
      </c>
      <c r="I840" s="2" t="s">
        <v>32</v>
      </c>
      <c r="J840" s="2" t="s">
        <v>20</v>
      </c>
      <c r="K840" s="1">
        <v>425.15</v>
      </c>
      <c r="L840" s="3">
        <v>45629</v>
      </c>
    </row>
    <row r="841" spans="1:12" x14ac:dyDescent="0.25">
      <c r="A841" s="1">
        <v>100476</v>
      </c>
      <c r="B841" s="2" t="s">
        <v>621</v>
      </c>
      <c r="C841" s="2" t="s">
        <v>72</v>
      </c>
      <c r="D841" s="2" t="s">
        <v>50</v>
      </c>
      <c r="E841" s="2" t="s">
        <v>55</v>
      </c>
      <c r="F841" s="2" t="s">
        <v>42</v>
      </c>
      <c r="G841" s="1">
        <v>47</v>
      </c>
      <c r="H841" s="1">
        <v>377</v>
      </c>
      <c r="I841" s="2" t="s">
        <v>19</v>
      </c>
      <c r="J841" s="2" t="s">
        <v>20</v>
      </c>
      <c r="K841" s="1">
        <v>144.61000000000001</v>
      </c>
      <c r="L841" s="3">
        <v>45629</v>
      </c>
    </row>
    <row r="842" spans="1:12" x14ac:dyDescent="0.25">
      <c r="A842" s="1">
        <v>100061</v>
      </c>
      <c r="B842" s="2" t="s">
        <v>1042</v>
      </c>
      <c r="C842" s="2" t="s">
        <v>58</v>
      </c>
      <c r="D842" s="2" t="s">
        <v>50</v>
      </c>
      <c r="E842" s="2" t="s">
        <v>70</v>
      </c>
      <c r="F842" s="2" t="s">
        <v>18</v>
      </c>
      <c r="G842" s="1">
        <v>0</v>
      </c>
      <c r="H842" s="1">
        <v>578</v>
      </c>
      <c r="I842" s="2" t="s">
        <v>37</v>
      </c>
      <c r="J842" s="2" t="s">
        <v>20</v>
      </c>
      <c r="K842" s="1">
        <v>94.28</v>
      </c>
      <c r="L842" s="3">
        <v>45628</v>
      </c>
    </row>
    <row r="843" spans="1:12" x14ac:dyDescent="0.25">
      <c r="A843" s="1">
        <v>101871</v>
      </c>
      <c r="B843" s="2" t="s">
        <v>965</v>
      </c>
      <c r="C843" s="2" t="s">
        <v>110</v>
      </c>
      <c r="D843" s="2" t="s">
        <v>41</v>
      </c>
      <c r="E843" s="2" t="s">
        <v>70</v>
      </c>
      <c r="F843" s="2" t="s">
        <v>18</v>
      </c>
      <c r="G843" s="1" t="s">
        <v>35</v>
      </c>
      <c r="H843" s="1">
        <v>821</v>
      </c>
      <c r="I843" s="2" t="s">
        <v>32</v>
      </c>
      <c r="J843" s="2" t="s">
        <v>20</v>
      </c>
      <c r="K843" s="1">
        <v>834.04</v>
      </c>
      <c r="L843" s="3">
        <v>45627</v>
      </c>
    </row>
    <row r="844" spans="1:12" x14ac:dyDescent="0.25">
      <c r="A844" s="1">
        <v>100041</v>
      </c>
      <c r="B844" s="2" t="s">
        <v>196</v>
      </c>
      <c r="C844" s="2" t="s">
        <v>152</v>
      </c>
      <c r="D844" s="2" t="s">
        <v>16</v>
      </c>
      <c r="E844" s="2" t="s">
        <v>81</v>
      </c>
      <c r="F844" s="2" t="s">
        <v>42</v>
      </c>
      <c r="G844" s="1">
        <v>47</v>
      </c>
      <c r="H844" s="1">
        <v>405</v>
      </c>
      <c r="I844" s="2" t="s">
        <v>56</v>
      </c>
      <c r="J844" s="2" t="s">
        <v>33</v>
      </c>
      <c r="K844" s="1">
        <v>578.04999999999995</v>
      </c>
      <c r="L844" s="3">
        <v>45627</v>
      </c>
    </row>
    <row r="845" spans="1:12" x14ac:dyDescent="0.25">
      <c r="A845" s="1">
        <v>102085</v>
      </c>
      <c r="B845" s="2" t="s">
        <v>1091</v>
      </c>
      <c r="C845" s="2" t="s">
        <v>270</v>
      </c>
      <c r="D845" s="2" t="s">
        <v>50</v>
      </c>
      <c r="E845" s="2" t="s">
        <v>17</v>
      </c>
      <c r="F845" s="2" t="s">
        <v>18</v>
      </c>
      <c r="G845" s="1">
        <v>0</v>
      </c>
      <c r="H845" s="1">
        <v>817</v>
      </c>
      <c r="I845" s="2" t="s">
        <v>37</v>
      </c>
      <c r="J845" s="2" t="s">
        <v>20</v>
      </c>
      <c r="K845" s="1">
        <v>173.1</v>
      </c>
      <c r="L845" s="3">
        <v>45627</v>
      </c>
    </row>
    <row r="846" spans="1:12" x14ac:dyDescent="0.25">
      <c r="A846" s="1">
        <v>101052</v>
      </c>
      <c r="B846" s="2" t="s">
        <v>68</v>
      </c>
      <c r="C846" s="2" t="s">
        <v>52</v>
      </c>
      <c r="D846" s="2" t="s">
        <v>41</v>
      </c>
      <c r="E846" s="2" t="s">
        <v>70</v>
      </c>
      <c r="F846" s="2" t="s">
        <v>25</v>
      </c>
      <c r="G846" s="1">
        <v>19</v>
      </c>
      <c r="H846" s="1">
        <v>309</v>
      </c>
      <c r="I846" s="2" t="s">
        <v>37</v>
      </c>
      <c r="J846" s="2" t="s">
        <v>20</v>
      </c>
      <c r="K846" s="1">
        <v>772.23</v>
      </c>
      <c r="L846" s="3">
        <v>45626</v>
      </c>
    </row>
    <row r="847" spans="1:12" x14ac:dyDescent="0.25">
      <c r="A847" s="1">
        <v>100772</v>
      </c>
      <c r="B847" s="2" t="s">
        <v>794</v>
      </c>
      <c r="C847" s="2" t="s">
        <v>52</v>
      </c>
      <c r="D847" s="2" t="s">
        <v>64</v>
      </c>
      <c r="E847" s="2" t="s">
        <v>70</v>
      </c>
      <c r="F847" s="2" t="s">
        <v>18</v>
      </c>
      <c r="G847" s="1">
        <v>0</v>
      </c>
      <c r="H847" s="1">
        <v>733</v>
      </c>
      <c r="I847" s="2" t="s">
        <v>32</v>
      </c>
      <c r="J847" s="2" t="s">
        <v>33</v>
      </c>
      <c r="K847" s="1">
        <v>724.54</v>
      </c>
      <c r="L847" s="3">
        <v>45626</v>
      </c>
    </row>
    <row r="848" spans="1:12" x14ac:dyDescent="0.25">
      <c r="A848" s="1">
        <v>100464</v>
      </c>
      <c r="B848" s="2" t="s">
        <v>1036</v>
      </c>
      <c r="C848" s="2" t="s">
        <v>149</v>
      </c>
      <c r="D848" s="2" t="s">
        <v>16</v>
      </c>
      <c r="E848" s="2" t="s">
        <v>17</v>
      </c>
      <c r="F848" s="2" t="s">
        <v>25</v>
      </c>
      <c r="G848" s="1">
        <v>1</v>
      </c>
      <c r="H848" s="1">
        <v>358</v>
      </c>
      <c r="I848" s="2" t="s">
        <v>19</v>
      </c>
      <c r="J848" s="2" t="s">
        <v>33</v>
      </c>
      <c r="K848" s="1">
        <v>832.26</v>
      </c>
      <c r="L848" s="3">
        <v>45625</v>
      </c>
    </row>
    <row r="849" spans="1:12" x14ac:dyDescent="0.25">
      <c r="A849" s="1">
        <v>101740</v>
      </c>
      <c r="B849" s="2" t="s">
        <v>545</v>
      </c>
      <c r="C849" s="2" t="s">
        <v>126</v>
      </c>
      <c r="D849" s="2" t="s">
        <v>16</v>
      </c>
      <c r="E849" s="2" t="s">
        <v>81</v>
      </c>
      <c r="F849" s="2" t="s">
        <v>18</v>
      </c>
      <c r="G849" s="1">
        <v>0</v>
      </c>
      <c r="H849" s="1">
        <v>494</v>
      </c>
      <c r="I849" s="2" t="s">
        <v>37</v>
      </c>
      <c r="J849" s="2" t="s">
        <v>33</v>
      </c>
      <c r="K849" s="1">
        <v>466.41</v>
      </c>
      <c r="L849" s="3">
        <v>45625</v>
      </c>
    </row>
    <row r="850" spans="1:12" x14ac:dyDescent="0.25">
      <c r="A850" s="1">
        <v>101340</v>
      </c>
      <c r="B850" s="2" t="s">
        <v>474</v>
      </c>
      <c r="C850" s="2" t="s">
        <v>270</v>
      </c>
      <c r="D850" s="2" t="s">
        <v>16</v>
      </c>
      <c r="E850" s="2" t="s">
        <v>55</v>
      </c>
      <c r="F850" s="2" t="s">
        <v>18</v>
      </c>
      <c r="G850" s="1">
        <v>0</v>
      </c>
      <c r="H850" s="1">
        <v>483</v>
      </c>
      <c r="I850" s="2" t="s">
        <v>19</v>
      </c>
      <c r="J850" s="2" t="s">
        <v>33</v>
      </c>
      <c r="K850" s="1">
        <v>353.34</v>
      </c>
      <c r="L850" s="3">
        <v>45625</v>
      </c>
    </row>
    <row r="851" spans="1:12" x14ac:dyDescent="0.25">
      <c r="A851" s="1">
        <v>100460</v>
      </c>
      <c r="B851" s="2" t="s">
        <v>61</v>
      </c>
      <c r="C851" s="2" t="s">
        <v>62</v>
      </c>
      <c r="D851" s="2" t="s">
        <v>106</v>
      </c>
      <c r="E851" s="2" t="s">
        <v>17</v>
      </c>
      <c r="F851" s="2" t="s">
        <v>18</v>
      </c>
      <c r="G851" s="1">
        <v>0</v>
      </c>
      <c r="H851" s="1">
        <v>542</v>
      </c>
      <c r="I851" s="2" t="s">
        <v>37</v>
      </c>
      <c r="J851" s="2" t="s">
        <v>26</v>
      </c>
      <c r="K851" s="1">
        <v>240.07</v>
      </c>
      <c r="L851" s="3">
        <v>45625</v>
      </c>
    </row>
    <row r="852" spans="1:12" x14ac:dyDescent="0.25">
      <c r="A852" s="1">
        <v>100503</v>
      </c>
      <c r="B852" s="2" t="s">
        <v>286</v>
      </c>
      <c r="C852" s="2" t="s">
        <v>168</v>
      </c>
      <c r="D852" s="2" t="s">
        <v>16</v>
      </c>
      <c r="E852" s="2" t="s">
        <v>60</v>
      </c>
      <c r="F852" s="2" t="s">
        <v>18</v>
      </c>
      <c r="G852" s="1">
        <v>0</v>
      </c>
      <c r="H852" s="1">
        <v>434</v>
      </c>
      <c r="I852" s="2" t="s">
        <v>56</v>
      </c>
      <c r="J852" s="2" t="s">
        <v>20</v>
      </c>
      <c r="K852" s="1">
        <v>224.1</v>
      </c>
      <c r="L852" s="3">
        <v>45625</v>
      </c>
    </row>
    <row r="853" spans="1:12" x14ac:dyDescent="0.25">
      <c r="A853" s="1">
        <v>101968</v>
      </c>
      <c r="B853" s="2" t="s">
        <v>376</v>
      </c>
      <c r="C853" s="2" t="s">
        <v>22</v>
      </c>
      <c r="D853" s="2" t="s">
        <v>64</v>
      </c>
      <c r="E853" s="2" t="s">
        <v>17</v>
      </c>
      <c r="F853" s="2" t="s">
        <v>18</v>
      </c>
      <c r="G853" s="1">
        <v>0</v>
      </c>
      <c r="H853" s="1">
        <v>340</v>
      </c>
      <c r="I853" s="2" t="s">
        <v>32</v>
      </c>
      <c r="J853" s="2" t="s">
        <v>33</v>
      </c>
      <c r="K853" s="1">
        <v>1409.44</v>
      </c>
      <c r="L853" s="3">
        <v>45624</v>
      </c>
    </row>
    <row r="854" spans="1:12" x14ac:dyDescent="0.25">
      <c r="A854" s="1">
        <v>101313</v>
      </c>
      <c r="B854" s="2" t="s">
        <v>1402</v>
      </c>
      <c r="C854" s="2" t="s">
        <v>35</v>
      </c>
      <c r="D854" s="2" t="s">
        <v>50</v>
      </c>
      <c r="E854" s="2" t="s">
        <v>81</v>
      </c>
      <c r="F854" s="2" t="s">
        <v>18</v>
      </c>
      <c r="G854" s="1">
        <v>0</v>
      </c>
      <c r="H854" s="1">
        <v>588</v>
      </c>
      <c r="I854" s="2" t="s">
        <v>56</v>
      </c>
      <c r="J854" s="2" t="s">
        <v>20</v>
      </c>
      <c r="K854" s="1">
        <v>669.89</v>
      </c>
      <c r="L854" s="3">
        <v>45624</v>
      </c>
    </row>
    <row r="855" spans="1:12" x14ac:dyDescent="0.25">
      <c r="A855" s="1">
        <v>101345</v>
      </c>
      <c r="B855" s="2" t="s">
        <v>443</v>
      </c>
      <c r="C855" s="2" t="s">
        <v>35</v>
      </c>
      <c r="D855" s="2" t="s">
        <v>64</v>
      </c>
      <c r="E855" s="2" t="s">
        <v>60</v>
      </c>
      <c r="F855" s="2" t="s">
        <v>25</v>
      </c>
      <c r="G855" s="1">
        <v>22</v>
      </c>
      <c r="H855" s="1">
        <v>309</v>
      </c>
      <c r="I855" s="2" t="s">
        <v>45</v>
      </c>
      <c r="J855" s="2" t="s">
        <v>26</v>
      </c>
      <c r="K855" s="1">
        <v>577.65</v>
      </c>
      <c r="L855" s="3">
        <v>45624</v>
      </c>
    </row>
    <row r="856" spans="1:12" x14ac:dyDescent="0.25">
      <c r="A856" s="1">
        <v>102155</v>
      </c>
      <c r="B856" s="2" t="s">
        <v>243</v>
      </c>
      <c r="C856" s="2" t="s">
        <v>244</v>
      </c>
      <c r="D856" s="2" t="s">
        <v>41</v>
      </c>
      <c r="E856" s="2" t="s">
        <v>78</v>
      </c>
      <c r="F856" s="2" t="s">
        <v>18</v>
      </c>
      <c r="G856" s="1">
        <v>0</v>
      </c>
      <c r="H856" s="1">
        <v>729</v>
      </c>
      <c r="I856" s="2" t="s">
        <v>56</v>
      </c>
      <c r="J856" s="2" t="s">
        <v>33</v>
      </c>
      <c r="K856" s="1">
        <v>536.82000000000005</v>
      </c>
      <c r="L856" s="3">
        <v>45624</v>
      </c>
    </row>
    <row r="857" spans="1:12" x14ac:dyDescent="0.25">
      <c r="A857" s="1">
        <v>101614</v>
      </c>
      <c r="B857" s="2" t="s">
        <v>222</v>
      </c>
      <c r="C857" s="2" t="s">
        <v>100</v>
      </c>
      <c r="D857" s="2" t="s">
        <v>16</v>
      </c>
      <c r="E857" s="2" t="s">
        <v>70</v>
      </c>
      <c r="F857" s="2" t="s">
        <v>18</v>
      </c>
      <c r="G857" s="1">
        <v>0</v>
      </c>
      <c r="H857" s="1">
        <v>585</v>
      </c>
      <c r="I857" s="2" t="s">
        <v>45</v>
      </c>
      <c r="J857" s="2" t="s">
        <v>20</v>
      </c>
      <c r="K857" s="1">
        <v>243.69</v>
      </c>
      <c r="L857" s="3">
        <v>45624</v>
      </c>
    </row>
    <row r="858" spans="1:12" x14ac:dyDescent="0.25">
      <c r="A858" s="1">
        <v>101806</v>
      </c>
      <c r="B858" s="2" t="s">
        <v>84</v>
      </c>
      <c r="C858" s="2" t="s">
        <v>85</v>
      </c>
      <c r="D858" s="2" t="s">
        <v>106</v>
      </c>
      <c r="E858" s="2" t="s">
        <v>60</v>
      </c>
      <c r="F858" s="2" t="s">
        <v>18</v>
      </c>
      <c r="G858" s="1">
        <v>0</v>
      </c>
      <c r="H858" s="1">
        <v>400</v>
      </c>
      <c r="I858" s="2" t="s">
        <v>32</v>
      </c>
      <c r="J858" s="2" t="s">
        <v>20</v>
      </c>
      <c r="K858" s="1">
        <v>162.56</v>
      </c>
      <c r="L858" s="3">
        <v>45624</v>
      </c>
    </row>
    <row r="859" spans="1:12" x14ac:dyDescent="0.25">
      <c r="A859" s="1">
        <v>101507</v>
      </c>
      <c r="B859" s="2" t="s">
        <v>186</v>
      </c>
      <c r="C859" s="2" t="s">
        <v>187</v>
      </c>
      <c r="D859" s="2" t="s">
        <v>106</v>
      </c>
      <c r="E859" s="2" t="s">
        <v>60</v>
      </c>
      <c r="F859" s="2" t="s">
        <v>18</v>
      </c>
      <c r="G859" s="1">
        <v>0</v>
      </c>
      <c r="H859" s="1">
        <v>709</v>
      </c>
      <c r="I859" s="2" t="s">
        <v>45</v>
      </c>
      <c r="J859" s="2" t="s">
        <v>33</v>
      </c>
      <c r="K859" s="1">
        <v>664.12</v>
      </c>
      <c r="L859" s="3">
        <v>45623</v>
      </c>
    </row>
    <row r="860" spans="1:12" x14ac:dyDescent="0.25">
      <c r="A860" s="1">
        <v>101536</v>
      </c>
      <c r="B860" s="2" t="s">
        <v>349</v>
      </c>
      <c r="C860" s="2" t="s">
        <v>28</v>
      </c>
      <c r="D860" s="2" t="s">
        <v>50</v>
      </c>
      <c r="E860" s="2" t="s">
        <v>70</v>
      </c>
      <c r="F860" s="2" t="s">
        <v>18</v>
      </c>
      <c r="G860" s="1">
        <v>0</v>
      </c>
      <c r="H860" s="1">
        <v>708</v>
      </c>
      <c r="I860" s="2" t="s">
        <v>19</v>
      </c>
      <c r="J860" s="2" t="s">
        <v>20</v>
      </c>
      <c r="K860" s="1">
        <v>513.59</v>
      </c>
      <c r="L860" s="3">
        <v>45623</v>
      </c>
    </row>
    <row r="861" spans="1:12" x14ac:dyDescent="0.25">
      <c r="A861" s="1">
        <v>101255</v>
      </c>
      <c r="B861" s="2" t="s">
        <v>625</v>
      </c>
      <c r="C861" s="2" t="s">
        <v>152</v>
      </c>
      <c r="D861" s="2" t="s">
        <v>106</v>
      </c>
      <c r="E861" s="2" t="s">
        <v>81</v>
      </c>
      <c r="F861" s="2" t="s">
        <v>18</v>
      </c>
      <c r="G861" s="1">
        <v>0</v>
      </c>
      <c r="H861" s="1">
        <v>678</v>
      </c>
      <c r="I861" s="2" t="s">
        <v>37</v>
      </c>
      <c r="J861" s="2" t="s">
        <v>26</v>
      </c>
      <c r="K861" s="1">
        <v>103.54</v>
      </c>
      <c r="L861" s="3">
        <v>45623</v>
      </c>
    </row>
    <row r="862" spans="1:12" x14ac:dyDescent="0.25">
      <c r="A862" s="1">
        <v>100278</v>
      </c>
      <c r="B862" s="2" t="s">
        <v>113</v>
      </c>
      <c r="C862" s="2" t="s">
        <v>95</v>
      </c>
      <c r="D862" s="2" t="s">
        <v>50</v>
      </c>
      <c r="E862" s="2" t="s">
        <v>81</v>
      </c>
      <c r="F862" s="2" t="s">
        <v>25</v>
      </c>
      <c r="G862" s="1">
        <v>21</v>
      </c>
      <c r="H862" s="1">
        <v>657</v>
      </c>
      <c r="I862" s="2" t="s">
        <v>19</v>
      </c>
      <c r="J862" s="2" t="s">
        <v>20</v>
      </c>
      <c r="K862" s="1">
        <v>796.71</v>
      </c>
      <c r="L862" s="3">
        <v>45622</v>
      </c>
    </row>
    <row r="863" spans="1:12" x14ac:dyDescent="0.25">
      <c r="A863" s="1">
        <v>101398</v>
      </c>
      <c r="B863" s="2" t="s">
        <v>399</v>
      </c>
      <c r="C863" s="2" t="s">
        <v>187</v>
      </c>
      <c r="D863" s="2" t="s">
        <v>64</v>
      </c>
      <c r="E863" s="2" t="s">
        <v>55</v>
      </c>
      <c r="F863" s="2" t="s">
        <v>25</v>
      </c>
      <c r="G863" s="1">
        <v>25</v>
      </c>
      <c r="H863" s="1">
        <v>370</v>
      </c>
      <c r="I863" s="2" t="s">
        <v>45</v>
      </c>
      <c r="J863" s="2" t="s">
        <v>26</v>
      </c>
      <c r="K863" s="1">
        <v>744.46</v>
      </c>
      <c r="L863" s="3">
        <v>45622</v>
      </c>
    </row>
    <row r="864" spans="1:12" x14ac:dyDescent="0.25">
      <c r="A864" s="1">
        <v>100749</v>
      </c>
      <c r="B864" s="2" t="s">
        <v>940</v>
      </c>
      <c r="C864" s="2" t="s">
        <v>52</v>
      </c>
      <c r="D864" s="2" t="s">
        <v>64</v>
      </c>
      <c r="E864" s="2" t="s">
        <v>60</v>
      </c>
      <c r="F864" s="2" t="s">
        <v>18</v>
      </c>
      <c r="G864" s="1">
        <v>0</v>
      </c>
      <c r="H864" s="1">
        <v>640</v>
      </c>
      <c r="I864" s="2" t="s">
        <v>32</v>
      </c>
      <c r="J864" s="2" t="s">
        <v>20</v>
      </c>
      <c r="K864" s="1">
        <v>352.11</v>
      </c>
      <c r="L864" s="3">
        <v>45622</v>
      </c>
    </row>
    <row r="865" spans="1:12" x14ac:dyDescent="0.25">
      <c r="A865" s="1">
        <v>101615</v>
      </c>
      <c r="B865" s="2" t="s">
        <v>230</v>
      </c>
      <c r="C865" s="2" t="s">
        <v>95</v>
      </c>
      <c r="D865" s="2" t="s">
        <v>16</v>
      </c>
      <c r="E865" s="2" t="s">
        <v>70</v>
      </c>
      <c r="F865" s="2" t="s">
        <v>18</v>
      </c>
      <c r="G865" s="1">
        <v>0</v>
      </c>
      <c r="H865" s="1">
        <v>818</v>
      </c>
      <c r="I865" s="2" t="s">
        <v>56</v>
      </c>
      <c r="J865" s="2" t="s">
        <v>33</v>
      </c>
      <c r="K865" s="1">
        <v>127.67</v>
      </c>
      <c r="L865" s="3">
        <v>45622</v>
      </c>
    </row>
    <row r="866" spans="1:12" x14ac:dyDescent="0.25">
      <c r="A866" s="1">
        <v>100802</v>
      </c>
      <c r="B866" s="2" t="s">
        <v>325</v>
      </c>
      <c r="C866" s="2" t="s">
        <v>126</v>
      </c>
      <c r="D866" s="2" t="s">
        <v>106</v>
      </c>
      <c r="E866" s="2" t="s">
        <v>31</v>
      </c>
      <c r="F866" s="2" t="s">
        <v>83</v>
      </c>
      <c r="G866" s="1">
        <v>0</v>
      </c>
      <c r="H866" s="1">
        <v>570</v>
      </c>
      <c r="I866" s="2" t="s">
        <v>32</v>
      </c>
      <c r="J866" s="2" t="s">
        <v>20</v>
      </c>
      <c r="K866" s="1">
        <v>619.73</v>
      </c>
      <c r="L866" s="3">
        <v>45621</v>
      </c>
    </row>
    <row r="867" spans="1:12" x14ac:dyDescent="0.25">
      <c r="A867" s="1">
        <v>101510</v>
      </c>
      <c r="B867" s="2" t="s">
        <v>319</v>
      </c>
      <c r="C867" s="2" t="s">
        <v>100</v>
      </c>
      <c r="D867" s="2" t="s">
        <v>64</v>
      </c>
      <c r="E867" s="2" t="s">
        <v>70</v>
      </c>
      <c r="F867" s="2" t="s">
        <v>18</v>
      </c>
      <c r="G867" s="1">
        <v>0</v>
      </c>
      <c r="H867" s="1">
        <v>411</v>
      </c>
      <c r="I867" s="2" t="s">
        <v>45</v>
      </c>
      <c r="J867" s="2" t="s">
        <v>26</v>
      </c>
      <c r="K867" s="1">
        <v>237.26499999999999</v>
      </c>
      <c r="L867" s="3">
        <v>45621</v>
      </c>
    </row>
    <row r="868" spans="1:12" x14ac:dyDescent="0.25">
      <c r="A868" s="1">
        <v>101011</v>
      </c>
      <c r="B868" s="2" t="s">
        <v>621</v>
      </c>
      <c r="C868" s="2" t="s">
        <v>72</v>
      </c>
      <c r="D868" s="2" t="s">
        <v>50</v>
      </c>
      <c r="E868" s="2" t="s">
        <v>35</v>
      </c>
      <c r="F868" s="2" t="s">
        <v>18</v>
      </c>
      <c r="G868" s="1">
        <v>0</v>
      </c>
      <c r="H868" s="1">
        <v>377</v>
      </c>
      <c r="I868" s="2" t="s">
        <v>56</v>
      </c>
      <c r="J868" s="2" t="s">
        <v>26</v>
      </c>
      <c r="K868" s="1">
        <v>182.92</v>
      </c>
      <c r="L868" s="3">
        <v>45621</v>
      </c>
    </row>
    <row r="869" spans="1:12" x14ac:dyDescent="0.25">
      <c r="A869" s="1">
        <v>101826</v>
      </c>
      <c r="B869" s="2" t="s">
        <v>367</v>
      </c>
      <c r="C869" s="2" t="s">
        <v>103</v>
      </c>
      <c r="D869" s="2" t="s">
        <v>50</v>
      </c>
      <c r="E869" s="2" t="s">
        <v>17</v>
      </c>
      <c r="F869" s="2" t="s">
        <v>83</v>
      </c>
      <c r="G869" s="1">
        <v>0</v>
      </c>
      <c r="H869" s="1">
        <v>621</v>
      </c>
      <c r="I869" s="2" t="s">
        <v>19</v>
      </c>
      <c r="J869" s="2" t="s">
        <v>33</v>
      </c>
      <c r="K869" s="1">
        <v>819.52</v>
      </c>
      <c r="L869" s="3">
        <v>45620</v>
      </c>
    </row>
    <row r="870" spans="1:12" x14ac:dyDescent="0.25">
      <c r="A870" s="1">
        <v>101046</v>
      </c>
      <c r="B870" s="2" t="s">
        <v>409</v>
      </c>
      <c r="C870" s="2" t="s">
        <v>187</v>
      </c>
      <c r="D870" s="2" t="s">
        <v>106</v>
      </c>
      <c r="E870" s="2" t="s">
        <v>55</v>
      </c>
      <c r="F870" s="2" t="s">
        <v>83</v>
      </c>
      <c r="G870" s="1">
        <v>0</v>
      </c>
      <c r="H870" s="1">
        <v>694</v>
      </c>
      <c r="I870" s="2" t="s">
        <v>32</v>
      </c>
      <c r="J870" s="2" t="s">
        <v>33</v>
      </c>
      <c r="K870" s="1">
        <v>769.68</v>
      </c>
      <c r="L870" s="3">
        <v>45620</v>
      </c>
    </row>
    <row r="871" spans="1:12" x14ac:dyDescent="0.25">
      <c r="A871" s="1">
        <v>101861</v>
      </c>
      <c r="B871" s="2" t="s">
        <v>431</v>
      </c>
      <c r="C871" s="2" t="s">
        <v>28</v>
      </c>
      <c r="D871" s="2" t="s">
        <v>106</v>
      </c>
      <c r="E871" s="2" t="s">
        <v>17</v>
      </c>
      <c r="F871" s="2" t="s">
        <v>25</v>
      </c>
      <c r="G871" s="1">
        <v>30</v>
      </c>
      <c r="H871" s="1">
        <v>691</v>
      </c>
      <c r="I871" s="2" t="s">
        <v>45</v>
      </c>
      <c r="J871" s="2" t="s">
        <v>33</v>
      </c>
      <c r="K871" s="1">
        <v>461.74</v>
      </c>
      <c r="L871" s="3">
        <v>45620</v>
      </c>
    </row>
    <row r="872" spans="1:12" x14ac:dyDescent="0.25">
      <c r="A872" s="1">
        <v>102140</v>
      </c>
      <c r="B872" s="2" t="s">
        <v>840</v>
      </c>
      <c r="C872" s="2" t="s">
        <v>187</v>
      </c>
      <c r="D872" s="2" t="s">
        <v>16</v>
      </c>
      <c r="E872" s="2" t="s">
        <v>60</v>
      </c>
      <c r="F872" s="2" t="s">
        <v>18</v>
      </c>
      <c r="G872" s="1">
        <v>0</v>
      </c>
      <c r="H872" s="1">
        <v>519</v>
      </c>
      <c r="I872" s="2" t="s">
        <v>45</v>
      </c>
      <c r="J872" s="2" t="s">
        <v>20</v>
      </c>
      <c r="K872" s="1">
        <v>290.2</v>
      </c>
      <c r="L872" s="3">
        <v>45620</v>
      </c>
    </row>
    <row r="873" spans="1:12" x14ac:dyDescent="0.25">
      <c r="A873" s="1">
        <v>100673</v>
      </c>
      <c r="B873" s="2" t="s">
        <v>1175</v>
      </c>
      <c r="C873" s="2" t="s">
        <v>142</v>
      </c>
      <c r="D873" s="2" t="s">
        <v>50</v>
      </c>
      <c r="E873" s="2" t="s">
        <v>31</v>
      </c>
      <c r="F873" s="2" t="s">
        <v>83</v>
      </c>
      <c r="G873" s="1">
        <v>0</v>
      </c>
      <c r="H873" s="1">
        <v>573</v>
      </c>
      <c r="I873" s="2" t="s">
        <v>45</v>
      </c>
      <c r="J873" s="2" t="s">
        <v>26</v>
      </c>
      <c r="K873" s="1">
        <v>146.80000000000001</v>
      </c>
      <c r="L873" s="3">
        <v>45620</v>
      </c>
    </row>
    <row r="874" spans="1:12" x14ac:dyDescent="0.25">
      <c r="A874" s="1">
        <v>100162</v>
      </c>
      <c r="B874" s="2" t="s">
        <v>299</v>
      </c>
      <c r="C874" s="2" t="s">
        <v>22</v>
      </c>
      <c r="D874" s="2" t="s">
        <v>41</v>
      </c>
      <c r="E874" s="2" t="s">
        <v>70</v>
      </c>
      <c r="F874" s="2" t="s">
        <v>83</v>
      </c>
      <c r="G874" s="1">
        <v>0</v>
      </c>
      <c r="H874" s="1">
        <v>855</v>
      </c>
      <c r="I874" s="2" t="s">
        <v>19</v>
      </c>
      <c r="J874" s="2" t="s">
        <v>33</v>
      </c>
      <c r="K874" s="1">
        <v>829.69</v>
      </c>
      <c r="L874" s="3">
        <v>45619</v>
      </c>
    </row>
    <row r="875" spans="1:12" x14ac:dyDescent="0.25">
      <c r="A875" s="1">
        <v>102074</v>
      </c>
      <c r="B875" s="2" t="s">
        <v>255</v>
      </c>
      <c r="C875" s="2" t="s">
        <v>52</v>
      </c>
      <c r="D875" s="2" t="s">
        <v>50</v>
      </c>
      <c r="E875" s="2" t="s">
        <v>31</v>
      </c>
      <c r="F875" s="2" t="s">
        <v>25</v>
      </c>
      <c r="G875" s="1">
        <v>23</v>
      </c>
      <c r="H875" s="1">
        <v>639</v>
      </c>
      <c r="I875" s="2" t="s">
        <v>45</v>
      </c>
      <c r="J875" s="2" t="s">
        <v>33</v>
      </c>
      <c r="K875" s="1">
        <v>379.05</v>
      </c>
      <c r="L875" s="3">
        <v>45619</v>
      </c>
    </row>
    <row r="876" spans="1:12" x14ac:dyDescent="0.25">
      <c r="A876" s="1">
        <v>101865</v>
      </c>
      <c r="B876" s="2" t="s">
        <v>118</v>
      </c>
      <c r="C876" s="2" t="s">
        <v>62</v>
      </c>
      <c r="D876" s="2" t="s">
        <v>106</v>
      </c>
      <c r="E876" s="2" t="s">
        <v>17</v>
      </c>
      <c r="F876" s="2" t="s">
        <v>18</v>
      </c>
      <c r="G876" s="1">
        <v>0</v>
      </c>
      <c r="H876" s="1">
        <v>463</v>
      </c>
      <c r="I876" s="2" t="s">
        <v>37</v>
      </c>
      <c r="J876" s="2" t="s">
        <v>26</v>
      </c>
      <c r="K876" s="1">
        <v>59.75</v>
      </c>
      <c r="L876" s="3">
        <v>45619</v>
      </c>
    </row>
    <row r="877" spans="1:12" x14ac:dyDescent="0.25">
      <c r="A877" s="1">
        <v>100760</v>
      </c>
      <c r="B877" s="2" t="s">
        <v>890</v>
      </c>
      <c r="C877" s="2" t="s">
        <v>149</v>
      </c>
      <c r="D877" s="2" t="s">
        <v>64</v>
      </c>
      <c r="E877" s="2" t="s">
        <v>78</v>
      </c>
      <c r="F877" s="2" t="s">
        <v>18</v>
      </c>
      <c r="G877" s="1">
        <v>0</v>
      </c>
      <c r="H877" s="1">
        <v>733</v>
      </c>
      <c r="I877" s="2" t="s">
        <v>45</v>
      </c>
      <c r="J877" s="2" t="s">
        <v>26</v>
      </c>
      <c r="K877" s="1">
        <v>627.79999999999995</v>
      </c>
      <c r="L877" s="3">
        <v>45618</v>
      </c>
    </row>
    <row r="878" spans="1:12" x14ac:dyDescent="0.25">
      <c r="A878" s="1">
        <v>101441</v>
      </c>
      <c r="B878" s="2" t="s">
        <v>360</v>
      </c>
      <c r="C878" s="2" t="s">
        <v>149</v>
      </c>
      <c r="D878" s="2" t="s">
        <v>16</v>
      </c>
      <c r="E878" s="2" t="s">
        <v>31</v>
      </c>
      <c r="F878" s="2" t="s">
        <v>18</v>
      </c>
      <c r="G878" s="1">
        <v>0</v>
      </c>
      <c r="H878" s="1">
        <v>621</v>
      </c>
      <c r="I878" s="2" t="s">
        <v>37</v>
      </c>
      <c r="J878" s="2" t="s">
        <v>33</v>
      </c>
      <c r="K878" s="1">
        <v>288.51</v>
      </c>
      <c r="L878" s="3">
        <v>45618</v>
      </c>
    </row>
    <row r="879" spans="1:12" x14ac:dyDescent="0.25">
      <c r="A879" s="1">
        <v>100093</v>
      </c>
      <c r="B879" s="2" t="s">
        <v>43</v>
      </c>
      <c r="C879" s="2" t="s">
        <v>22</v>
      </c>
      <c r="D879" s="2" t="s">
        <v>50</v>
      </c>
      <c r="E879" s="2" t="s">
        <v>17</v>
      </c>
      <c r="F879" s="2" t="s">
        <v>25</v>
      </c>
      <c r="G879" s="1">
        <v>13</v>
      </c>
      <c r="H879" s="1">
        <v>396</v>
      </c>
      <c r="I879" s="2" t="s">
        <v>37</v>
      </c>
      <c r="J879" s="2" t="s">
        <v>33</v>
      </c>
      <c r="K879" s="1">
        <v>194.98</v>
      </c>
      <c r="L879" s="3">
        <v>45618</v>
      </c>
    </row>
    <row r="880" spans="1:12" x14ac:dyDescent="0.25">
      <c r="A880" s="1">
        <v>101375</v>
      </c>
      <c r="B880" s="2" t="s">
        <v>382</v>
      </c>
      <c r="C880" s="2" t="s">
        <v>152</v>
      </c>
      <c r="D880" s="2" t="s">
        <v>64</v>
      </c>
      <c r="E880" s="2" t="s">
        <v>81</v>
      </c>
      <c r="F880" s="2" t="s">
        <v>18</v>
      </c>
      <c r="G880" s="1">
        <v>0</v>
      </c>
      <c r="H880" s="1">
        <v>797</v>
      </c>
      <c r="I880" s="2" t="s">
        <v>19</v>
      </c>
      <c r="J880" s="2" t="s">
        <v>26</v>
      </c>
      <c r="K880" s="1">
        <v>181.07</v>
      </c>
      <c r="L880" s="3">
        <v>45618</v>
      </c>
    </row>
    <row r="881" spans="1:12" x14ac:dyDescent="0.25">
      <c r="A881" s="1">
        <v>100469</v>
      </c>
      <c r="B881" s="2" t="s">
        <v>303</v>
      </c>
      <c r="C881" s="2" t="s">
        <v>187</v>
      </c>
      <c r="D881" s="2" t="s">
        <v>50</v>
      </c>
      <c r="E881" s="2" t="s">
        <v>55</v>
      </c>
      <c r="F881" s="2" t="s">
        <v>25</v>
      </c>
      <c r="G881" s="1">
        <v>21</v>
      </c>
      <c r="H881" s="1">
        <v>800</v>
      </c>
      <c r="I881" s="2" t="s">
        <v>32</v>
      </c>
      <c r="J881" s="2" t="s">
        <v>26</v>
      </c>
      <c r="K881" s="1">
        <v>672.05</v>
      </c>
      <c r="L881" s="3">
        <v>45617</v>
      </c>
    </row>
    <row r="882" spans="1:12" x14ac:dyDescent="0.25">
      <c r="A882" s="1">
        <v>101555</v>
      </c>
      <c r="B882" s="2" t="s">
        <v>474</v>
      </c>
      <c r="C882" s="2" t="s">
        <v>270</v>
      </c>
      <c r="D882" s="2" t="s">
        <v>16</v>
      </c>
      <c r="E882" s="2" t="s">
        <v>81</v>
      </c>
      <c r="F882" s="2" t="s">
        <v>18</v>
      </c>
      <c r="G882" s="1">
        <v>0</v>
      </c>
      <c r="H882" s="1">
        <v>483</v>
      </c>
      <c r="I882" s="2" t="s">
        <v>56</v>
      </c>
      <c r="J882" s="2" t="s">
        <v>26</v>
      </c>
      <c r="K882" s="1">
        <v>504.61</v>
      </c>
      <c r="L882" s="3">
        <v>45617</v>
      </c>
    </row>
    <row r="883" spans="1:12" x14ac:dyDescent="0.25">
      <c r="A883" s="1">
        <v>101490</v>
      </c>
      <c r="B883" s="2" t="s">
        <v>177</v>
      </c>
      <c r="C883" s="2" t="s">
        <v>85</v>
      </c>
      <c r="D883" s="2" t="s">
        <v>50</v>
      </c>
      <c r="E883" s="2" t="s">
        <v>60</v>
      </c>
      <c r="F883" s="2" t="s">
        <v>25</v>
      </c>
      <c r="G883" s="1">
        <v>22</v>
      </c>
      <c r="H883" s="1">
        <v>375</v>
      </c>
      <c r="I883" s="2" t="s">
        <v>19</v>
      </c>
      <c r="J883" s="2" t="s">
        <v>33</v>
      </c>
      <c r="K883" s="1">
        <v>429.53</v>
      </c>
      <c r="L883" s="3">
        <v>45617</v>
      </c>
    </row>
    <row r="884" spans="1:12" x14ac:dyDescent="0.25">
      <c r="A884" s="1">
        <v>100741</v>
      </c>
      <c r="B884" s="2" t="s">
        <v>986</v>
      </c>
      <c r="C884" s="2" t="s">
        <v>28</v>
      </c>
      <c r="D884" s="2" t="s">
        <v>16</v>
      </c>
      <c r="E884" s="2" t="s">
        <v>81</v>
      </c>
      <c r="F884" s="2" t="s">
        <v>18</v>
      </c>
      <c r="G884" s="1">
        <v>0</v>
      </c>
      <c r="H884" s="1">
        <v>459</v>
      </c>
      <c r="I884" s="2" t="s">
        <v>45</v>
      </c>
      <c r="J884" s="2" t="s">
        <v>20</v>
      </c>
      <c r="K884" s="1">
        <v>329.88</v>
      </c>
      <c r="L884" s="3">
        <v>45617</v>
      </c>
    </row>
    <row r="885" spans="1:12" x14ac:dyDescent="0.25">
      <c r="A885" s="1">
        <v>100746</v>
      </c>
      <c r="B885" s="2" t="s">
        <v>286</v>
      </c>
      <c r="C885" s="2" t="s">
        <v>168</v>
      </c>
      <c r="D885" s="2" t="s">
        <v>106</v>
      </c>
      <c r="E885" s="2" t="s">
        <v>31</v>
      </c>
      <c r="F885" s="2" t="s">
        <v>25</v>
      </c>
      <c r="G885" s="1">
        <v>8</v>
      </c>
      <c r="H885" s="1">
        <v>434</v>
      </c>
      <c r="I885" s="2" t="s">
        <v>56</v>
      </c>
      <c r="J885" s="2" t="s">
        <v>35</v>
      </c>
      <c r="K885" s="1">
        <v>292.08</v>
      </c>
      <c r="L885" s="3">
        <v>45617</v>
      </c>
    </row>
    <row r="886" spans="1:12" x14ac:dyDescent="0.25">
      <c r="A886" s="1">
        <v>101174</v>
      </c>
      <c r="B886" s="2" t="s">
        <v>352</v>
      </c>
      <c r="C886" s="2" t="s">
        <v>85</v>
      </c>
      <c r="D886" s="2" t="s">
        <v>16</v>
      </c>
      <c r="E886" s="2" t="s">
        <v>70</v>
      </c>
      <c r="F886" s="2" t="s">
        <v>18</v>
      </c>
      <c r="G886" s="1">
        <v>0</v>
      </c>
      <c r="H886" s="1">
        <v>778</v>
      </c>
      <c r="I886" s="2" t="s">
        <v>45</v>
      </c>
      <c r="J886" s="2" t="s">
        <v>20</v>
      </c>
      <c r="K886" s="1">
        <v>923.51</v>
      </c>
      <c r="L886" s="3">
        <v>45616</v>
      </c>
    </row>
    <row r="887" spans="1:12" x14ac:dyDescent="0.25">
      <c r="A887" s="1">
        <v>100377</v>
      </c>
      <c r="B887" s="2" t="s">
        <v>207</v>
      </c>
      <c r="C887" s="2" t="s">
        <v>103</v>
      </c>
      <c r="D887" s="2" t="s">
        <v>50</v>
      </c>
      <c r="E887" s="2" t="s">
        <v>70</v>
      </c>
      <c r="F887" s="2" t="s">
        <v>18</v>
      </c>
      <c r="G887" s="1">
        <v>0</v>
      </c>
      <c r="H887" s="1">
        <v>360</v>
      </c>
      <c r="I887" s="2" t="s">
        <v>45</v>
      </c>
      <c r="J887" s="2" t="s">
        <v>33</v>
      </c>
      <c r="K887" s="1">
        <v>274.12</v>
      </c>
      <c r="L887" s="3">
        <v>45616</v>
      </c>
    </row>
    <row r="888" spans="1:12" x14ac:dyDescent="0.25">
      <c r="A888" s="1">
        <v>100404</v>
      </c>
      <c r="B888" s="2" t="s">
        <v>1053</v>
      </c>
      <c r="C888" s="2" t="s">
        <v>47</v>
      </c>
      <c r="D888" s="2" t="s">
        <v>50</v>
      </c>
      <c r="E888" s="2" t="s">
        <v>55</v>
      </c>
      <c r="F888" s="2" t="s">
        <v>83</v>
      </c>
      <c r="G888" s="1">
        <v>0</v>
      </c>
      <c r="H888" s="1">
        <v>864</v>
      </c>
      <c r="I888" s="2" t="s">
        <v>37</v>
      </c>
      <c r="J888" s="2" t="s">
        <v>26</v>
      </c>
      <c r="K888" s="1">
        <v>223.15</v>
      </c>
      <c r="L888" s="3">
        <v>45616</v>
      </c>
    </row>
    <row r="889" spans="1:12" x14ac:dyDescent="0.25">
      <c r="A889" s="1">
        <v>100441</v>
      </c>
      <c r="B889" s="2" t="s">
        <v>446</v>
      </c>
      <c r="C889" s="2" t="s">
        <v>168</v>
      </c>
      <c r="D889" s="2" t="s">
        <v>50</v>
      </c>
      <c r="E889" s="2" t="s">
        <v>81</v>
      </c>
      <c r="F889" s="2" t="s">
        <v>18</v>
      </c>
      <c r="G889" s="1">
        <v>0</v>
      </c>
      <c r="H889" s="1">
        <v>515</v>
      </c>
      <c r="I889" s="2" t="s">
        <v>32</v>
      </c>
      <c r="J889" s="2" t="s">
        <v>26</v>
      </c>
      <c r="K889" s="1">
        <v>986.73</v>
      </c>
      <c r="L889" s="3">
        <v>45615</v>
      </c>
    </row>
    <row r="890" spans="1:12" x14ac:dyDescent="0.25">
      <c r="A890" s="1">
        <v>100839</v>
      </c>
      <c r="B890" s="2" t="s">
        <v>402</v>
      </c>
      <c r="C890" s="2" t="s">
        <v>95</v>
      </c>
      <c r="D890" s="2" t="s">
        <v>16</v>
      </c>
      <c r="E890" s="2" t="s">
        <v>31</v>
      </c>
      <c r="F890" s="2" t="s">
        <v>18</v>
      </c>
      <c r="G890" s="1">
        <v>0</v>
      </c>
      <c r="H890" s="1">
        <v>355</v>
      </c>
      <c r="I890" s="2" t="s">
        <v>56</v>
      </c>
      <c r="J890" s="2" t="s">
        <v>33</v>
      </c>
      <c r="K890" s="1">
        <v>964.78</v>
      </c>
      <c r="L890" s="3">
        <v>45615</v>
      </c>
    </row>
    <row r="891" spans="1:12" x14ac:dyDescent="0.25">
      <c r="A891" s="1">
        <v>100345</v>
      </c>
      <c r="B891" s="2" t="s">
        <v>779</v>
      </c>
      <c r="C891" s="2" t="s">
        <v>39</v>
      </c>
      <c r="D891" s="2" t="s">
        <v>16</v>
      </c>
      <c r="E891" s="2" t="s">
        <v>81</v>
      </c>
      <c r="F891" s="2" t="s">
        <v>18</v>
      </c>
      <c r="G891" s="1">
        <v>0</v>
      </c>
      <c r="H891" s="1">
        <v>402</v>
      </c>
      <c r="I891" s="2" t="s">
        <v>19</v>
      </c>
      <c r="J891" s="2" t="s">
        <v>33</v>
      </c>
      <c r="K891" s="1">
        <v>225.53</v>
      </c>
      <c r="L891" s="3">
        <v>45615</v>
      </c>
    </row>
    <row r="892" spans="1:12" x14ac:dyDescent="0.25">
      <c r="A892" s="1">
        <v>100387</v>
      </c>
      <c r="B892" s="2" t="s">
        <v>259</v>
      </c>
      <c r="C892" s="2" t="s">
        <v>218</v>
      </c>
      <c r="D892" s="2" t="s">
        <v>64</v>
      </c>
      <c r="E892" s="2" t="s">
        <v>60</v>
      </c>
      <c r="F892" s="2" t="s">
        <v>18</v>
      </c>
      <c r="G892" s="1">
        <v>0</v>
      </c>
      <c r="H892" s="1">
        <v>732</v>
      </c>
      <c r="I892" s="2" t="s">
        <v>32</v>
      </c>
      <c r="J892" s="2" t="s">
        <v>33</v>
      </c>
      <c r="K892" s="1">
        <v>40.54</v>
      </c>
      <c r="L892" s="3">
        <v>45615</v>
      </c>
    </row>
    <row r="893" spans="1:12" x14ac:dyDescent="0.25">
      <c r="A893" s="1">
        <v>101837</v>
      </c>
      <c r="B893" s="2" t="s">
        <v>344</v>
      </c>
      <c r="C893" s="2" t="s">
        <v>244</v>
      </c>
      <c r="D893" s="2" t="s">
        <v>64</v>
      </c>
      <c r="E893" s="2" t="s">
        <v>31</v>
      </c>
      <c r="F893" s="2" t="s">
        <v>42</v>
      </c>
      <c r="G893" s="1">
        <v>144</v>
      </c>
      <c r="H893" s="1">
        <v>792</v>
      </c>
      <c r="I893" s="2" t="s">
        <v>37</v>
      </c>
      <c r="J893" s="2" t="s">
        <v>20</v>
      </c>
      <c r="K893" s="1">
        <v>1154.4000000000001</v>
      </c>
      <c r="L893" s="3">
        <v>45614</v>
      </c>
    </row>
    <row r="894" spans="1:12" x14ac:dyDescent="0.25">
      <c r="A894" s="1">
        <v>100026</v>
      </c>
      <c r="B894" s="2" t="s">
        <v>895</v>
      </c>
      <c r="C894" s="2" t="s">
        <v>72</v>
      </c>
      <c r="D894" s="2" t="s">
        <v>41</v>
      </c>
      <c r="E894" s="2" t="s">
        <v>81</v>
      </c>
      <c r="F894" s="2" t="s">
        <v>18</v>
      </c>
      <c r="G894" s="1">
        <v>0</v>
      </c>
      <c r="H894" s="1">
        <v>470</v>
      </c>
      <c r="I894" s="2" t="s">
        <v>32</v>
      </c>
      <c r="J894" s="2" t="s">
        <v>20</v>
      </c>
      <c r="K894" s="1">
        <v>379.93</v>
      </c>
      <c r="L894" s="3">
        <v>45614</v>
      </c>
    </row>
    <row r="895" spans="1:12" x14ac:dyDescent="0.25">
      <c r="A895" s="1">
        <v>100322</v>
      </c>
      <c r="B895" s="2" t="s">
        <v>607</v>
      </c>
      <c r="C895" s="2" t="s">
        <v>134</v>
      </c>
      <c r="D895" s="2" t="s">
        <v>64</v>
      </c>
      <c r="E895" s="2" t="s">
        <v>70</v>
      </c>
      <c r="F895" s="2" t="s">
        <v>18</v>
      </c>
      <c r="G895" s="1">
        <v>0</v>
      </c>
      <c r="H895" s="1">
        <v>458</v>
      </c>
      <c r="I895" s="2" t="s">
        <v>32</v>
      </c>
      <c r="J895" s="2" t="s">
        <v>26</v>
      </c>
      <c r="K895" s="1">
        <v>357.75</v>
      </c>
      <c r="L895" s="3">
        <v>45614</v>
      </c>
    </row>
    <row r="896" spans="1:12" x14ac:dyDescent="0.25">
      <c r="A896" s="1">
        <v>100290</v>
      </c>
      <c r="B896" s="2" t="s">
        <v>986</v>
      </c>
      <c r="C896" s="2" t="s">
        <v>28</v>
      </c>
      <c r="D896" s="2" t="s">
        <v>64</v>
      </c>
      <c r="E896" s="2" t="s">
        <v>70</v>
      </c>
      <c r="F896" s="2" t="s">
        <v>42</v>
      </c>
      <c r="G896" s="1">
        <v>101</v>
      </c>
      <c r="H896" s="1">
        <v>459</v>
      </c>
      <c r="I896" s="2" t="s">
        <v>37</v>
      </c>
      <c r="J896" s="2" t="s">
        <v>20</v>
      </c>
      <c r="K896" s="1">
        <v>165.58</v>
      </c>
      <c r="L896" s="3">
        <v>45614</v>
      </c>
    </row>
    <row r="897" spans="1:12" x14ac:dyDescent="0.25">
      <c r="A897" s="1">
        <v>102197</v>
      </c>
      <c r="B897" s="2" t="s">
        <v>87</v>
      </c>
      <c r="C897" s="2" t="s">
        <v>47</v>
      </c>
      <c r="D897" s="2" t="s">
        <v>41</v>
      </c>
      <c r="E897" s="2" t="s">
        <v>17</v>
      </c>
      <c r="F897" s="2" t="s">
        <v>18</v>
      </c>
      <c r="G897" s="1">
        <v>0</v>
      </c>
      <c r="H897" s="1">
        <v>892</v>
      </c>
      <c r="I897" s="2" t="s">
        <v>56</v>
      </c>
      <c r="J897" s="2" t="s">
        <v>20</v>
      </c>
      <c r="K897" s="1">
        <v>1115.23</v>
      </c>
      <c r="L897" s="3">
        <v>45613</v>
      </c>
    </row>
    <row r="898" spans="1:12" x14ac:dyDescent="0.25">
      <c r="A898" s="1">
        <v>100687</v>
      </c>
      <c r="B898" s="2" t="s">
        <v>210</v>
      </c>
      <c r="C898" s="2" t="s">
        <v>95</v>
      </c>
      <c r="D898" s="2" t="s">
        <v>41</v>
      </c>
      <c r="E898" s="2" t="s">
        <v>60</v>
      </c>
      <c r="F898" s="2" t="s">
        <v>25</v>
      </c>
      <c r="G898" s="1">
        <v>12</v>
      </c>
      <c r="H898" s="1">
        <v>369</v>
      </c>
      <c r="I898" s="2" t="s">
        <v>35</v>
      </c>
      <c r="J898" s="2" t="s">
        <v>20</v>
      </c>
      <c r="K898" s="1">
        <v>197.92</v>
      </c>
      <c r="L898" s="3">
        <v>45613</v>
      </c>
    </row>
    <row r="899" spans="1:12" x14ac:dyDescent="0.25">
      <c r="A899" s="1">
        <v>100674</v>
      </c>
      <c r="B899" s="2" t="s">
        <v>288</v>
      </c>
      <c r="C899" s="2" t="s">
        <v>85</v>
      </c>
      <c r="D899" s="2" t="s">
        <v>50</v>
      </c>
      <c r="E899" s="2" t="s">
        <v>81</v>
      </c>
      <c r="F899" s="2" t="s">
        <v>25</v>
      </c>
      <c r="G899" s="1">
        <v>15</v>
      </c>
      <c r="H899" s="1">
        <v>746</v>
      </c>
      <c r="I899" s="2" t="s">
        <v>45</v>
      </c>
      <c r="J899" s="2" t="s">
        <v>33</v>
      </c>
      <c r="K899" s="1">
        <v>131.11000000000001</v>
      </c>
      <c r="L899" s="3">
        <v>45613</v>
      </c>
    </row>
    <row r="900" spans="1:12" x14ac:dyDescent="0.25">
      <c r="A900" s="1">
        <v>100533</v>
      </c>
      <c r="B900" s="2" t="s">
        <v>446</v>
      </c>
      <c r="C900" s="2" t="s">
        <v>168</v>
      </c>
      <c r="D900" s="2" t="s">
        <v>50</v>
      </c>
      <c r="E900" s="2" t="s">
        <v>78</v>
      </c>
      <c r="F900" s="2" t="s">
        <v>83</v>
      </c>
      <c r="G900" s="1">
        <v>0</v>
      </c>
      <c r="H900" s="1">
        <v>515</v>
      </c>
      <c r="I900" s="2" t="s">
        <v>37</v>
      </c>
      <c r="J900" s="2" t="s">
        <v>35</v>
      </c>
      <c r="K900" s="1">
        <v>886.78</v>
      </c>
      <c r="L900" s="3">
        <v>45612</v>
      </c>
    </row>
    <row r="901" spans="1:12" x14ac:dyDescent="0.25">
      <c r="A901" s="1">
        <v>100629</v>
      </c>
      <c r="B901" s="2" t="s">
        <v>340</v>
      </c>
      <c r="C901" s="2" t="s">
        <v>100</v>
      </c>
      <c r="D901" s="2" t="s">
        <v>16</v>
      </c>
      <c r="E901" s="2" t="s">
        <v>17</v>
      </c>
      <c r="F901" s="2" t="s">
        <v>18</v>
      </c>
      <c r="G901" s="1">
        <v>0</v>
      </c>
      <c r="H901" s="1">
        <v>705</v>
      </c>
      <c r="I901" s="2" t="s">
        <v>56</v>
      </c>
      <c r="J901" s="2" t="s">
        <v>20</v>
      </c>
      <c r="K901" s="1">
        <v>550.29999999999995</v>
      </c>
      <c r="L901" s="3">
        <v>45612</v>
      </c>
    </row>
    <row r="902" spans="1:12" x14ac:dyDescent="0.25">
      <c r="A902" s="1">
        <v>101982</v>
      </c>
      <c r="B902" s="2" t="s">
        <v>769</v>
      </c>
      <c r="C902" s="2" t="s">
        <v>72</v>
      </c>
      <c r="D902" s="2" t="s">
        <v>106</v>
      </c>
      <c r="E902" s="2" t="s">
        <v>31</v>
      </c>
      <c r="F902" s="2" t="s">
        <v>18</v>
      </c>
      <c r="G902" s="1">
        <v>0</v>
      </c>
      <c r="H902" s="1">
        <v>496</v>
      </c>
      <c r="I902" s="2" t="s">
        <v>56</v>
      </c>
      <c r="J902" s="2" t="s">
        <v>20</v>
      </c>
      <c r="K902" s="1">
        <v>411.63</v>
      </c>
      <c r="L902" s="3">
        <v>45612</v>
      </c>
    </row>
    <row r="903" spans="1:12" x14ac:dyDescent="0.25">
      <c r="A903" s="1">
        <v>101388</v>
      </c>
      <c r="B903" s="2" t="s">
        <v>342</v>
      </c>
      <c r="C903" s="2" t="s">
        <v>110</v>
      </c>
      <c r="D903" s="2" t="s">
        <v>16</v>
      </c>
      <c r="E903" s="2" t="s">
        <v>55</v>
      </c>
      <c r="F903" s="2" t="s">
        <v>42</v>
      </c>
      <c r="G903" s="1">
        <v>99</v>
      </c>
      <c r="H903" s="1">
        <v>659</v>
      </c>
      <c r="I903" s="2" t="s">
        <v>45</v>
      </c>
      <c r="J903" s="2" t="s">
        <v>20</v>
      </c>
      <c r="K903" s="1">
        <v>50.49</v>
      </c>
      <c r="L903" s="3">
        <v>45612</v>
      </c>
    </row>
    <row r="904" spans="1:12" x14ac:dyDescent="0.25">
      <c r="A904" s="1">
        <v>100701</v>
      </c>
      <c r="B904" s="2" t="s">
        <v>847</v>
      </c>
      <c r="C904" s="2" t="s">
        <v>22</v>
      </c>
      <c r="D904" s="2" t="s">
        <v>50</v>
      </c>
      <c r="E904" s="2" t="s">
        <v>55</v>
      </c>
      <c r="F904" s="2" t="s">
        <v>83</v>
      </c>
      <c r="G904" s="1">
        <v>0</v>
      </c>
      <c r="H904" s="1">
        <v>612</v>
      </c>
      <c r="I904" s="2" t="s">
        <v>56</v>
      </c>
      <c r="J904" s="2" t="s">
        <v>20</v>
      </c>
      <c r="K904" s="1">
        <v>921.79</v>
      </c>
      <c r="L904" s="3">
        <v>45611</v>
      </c>
    </row>
    <row r="905" spans="1:12" x14ac:dyDescent="0.25">
      <c r="A905" s="1">
        <v>100793</v>
      </c>
      <c r="B905" s="2" t="s">
        <v>202</v>
      </c>
      <c r="C905" s="2" t="s">
        <v>95</v>
      </c>
      <c r="D905" s="2" t="s">
        <v>106</v>
      </c>
      <c r="E905" s="2" t="s">
        <v>81</v>
      </c>
      <c r="F905" s="2" t="s">
        <v>18</v>
      </c>
      <c r="G905" s="1">
        <v>0</v>
      </c>
      <c r="H905" s="1">
        <v>570</v>
      </c>
      <c r="I905" s="2" t="s">
        <v>37</v>
      </c>
      <c r="J905" s="2" t="s">
        <v>20</v>
      </c>
      <c r="K905" s="1">
        <v>486.01</v>
      </c>
      <c r="L905" s="3">
        <v>45611</v>
      </c>
    </row>
    <row r="906" spans="1:12" x14ac:dyDescent="0.25">
      <c r="A906" s="1">
        <v>102195</v>
      </c>
      <c r="B906" s="2" t="s">
        <v>322</v>
      </c>
      <c r="C906" s="2" t="s">
        <v>13</v>
      </c>
      <c r="D906" s="2" t="s">
        <v>16</v>
      </c>
      <c r="E906" s="2" t="s">
        <v>70</v>
      </c>
      <c r="F906" s="2" t="s">
        <v>25</v>
      </c>
      <c r="G906" s="1">
        <v>8</v>
      </c>
      <c r="H906" s="1">
        <v>623</v>
      </c>
      <c r="I906" s="2" t="s">
        <v>19</v>
      </c>
      <c r="J906" s="2" t="s">
        <v>33</v>
      </c>
      <c r="K906" s="1">
        <v>207.52</v>
      </c>
      <c r="L906" s="3">
        <v>45611</v>
      </c>
    </row>
    <row r="907" spans="1:12" x14ac:dyDescent="0.25">
      <c r="A907" s="1">
        <v>100276</v>
      </c>
      <c r="B907" s="2" t="s">
        <v>131</v>
      </c>
      <c r="C907" s="2" t="s">
        <v>39</v>
      </c>
      <c r="D907" s="2" t="s">
        <v>41</v>
      </c>
      <c r="E907" s="2" t="s">
        <v>35</v>
      </c>
      <c r="F907" s="2" t="s">
        <v>18</v>
      </c>
      <c r="G907" s="1" t="s">
        <v>35</v>
      </c>
      <c r="H907" s="1">
        <v>867</v>
      </c>
      <c r="I907" s="2" t="s">
        <v>32</v>
      </c>
      <c r="J907" s="2" t="s">
        <v>26</v>
      </c>
      <c r="K907" s="1"/>
      <c r="L907" s="3">
        <v>45611</v>
      </c>
    </row>
    <row r="908" spans="1:12" x14ac:dyDescent="0.25">
      <c r="A908" s="1">
        <v>100163</v>
      </c>
      <c r="B908" s="2" t="s">
        <v>352</v>
      </c>
      <c r="C908" s="2" t="s">
        <v>85</v>
      </c>
      <c r="D908" s="2" t="s">
        <v>41</v>
      </c>
      <c r="E908" s="2" t="s">
        <v>60</v>
      </c>
      <c r="F908" s="2" t="s">
        <v>42</v>
      </c>
      <c r="G908" s="1">
        <v>53</v>
      </c>
      <c r="H908" s="1">
        <v>778</v>
      </c>
      <c r="I908" s="2" t="s">
        <v>37</v>
      </c>
      <c r="J908" s="2" t="s">
        <v>26</v>
      </c>
      <c r="K908" s="1">
        <v>92.14</v>
      </c>
      <c r="L908" s="3">
        <v>45610</v>
      </c>
    </row>
    <row r="909" spans="1:12" x14ac:dyDescent="0.25">
      <c r="A909" s="1">
        <v>101664</v>
      </c>
      <c r="B909" s="2" t="s">
        <v>1022</v>
      </c>
      <c r="C909" s="2" t="s">
        <v>270</v>
      </c>
      <c r="D909" s="2" t="s">
        <v>106</v>
      </c>
      <c r="E909" s="2" t="s">
        <v>60</v>
      </c>
      <c r="F909" s="2" t="s">
        <v>18</v>
      </c>
      <c r="G909" s="1">
        <v>0</v>
      </c>
      <c r="H909" s="1">
        <v>383</v>
      </c>
      <c r="I909" s="2" t="s">
        <v>45</v>
      </c>
      <c r="J909" s="2" t="s">
        <v>26</v>
      </c>
      <c r="K909" s="1">
        <v>355.42</v>
      </c>
      <c r="L909" s="3">
        <v>45609</v>
      </c>
    </row>
    <row r="910" spans="1:12" x14ac:dyDescent="0.25">
      <c r="A910" s="1">
        <v>101772</v>
      </c>
      <c r="B910" s="2" t="s">
        <v>207</v>
      </c>
      <c r="C910" s="2" t="s">
        <v>103</v>
      </c>
      <c r="D910" s="2" t="s">
        <v>64</v>
      </c>
      <c r="E910" s="2" t="s">
        <v>60</v>
      </c>
      <c r="F910" s="2" t="s">
        <v>18</v>
      </c>
      <c r="G910" s="1">
        <v>0</v>
      </c>
      <c r="H910" s="1">
        <v>360</v>
      </c>
      <c r="I910" s="2" t="s">
        <v>37</v>
      </c>
      <c r="J910" s="2" t="s">
        <v>26</v>
      </c>
      <c r="K910" s="1">
        <v>271.76</v>
      </c>
      <c r="L910" s="3">
        <v>45609</v>
      </c>
    </row>
    <row r="911" spans="1:12" x14ac:dyDescent="0.25">
      <c r="A911" s="1">
        <v>102064</v>
      </c>
      <c r="B911" s="2" t="s">
        <v>728</v>
      </c>
      <c r="C911" s="2" t="s">
        <v>85</v>
      </c>
      <c r="D911" s="2" t="s">
        <v>106</v>
      </c>
      <c r="E911" s="2" t="s">
        <v>81</v>
      </c>
      <c r="F911" s="2" t="s">
        <v>18</v>
      </c>
      <c r="G911" s="1">
        <v>0</v>
      </c>
      <c r="H911" s="1">
        <v>653</v>
      </c>
      <c r="I911" s="2" t="s">
        <v>56</v>
      </c>
      <c r="J911" s="2" t="s">
        <v>33</v>
      </c>
      <c r="K911" s="1">
        <v>673.72</v>
      </c>
      <c r="L911" s="3">
        <v>45608</v>
      </c>
    </row>
    <row r="912" spans="1:12" x14ac:dyDescent="0.25">
      <c r="A912" s="1">
        <v>100303</v>
      </c>
      <c r="B912" s="2" t="s">
        <v>537</v>
      </c>
      <c r="C912" s="2" t="s">
        <v>187</v>
      </c>
      <c r="D912" s="2" t="s">
        <v>106</v>
      </c>
      <c r="E912" s="2" t="s">
        <v>17</v>
      </c>
      <c r="F912" s="2" t="s">
        <v>83</v>
      </c>
      <c r="G912" s="1">
        <v>0</v>
      </c>
      <c r="H912" s="1">
        <v>874</v>
      </c>
      <c r="I912" s="2" t="s">
        <v>56</v>
      </c>
      <c r="J912" s="2" t="s">
        <v>20</v>
      </c>
      <c r="K912" s="1">
        <v>558.11</v>
      </c>
      <c r="L912" s="3">
        <v>45608</v>
      </c>
    </row>
    <row r="913" spans="1:12" x14ac:dyDescent="0.25">
      <c r="A913" s="1">
        <v>101967</v>
      </c>
      <c r="B913" s="2" t="s">
        <v>794</v>
      </c>
      <c r="C913" s="2" t="s">
        <v>52</v>
      </c>
      <c r="D913" s="2" t="s">
        <v>64</v>
      </c>
      <c r="E913" s="2" t="s">
        <v>17</v>
      </c>
      <c r="F913" s="2" t="s">
        <v>18</v>
      </c>
      <c r="G913" s="1">
        <v>0</v>
      </c>
      <c r="H913" s="1">
        <v>733</v>
      </c>
      <c r="I913" s="2" t="s">
        <v>32</v>
      </c>
      <c r="J913" s="2" t="s">
        <v>35</v>
      </c>
      <c r="K913" s="1">
        <v>428.68</v>
      </c>
      <c r="L913" s="3">
        <v>45608</v>
      </c>
    </row>
    <row r="914" spans="1:12" x14ac:dyDescent="0.25">
      <c r="A914" s="1">
        <v>100461</v>
      </c>
      <c r="B914" s="2" t="s">
        <v>438</v>
      </c>
      <c r="C914" s="2" t="s">
        <v>95</v>
      </c>
      <c r="D914" s="2" t="s">
        <v>64</v>
      </c>
      <c r="E914" s="2" t="s">
        <v>55</v>
      </c>
      <c r="F914" s="2" t="s">
        <v>83</v>
      </c>
      <c r="G914" s="1">
        <v>0</v>
      </c>
      <c r="H914" s="1">
        <v>858</v>
      </c>
      <c r="I914" s="2" t="s">
        <v>35</v>
      </c>
      <c r="J914" s="2" t="s">
        <v>20</v>
      </c>
      <c r="K914" s="1">
        <v>265.56</v>
      </c>
      <c r="L914" s="3">
        <v>45608</v>
      </c>
    </row>
    <row r="915" spans="1:12" x14ac:dyDescent="0.25">
      <c r="A915" s="1">
        <v>101744</v>
      </c>
      <c r="B915" s="2" t="s">
        <v>121</v>
      </c>
      <c r="C915" s="2" t="s">
        <v>122</v>
      </c>
      <c r="D915" s="2" t="s">
        <v>64</v>
      </c>
      <c r="E915" s="2" t="s">
        <v>81</v>
      </c>
      <c r="F915" s="2" t="s">
        <v>18</v>
      </c>
      <c r="G915" s="1">
        <v>0</v>
      </c>
      <c r="H915" s="1">
        <v>823</v>
      </c>
      <c r="I915" s="2" t="s">
        <v>56</v>
      </c>
      <c r="J915" s="2" t="s">
        <v>33</v>
      </c>
      <c r="K915" s="1">
        <v>190.29</v>
      </c>
      <c r="L915" s="3">
        <v>45608</v>
      </c>
    </row>
    <row r="916" spans="1:12" x14ac:dyDescent="0.25">
      <c r="A916" s="1">
        <v>101195</v>
      </c>
      <c r="B916" s="2" t="s">
        <v>213</v>
      </c>
      <c r="C916" s="2" t="s">
        <v>58</v>
      </c>
      <c r="D916" s="2" t="s">
        <v>16</v>
      </c>
      <c r="E916" s="2" t="s">
        <v>60</v>
      </c>
      <c r="F916" s="2" t="s">
        <v>42</v>
      </c>
      <c r="G916" s="1">
        <v>60</v>
      </c>
      <c r="H916" s="1">
        <v>324</v>
      </c>
      <c r="I916" s="2" t="s">
        <v>37</v>
      </c>
      <c r="J916" s="2" t="s">
        <v>20</v>
      </c>
      <c r="K916" s="1">
        <v>76.05</v>
      </c>
      <c r="L916" s="3">
        <v>45608</v>
      </c>
    </row>
    <row r="917" spans="1:12" x14ac:dyDescent="0.25">
      <c r="A917" s="1">
        <v>101310</v>
      </c>
      <c r="B917" s="2" t="s">
        <v>581</v>
      </c>
      <c r="C917" s="2" t="s">
        <v>103</v>
      </c>
      <c r="D917" s="2" t="s">
        <v>106</v>
      </c>
      <c r="E917" s="2" t="s">
        <v>78</v>
      </c>
      <c r="F917" s="2" t="s">
        <v>18</v>
      </c>
      <c r="G917" s="1">
        <v>0</v>
      </c>
      <c r="H917" s="1">
        <v>435</v>
      </c>
      <c r="I917" s="2" t="s">
        <v>19</v>
      </c>
      <c r="J917" s="2" t="s">
        <v>20</v>
      </c>
      <c r="K917" s="1"/>
      <c r="L917" s="3">
        <v>45608</v>
      </c>
    </row>
    <row r="918" spans="1:12" x14ac:dyDescent="0.25">
      <c r="A918" s="1">
        <v>101617</v>
      </c>
      <c r="B918" s="2" t="s">
        <v>504</v>
      </c>
      <c r="C918" s="2" t="s">
        <v>187</v>
      </c>
      <c r="D918" s="2" t="s">
        <v>64</v>
      </c>
      <c r="E918" s="2" t="s">
        <v>60</v>
      </c>
      <c r="F918" s="2" t="s">
        <v>18</v>
      </c>
      <c r="G918" s="1">
        <v>0</v>
      </c>
      <c r="H918" s="1">
        <v>494</v>
      </c>
      <c r="I918" s="2" t="s">
        <v>19</v>
      </c>
      <c r="J918" s="2" t="s">
        <v>20</v>
      </c>
      <c r="K918" s="1">
        <v>432.09</v>
      </c>
      <c r="L918" s="3">
        <v>45607</v>
      </c>
    </row>
    <row r="919" spans="1:12" x14ac:dyDescent="0.25">
      <c r="A919" s="1">
        <v>100354</v>
      </c>
      <c r="B919" s="2" t="s">
        <v>186</v>
      </c>
      <c r="C919" s="2" t="s">
        <v>187</v>
      </c>
      <c r="D919" s="2" t="s">
        <v>41</v>
      </c>
      <c r="E919" s="2" t="s">
        <v>78</v>
      </c>
      <c r="F919" s="2" t="s">
        <v>18</v>
      </c>
      <c r="G919" s="1" t="s">
        <v>35</v>
      </c>
      <c r="H919" s="1">
        <v>709</v>
      </c>
      <c r="I919" s="2" t="s">
        <v>37</v>
      </c>
      <c r="J919" s="2" t="s">
        <v>26</v>
      </c>
      <c r="K919" s="1">
        <v>409.66</v>
      </c>
      <c r="L919" s="3">
        <v>45607</v>
      </c>
    </row>
    <row r="920" spans="1:12" x14ac:dyDescent="0.25">
      <c r="A920" s="1">
        <v>100094</v>
      </c>
      <c r="B920" s="2" t="s">
        <v>307</v>
      </c>
      <c r="C920" s="2" t="s">
        <v>58</v>
      </c>
      <c r="D920" s="2" t="s">
        <v>64</v>
      </c>
      <c r="E920" s="2" t="s">
        <v>55</v>
      </c>
      <c r="F920" s="2" t="s">
        <v>18</v>
      </c>
      <c r="G920" s="1">
        <v>0</v>
      </c>
      <c r="H920" s="1">
        <v>616</v>
      </c>
      <c r="I920" s="2" t="s">
        <v>37</v>
      </c>
      <c r="J920" s="2" t="s">
        <v>26</v>
      </c>
      <c r="K920" s="1">
        <v>396.42</v>
      </c>
      <c r="L920" s="3">
        <v>45607</v>
      </c>
    </row>
    <row r="921" spans="1:12" x14ac:dyDescent="0.25">
      <c r="A921" s="1">
        <v>100379</v>
      </c>
      <c r="B921" s="2" t="s">
        <v>563</v>
      </c>
      <c r="C921" s="2" t="s">
        <v>58</v>
      </c>
      <c r="D921" s="2" t="s">
        <v>64</v>
      </c>
      <c r="E921" s="2" t="s">
        <v>31</v>
      </c>
      <c r="F921" s="2" t="s">
        <v>18</v>
      </c>
      <c r="G921" s="1">
        <v>0</v>
      </c>
      <c r="H921" s="1">
        <v>893</v>
      </c>
      <c r="I921" s="2" t="s">
        <v>56</v>
      </c>
      <c r="J921" s="2" t="s">
        <v>20</v>
      </c>
      <c r="K921" s="1">
        <v>350.77</v>
      </c>
      <c r="L921" s="3">
        <v>45607</v>
      </c>
    </row>
    <row r="922" spans="1:12" x14ac:dyDescent="0.25">
      <c r="A922" s="1">
        <v>102070</v>
      </c>
      <c r="B922" s="2" t="s">
        <v>269</v>
      </c>
      <c r="C922" s="2" t="s">
        <v>270</v>
      </c>
      <c r="D922" s="2" t="s">
        <v>16</v>
      </c>
      <c r="E922" s="2" t="s">
        <v>70</v>
      </c>
      <c r="F922" s="2" t="s">
        <v>18</v>
      </c>
      <c r="G922" s="1">
        <v>0</v>
      </c>
      <c r="H922" s="1">
        <v>515</v>
      </c>
      <c r="I922" s="2" t="s">
        <v>56</v>
      </c>
      <c r="J922" s="2" t="s">
        <v>26</v>
      </c>
      <c r="K922" s="1">
        <v>101.56</v>
      </c>
      <c r="L922" s="3">
        <v>45607</v>
      </c>
    </row>
    <row r="923" spans="1:12" x14ac:dyDescent="0.25">
      <c r="A923" s="1">
        <v>101505</v>
      </c>
      <c r="B923" s="2" t="s">
        <v>489</v>
      </c>
      <c r="C923" s="2" t="s">
        <v>126</v>
      </c>
      <c r="D923" s="2" t="s">
        <v>41</v>
      </c>
      <c r="E923" s="2" t="s">
        <v>60</v>
      </c>
      <c r="F923" s="2" t="s">
        <v>18</v>
      </c>
      <c r="G923" s="1">
        <v>0</v>
      </c>
      <c r="H923" s="1">
        <v>843</v>
      </c>
      <c r="I923" s="2" t="s">
        <v>56</v>
      </c>
      <c r="J923" s="2" t="s">
        <v>20</v>
      </c>
      <c r="K923" s="1">
        <v>682.05</v>
      </c>
      <c r="L923" s="3">
        <v>45606</v>
      </c>
    </row>
    <row r="924" spans="1:12" x14ac:dyDescent="0.25">
      <c r="A924" s="1">
        <v>101325</v>
      </c>
      <c r="B924" s="2" t="s">
        <v>225</v>
      </c>
      <c r="C924" s="2" t="s">
        <v>142</v>
      </c>
      <c r="D924" s="2" t="s">
        <v>41</v>
      </c>
      <c r="E924" s="2" t="s">
        <v>70</v>
      </c>
      <c r="F924" s="2" t="s">
        <v>18</v>
      </c>
      <c r="G924" s="1">
        <v>0</v>
      </c>
      <c r="H924" s="1">
        <v>741</v>
      </c>
      <c r="I924" s="2" t="s">
        <v>32</v>
      </c>
      <c r="J924" s="2" t="s">
        <v>33</v>
      </c>
      <c r="K924" s="1">
        <v>299.10000000000002</v>
      </c>
      <c r="L924" s="3">
        <v>45606</v>
      </c>
    </row>
    <row r="925" spans="1:12" x14ac:dyDescent="0.25">
      <c r="A925" s="1">
        <v>100178</v>
      </c>
      <c r="B925" s="2" t="s">
        <v>619</v>
      </c>
      <c r="C925" s="2" t="s">
        <v>244</v>
      </c>
      <c r="D925" s="2" t="s">
        <v>16</v>
      </c>
      <c r="E925" s="2" t="s">
        <v>55</v>
      </c>
      <c r="F925" s="2" t="s">
        <v>18</v>
      </c>
      <c r="G925" s="1">
        <v>0</v>
      </c>
      <c r="H925" s="1">
        <v>351</v>
      </c>
      <c r="I925" s="2" t="s">
        <v>45</v>
      </c>
      <c r="J925" s="2" t="s">
        <v>20</v>
      </c>
      <c r="K925" s="1">
        <v>170.58</v>
      </c>
      <c r="L925" s="3">
        <v>45606</v>
      </c>
    </row>
    <row r="926" spans="1:12" x14ac:dyDescent="0.25">
      <c r="A926" s="1">
        <v>100023</v>
      </c>
      <c r="B926" s="2" t="s">
        <v>157</v>
      </c>
      <c r="C926" s="2" t="s">
        <v>103</v>
      </c>
      <c r="D926" s="2" t="s">
        <v>106</v>
      </c>
      <c r="E926" s="2" t="s">
        <v>70</v>
      </c>
      <c r="F926" s="2" t="s">
        <v>83</v>
      </c>
      <c r="G926" s="1">
        <v>0</v>
      </c>
      <c r="H926" s="1">
        <v>897</v>
      </c>
      <c r="I926" s="2" t="s">
        <v>56</v>
      </c>
      <c r="J926" s="2" t="s">
        <v>20</v>
      </c>
      <c r="K926" s="1">
        <v>103.78</v>
      </c>
      <c r="L926" s="3">
        <v>45606</v>
      </c>
    </row>
    <row r="927" spans="1:12" x14ac:dyDescent="0.25">
      <c r="A927" s="1">
        <v>100944</v>
      </c>
      <c r="B927" s="2" t="s">
        <v>151</v>
      </c>
      <c r="C927" s="2" t="s">
        <v>152</v>
      </c>
      <c r="D927" s="2" t="s">
        <v>106</v>
      </c>
      <c r="E927" s="2" t="s">
        <v>78</v>
      </c>
      <c r="F927" s="2" t="s">
        <v>18</v>
      </c>
      <c r="G927" s="1">
        <v>0</v>
      </c>
      <c r="H927" s="1">
        <v>534</v>
      </c>
      <c r="I927" s="2" t="s">
        <v>56</v>
      </c>
      <c r="J927" s="2" t="s">
        <v>20</v>
      </c>
      <c r="K927" s="1">
        <v>733.02</v>
      </c>
      <c r="L927" s="3">
        <v>45605</v>
      </c>
    </row>
    <row r="928" spans="1:12" x14ac:dyDescent="0.25">
      <c r="A928" s="1">
        <v>100237</v>
      </c>
      <c r="B928" s="2" t="s">
        <v>46</v>
      </c>
      <c r="C928" s="2" t="s">
        <v>47</v>
      </c>
      <c r="D928" s="2" t="s">
        <v>41</v>
      </c>
      <c r="E928" s="2" t="s">
        <v>55</v>
      </c>
      <c r="F928" s="2" t="s">
        <v>18</v>
      </c>
      <c r="G928" s="1">
        <v>0</v>
      </c>
      <c r="H928" s="1">
        <v>615</v>
      </c>
      <c r="I928" s="2" t="s">
        <v>37</v>
      </c>
      <c r="J928" s="2" t="s">
        <v>33</v>
      </c>
      <c r="K928" s="1">
        <v>337.29</v>
      </c>
      <c r="L928" s="3">
        <v>45605</v>
      </c>
    </row>
    <row r="929" spans="1:12" x14ac:dyDescent="0.25">
      <c r="A929" s="1">
        <v>101766</v>
      </c>
      <c r="B929" s="2" t="s">
        <v>596</v>
      </c>
      <c r="C929" s="2" t="s">
        <v>22</v>
      </c>
      <c r="D929" s="2" t="s">
        <v>64</v>
      </c>
      <c r="E929" s="2" t="s">
        <v>81</v>
      </c>
      <c r="F929" s="2" t="s">
        <v>18</v>
      </c>
      <c r="G929" s="1">
        <v>0</v>
      </c>
      <c r="H929" s="1">
        <v>603</v>
      </c>
      <c r="I929" s="2" t="s">
        <v>45</v>
      </c>
      <c r="J929" s="2" t="s">
        <v>33</v>
      </c>
      <c r="K929" s="1">
        <v>119.25</v>
      </c>
      <c r="L929" s="3">
        <v>45605</v>
      </c>
    </row>
    <row r="930" spans="1:12" x14ac:dyDescent="0.25">
      <c r="A930" s="1">
        <v>100710</v>
      </c>
      <c r="B930" s="2" t="s">
        <v>769</v>
      </c>
      <c r="C930" s="2" t="s">
        <v>72</v>
      </c>
      <c r="D930" s="2" t="s">
        <v>16</v>
      </c>
      <c r="E930" s="2" t="s">
        <v>17</v>
      </c>
      <c r="F930" s="2" t="s">
        <v>83</v>
      </c>
      <c r="G930" s="1">
        <v>0</v>
      </c>
      <c r="H930" s="1">
        <v>496</v>
      </c>
      <c r="I930" s="2" t="s">
        <v>37</v>
      </c>
      <c r="J930" s="2" t="s">
        <v>26</v>
      </c>
      <c r="K930" s="1">
        <v>45.52</v>
      </c>
      <c r="L930" s="3">
        <v>45605</v>
      </c>
    </row>
    <row r="931" spans="1:12" x14ac:dyDescent="0.25">
      <c r="A931" s="1">
        <v>101574</v>
      </c>
      <c r="B931" s="2" t="s">
        <v>1069</v>
      </c>
      <c r="C931" s="2" t="s">
        <v>22</v>
      </c>
      <c r="D931" s="2" t="s">
        <v>16</v>
      </c>
      <c r="E931" s="2" t="s">
        <v>35</v>
      </c>
      <c r="F931" s="2" t="s">
        <v>18</v>
      </c>
      <c r="G931" s="1">
        <v>0</v>
      </c>
      <c r="H931" s="1">
        <v>607</v>
      </c>
      <c r="I931" s="2" t="s">
        <v>32</v>
      </c>
      <c r="J931" s="2" t="s">
        <v>26</v>
      </c>
      <c r="K931" s="1"/>
      <c r="L931" s="3">
        <v>45605</v>
      </c>
    </row>
    <row r="932" spans="1:12" x14ac:dyDescent="0.25">
      <c r="A932" s="1">
        <v>100196</v>
      </c>
      <c r="B932" s="2" t="s">
        <v>875</v>
      </c>
      <c r="C932" s="2" t="s">
        <v>72</v>
      </c>
      <c r="D932" s="2" t="s">
        <v>64</v>
      </c>
      <c r="E932" s="2" t="s">
        <v>55</v>
      </c>
      <c r="F932" s="2" t="s">
        <v>83</v>
      </c>
      <c r="G932" s="1" t="s">
        <v>35</v>
      </c>
      <c r="H932" s="1">
        <v>678</v>
      </c>
      <c r="I932" s="2" t="s">
        <v>32</v>
      </c>
      <c r="J932" s="2" t="s">
        <v>26</v>
      </c>
      <c r="K932" s="1">
        <v>637.38</v>
      </c>
      <c r="L932" s="3">
        <v>45604</v>
      </c>
    </row>
    <row r="933" spans="1:12" x14ac:dyDescent="0.25">
      <c r="A933" s="1">
        <v>101626</v>
      </c>
      <c r="B933" s="2" t="s">
        <v>286</v>
      </c>
      <c r="C933" s="2" t="s">
        <v>168</v>
      </c>
      <c r="D933" s="2" t="s">
        <v>16</v>
      </c>
      <c r="E933" s="2" t="s">
        <v>17</v>
      </c>
      <c r="F933" s="2" t="s">
        <v>42</v>
      </c>
      <c r="G933" s="1">
        <v>46</v>
      </c>
      <c r="H933" s="1">
        <v>434</v>
      </c>
      <c r="I933" s="2" t="s">
        <v>32</v>
      </c>
      <c r="J933" s="2" t="s">
        <v>20</v>
      </c>
      <c r="K933" s="1">
        <v>598.28</v>
      </c>
      <c r="L933" s="3">
        <v>45604</v>
      </c>
    </row>
    <row r="934" spans="1:12" x14ac:dyDescent="0.25">
      <c r="A934" s="1">
        <v>100556</v>
      </c>
      <c r="B934" s="2" t="s">
        <v>241</v>
      </c>
      <c r="C934" s="2" t="s">
        <v>58</v>
      </c>
      <c r="D934" s="2" t="s">
        <v>16</v>
      </c>
      <c r="E934" s="2" t="s">
        <v>81</v>
      </c>
      <c r="F934" s="2" t="s">
        <v>18</v>
      </c>
      <c r="G934" s="1" t="s">
        <v>35</v>
      </c>
      <c r="H934" s="1">
        <v>468</v>
      </c>
      <c r="I934" s="2" t="s">
        <v>56</v>
      </c>
      <c r="J934" s="2" t="s">
        <v>26</v>
      </c>
      <c r="K934" s="1">
        <v>368.5</v>
      </c>
      <c r="L934" s="3">
        <v>45604</v>
      </c>
    </row>
    <row r="935" spans="1:12" x14ac:dyDescent="0.25">
      <c r="A935" s="1">
        <v>101504</v>
      </c>
      <c r="B935" s="2" t="s">
        <v>213</v>
      </c>
      <c r="C935" s="2" t="s">
        <v>58</v>
      </c>
      <c r="D935" s="2" t="s">
        <v>106</v>
      </c>
      <c r="E935" s="2" t="s">
        <v>70</v>
      </c>
      <c r="F935" s="2" t="s">
        <v>18</v>
      </c>
      <c r="G935" s="1" t="s">
        <v>35</v>
      </c>
      <c r="H935" s="1">
        <v>324</v>
      </c>
      <c r="I935" s="2" t="s">
        <v>56</v>
      </c>
      <c r="J935" s="2" t="s">
        <v>20</v>
      </c>
      <c r="K935" s="1">
        <v>440.39</v>
      </c>
      <c r="L935" s="3">
        <v>45603</v>
      </c>
    </row>
    <row r="936" spans="1:12" x14ac:dyDescent="0.25">
      <c r="A936" s="1">
        <v>100763</v>
      </c>
      <c r="B936" s="2" t="s">
        <v>27</v>
      </c>
      <c r="C936" s="2" t="s">
        <v>28</v>
      </c>
      <c r="D936" s="2" t="s">
        <v>50</v>
      </c>
      <c r="E936" s="2" t="s">
        <v>81</v>
      </c>
      <c r="F936" s="2" t="s">
        <v>18</v>
      </c>
      <c r="G936" s="1">
        <v>0</v>
      </c>
      <c r="H936" s="1">
        <v>849</v>
      </c>
      <c r="I936" s="2" t="s">
        <v>56</v>
      </c>
      <c r="J936" s="2" t="s">
        <v>33</v>
      </c>
      <c r="K936" s="1">
        <v>283.7</v>
      </c>
      <c r="L936" s="3">
        <v>45603</v>
      </c>
    </row>
    <row r="937" spans="1:12" x14ac:dyDescent="0.25">
      <c r="A937" s="1">
        <v>101690</v>
      </c>
      <c r="B937" s="2" t="s">
        <v>545</v>
      </c>
      <c r="C937" s="2" t="s">
        <v>126</v>
      </c>
      <c r="D937" s="2" t="s">
        <v>50</v>
      </c>
      <c r="E937" s="2" t="s">
        <v>81</v>
      </c>
      <c r="F937" s="2" t="s">
        <v>18</v>
      </c>
      <c r="G937" s="1">
        <v>0</v>
      </c>
      <c r="H937" s="1">
        <v>494</v>
      </c>
      <c r="I937" s="2" t="s">
        <v>45</v>
      </c>
      <c r="J937" s="2" t="s">
        <v>33</v>
      </c>
      <c r="K937" s="1">
        <v>211.41</v>
      </c>
      <c r="L937" s="3">
        <v>45603</v>
      </c>
    </row>
    <row r="938" spans="1:12" x14ac:dyDescent="0.25">
      <c r="A938" s="1">
        <v>100497</v>
      </c>
      <c r="B938" s="2" t="s">
        <v>138</v>
      </c>
      <c r="C938" s="2" t="s">
        <v>85</v>
      </c>
      <c r="D938" s="2" t="s">
        <v>106</v>
      </c>
      <c r="E938" s="2" t="s">
        <v>70</v>
      </c>
      <c r="F938" s="2" t="s">
        <v>18</v>
      </c>
      <c r="G938" s="1">
        <v>0</v>
      </c>
      <c r="H938" s="1">
        <v>623</v>
      </c>
      <c r="I938" s="2" t="s">
        <v>45</v>
      </c>
      <c r="J938" s="2" t="s">
        <v>20</v>
      </c>
      <c r="K938" s="1"/>
      <c r="L938" s="3">
        <v>45603</v>
      </c>
    </row>
    <row r="939" spans="1:12" x14ac:dyDescent="0.25">
      <c r="A939" s="1">
        <v>101042</v>
      </c>
      <c r="B939" s="2" t="s">
        <v>1203</v>
      </c>
      <c r="C939" s="2" t="s">
        <v>187</v>
      </c>
      <c r="D939" s="2" t="s">
        <v>16</v>
      </c>
      <c r="E939" s="2" t="s">
        <v>78</v>
      </c>
      <c r="F939" s="2" t="s">
        <v>83</v>
      </c>
      <c r="G939" s="1">
        <v>0</v>
      </c>
      <c r="H939" s="1">
        <v>752</v>
      </c>
      <c r="I939" s="2" t="s">
        <v>37</v>
      </c>
      <c r="J939" s="2" t="s">
        <v>26</v>
      </c>
      <c r="K939" s="1">
        <v>807.96</v>
      </c>
      <c r="L939" s="3">
        <v>45602</v>
      </c>
    </row>
    <row r="940" spans="1:12" x14ac:dyDescent="0.25">
      <c r="A940" s="1">
        <v>100272</v>
      </c>
      <c r="B940" s="2" t="s">
        <v>342</v>
      </c>
      <c r="C940" s="2" t="s">
        <v>110</v>
      </c>
      <c r="D940" s="2" t="s">
        <v>64</v>
      </c>
      <c r="E940" s="2" t="s">
        <v>31</v>
      </c>
      <c r="F940" s="2" t="s">
        <v>18</v>
      </c>
      <c r="G940" s="1">
        <v>0</v>
      </c>
      <c r="H940" s="1">
        <v>659</v>
      </c>
      <c r="I940" s="2" t="s">
        <v>19</v>
      </c>
      <c r="J940" s="2" t="s">
        <v>20</v>
      </c>
      <c r="K940" s="1">
        <v>391.42</v>
      </c>
      <c r="L940" s="3">
        <v>45602</v>
      </c>
    </row>
    <row r="941" spans="1:12" x14ac:dyDescent="0.25">
      <c r="A941" s="1">
        <v>100116</v>
      </c>
      <c r="B941" s="2" t="s">
        <v>43</v>
      </c>
      <c r="C941" s="2" t="s">
        <v>22</v>
      </c>
      <c r="D941" s="2" t="s">
        <v>50</v>
      </c>
      <c r="E941" s="2" t="s">
        <v>60</v>
      </c>
      <c r="F941" s="2" t="s">
        <v>83</v>
      </c>
      <c r="G941" s="1">
        <v>0</v>
      </c>
      <c r="H941" s="1">
        <v>396</v>
      </c>
      <c r="I941" s="2" t="s">
        <v>45</v>
      </c>
      <c r="J941" s="2" t="s">
        <v>20</v>
      </c>
      <c r="K941" s="1">
        <v>318.41000000000003</v>
      </c>
      <c r="L941" s="3">
        <v>45602</v>
      </c>
    </row>
    <row r="942" spans="1:12" x14ac:dyDescent="0.25">
      <c r="A942" s="1">
        <v>101756</v>
      </c>
      <c r="B942" s="2" t="s">
        <v>12</v>
      </c>
      <c r="C942" s="2" t="s">
        <v>13</v>
      </c>
      <c r="D942" s="2" t="s">
        <v>41</v>
      </c>
      <c r="E942" s="2" t="s">
        <v>17</v>
      </c>
      <c r="F942" s="2" t="s">
        <v>25</v>
      </c>
      <c r="G942" s="1">
        <v>3</v>
      </c>
      <c r="H942" s="1">
        <v>753</v>
      </c>
      <c r="I942" s="2" t="s">
        <v>19</v>
      </c>
      <c r="J942" s="2" t="s">
        <v>26</v>
      </c>
      <c r="K942" s="1">
        <v>312.79000000000002</v>
      </c>
      <c r="L942" s="3">
        <v>45602</v>
      </c>
    </row>
    <row r="943" spans="1:12" x14ac:dyDescent="0.25">
      <c r="A943" s="1">
        <v>100855</v>
      </c>
      <c r="B943" s="2" t="s">
        <v>816</v>
      </c>
      <c r="C943" s="2" t="s">
        <v>95</v>
      </c>
      <c r="D943" s="2" t="s">
        <v>41</v>
      </c>
      <c r="E943" s="2" t="s">
        <v>78</v>
      </c>
      <c r="F943" s="2" t="s">
        <v>18</v>
      </c>
      <c r="G943" s="1">
        <v>0</v>
      </c>
      <c r="H943" s="1">
        <v>422</v>
      </c>
      <c r="I943" s="2" t="s">
        <v>45</v>
      </c>
      <c r="J943" s="2" t="s">
        <v>20</v>
      </c>
      <c r="K943" s="1">
        <v>126.17</v>
      </c>
      <c r="L943" s="3">
        <v>45602</v>
      </c>
    </row>
    <row r="944" spans="1:12" x14ac:dyDescent="0.25">
      <c r="A944" s="1">
        <v>101455</v>
      </c>
      <c r="B944" s="2" t="s">
        <v>174</v>
      </c>
      <c r="C944" s="2" t="s">
        <v>134</v>
      </c>
      <c r="D944" s="2" t="s">
        <v>16</v>
      </c>
      <c r="E944" s="2" t="s">
        <v>17</v>
      </c>
      <c r="F944" s="2" t="s">
        <v>18</v>
      </c>
      <c r="G944" s="1">
        <v>0</v>
      </c>
      <c r="H944" s="1">
        <v>554</v>
      </c>
      <c r="I944" s="2" t="s">
        <v>56</v>
      </c>
      <c r="J944" s="2" t="s">
        <v>26</v>
      </c>
      <c r="K944" s="1">
        <v>757.15</v>
      </c>
      <c r="L944" s="3">
        <v>45601</v>
      </c>
    </row>
    <row r="945" spans="1:12" x14ac:dyDescent="0.25">
      <c r="A945" s="1">
        <v>101957</v>
      </c>
      <c r="B945" s="2" t="s">
        <v>367</v>
      </c>
      <c r="C945" s="2" t="s">
        <v>103</v>
      </c>
      <c r="D945" s="2" t="s">
        <v>16</v>
      </c>
      <c r="E945" s="2" t="s">
        <v>81</v>
      </c>
      <c r="F945" s="2" t="s">
        <v>18</v>
      </c>
      <c r="G945" s="1">
        <v>0</v>
      </c>
      <c r="H945" s="1">
        <v>621</v>
      </c>
      <c r="I945" s="2" t="s">
        <v>32</v>
      </c>
      <c r="J945" s="2" t="s">
        <v>33</v>
      </c>
      <c r="K945" s="1">
        <v>311.2</v>
      </c>
      <c r="L945" s="3">
        <v>45601</v>
      </c>
    </row>
    <row r="946" spans="1:12" x14ac:dyDescent="0.25">
      <c r="A946" s="1">
        <v>102049</v>
      </c>
      <c r="B946" s="2" t="s">
        <v>409</v>
      </c>
      <c r="C946" s="2" t="s">
        <v>187</v>
      </c>
      <c r="D946" s="2" t="s">
        <v>41</v>
      </c>
      <c r="E946" s="2" t="s">
        <v>31</v>
      </c>
      <c r="F946" s="2" t="s">
        <v>18</v>
      </c>
      <c r="G946" s="1">
        <v>0</v>
      </c>
      <c r="H946" s="1">
        <v>694</v>
      </c>
      <c r="I946" s="2" t="s">
        <v>32</v>
      </c>
      <c r="J946" s="2" t="s">
        <v>33</v>
      </c>
      <c r="K946" s="1">
        <v>214.09</v>
      </c>
      <c r="L946" s="3">
        <v>45601</v>
      </c>
    </row>
    <row r="947" spans="1:12" x14ac:dyDescent="0.25">
      <c r="A947" s="1">
        <v>101396</v>
      </c>
      <c r="B947" s="2" t="s">
        <v>1036</v>
      </c>
      <c r="C947" s="2" t="s">
        <v>149</v>
      </c>
      <c r="D947" s="2" t="s">
        <v>64</v>
      </c>
      <c r="E947" s="2" t="s">
        <v>81</v>
      </c>
      <c r="F947" s="2" t="s">
        <v>83</v>
      </c>
      <c r="G947" s="1">
        <v>0</v>
      </c>
      <c r="H947" s="1">
        <v>358</v>
      </c>
      <c r="I947" s="2" t="s">
        <v>45</v>
      </c>
      <c r="J947" s="2" t="s">
        <v>20</v>
      </c>
      <c r="K947" s="1">
        <v>206.8</v>
      </c>
      <c r="L947" s="3">
        <v>45601</v>
      </c>
    </row>
    <row r="948" spans="1:12" x14ac:dyDescent="0.25">
      <c r="A948" s="1">
        <v>101535</v>
      </c>
      <c r="B948" s="2" t="s">
        <v>953</v>
      </c>
      <c r="C948" s="2" t="s">
        <v>270</v>
      </c>
      <c r="D948" s="2" t="s">
        <v>64</v>
      </c>
      <c r="E948" s="2" t="s">
        <v>17</v>
      </c>
      <c r="F948" s="2" t="s">
        <v>18</v>
      </c>
      <c r="G948" s="1">
        <v>0</v>
      </c>
      <c r="H948" s="1">
        <v>759</v>
      </c>
      <c r="I948" s="2" t="s">
        <v>45</v>
      </c>
      <c r="J948" s="2" t="s">
        <v>20</v>
      </c>
      <c r="K948" s="1">
        <v>127.6</v>
      </c>
      <c r="L948" s="3">
        <v>45601</v>
      </c>
    </row>
    <row r="949" spans="1:12" x14ac:dyDescent="0.25">
      <c r="A949" s="1">
        <v>101875</v>
      </c>
      <c r="B949" s="2" t="s">
        <v>506</v>
      </c>
      <c r="C949" s="2" t="s">
        <v>58</v>
      </c>
      <c r="D949" s="2" t="s">
        <v>50</v>
      </c>
      <c r="E949" s="2" t="s">
        <v>35</v>
      </c>
      <c r="F949" s="2" t="s">
        <v>18</v>
      </c>
      <c r="G949" s="1" t="s">
        <v>35</v>
      </c>
      <c r="H949" s="1">
        <v>394</v>
      </c>
      <c r="I949" s="2" t="s">
        <v>56</v>
      </c>
      <c r="J949" s="2" t="s">
        <v>33</v>
      </c>
      <c r="K949" s="1">
        <v>1199.21</v>
      </c>
      <c r="L949" s="3">
        <v>45600</v>
      </c>
    </row>
    <row r="950" spans="1:12" x14ac:dyDescent="0.25">
      <c r="A950" s="1">
        <v>100360</v>
      </c>
      <c r="B950" s="2" t="s">
        <v>1177</v>
      </c>
      <c r="C950" s="2" t="s">
        <v>62</v>
      </c>
      <c r="D950" s="2" t="s">
        <v>106</v>
      </c>
      <c r="E950" s="2" t="s">
        <v>17</v>
      </c>
      <c r="F950" s="2" t="s">
        <v>83</v>
      </c>
      <c r="G950" s="1">
        <v>0</v>
      </c>
      <c r="H950" s="1">
        <v>482</v>
      </c>
      <c r="I950" s="2" t="s">
        <v>56</v>
      </c>
      <c r="J950" s="2" t="s">
        <v>20</v>
      </c>
      <c r="K950" s="1">
        <v>899.83</v>
      </c>
      <c r="L950" s="3">
        <v>45600</v>
      </c>
    </row>
    <row r="951" spans="1:12" x14ac:dyDescent="0.25">
      <c r="A951" s="1">
        <v>100580</v>
      </c>
      <c r="B951" s="2" t="s">
        <v>241</v>
      </c>
      <c r="C951" s="2" t="s">
        <v>58</v>
      </c>
      <c r="D951" s="2" t="s">
        <v>16</v>
      </c>
      <c r="E951" s="2" t="s">
        <v>78</v>
      </c>
      <c r="F951" s="2" t="s">
        <v>18</v>
      </c>
      <c r="G951" s="1">
        <v>0</v>
      </c>
      <c r="H951" s="1">
        <v>468</v>
      </c>
      <c r="I951" s="2" t="s">
        <v>32</v>
      </c>
      <c r="J951" s="2" t="s">
        <v>20</v>
      </c>
      <c r="K951" s="1">
        <v>607.73</v>
      </c>
      <c r="L951" s="3">
        <v>45600</v>
      </c>
    </row>
    <row r="952" spans="1:12" x14ac:dyDescent="0.25">
      <c r="A952" s="1">
        <v>101205</v>
      </c>
      <c r="B952" s="2" t="s">
        <v>553</v>
      </c>
      <c r="C952" s="2" t="s">
        <v>72</v>
      </c>
      <c r="D952" s="2" t="s">
        <v>64</v>
      </c>
      <c r="E952" s="2" t="s">
        <v>17</v>
      </c>
      <c r="F952" s="2" t="s">
        <v>83</v>
      </c>
      <c r="G952" s="1">
        <v>0</v>
      </c>
      <c r="H952" s="1">
        <v>638</v>
      </c>
      <c r="I952" s="2" t="s">
        <v>45</v>
      </c>
      <c r="J952" s="2" t="s">
        <v>33</v>
      </c>
      <c r="K952" s="1">
        <v>474.02</v>
      </c>
      <c r="L952" s="3">
        <v>45600</v>
      </c>
    </row>
    <row r="953" spans="1:12" x14ac:dyDescent="0.25">
      <c r="A953" s="1">
        <v>101687</v>
      </c>
      <c r="B953" s="2" t="s">
        <v>68</v>
      </c>
      <c r="C953" s="2" t="s">
        <v>52</v>
      </c>
      <c r="D953" s="2" t="s">
        <v>50</v>
      </c>
      <c r="E953" s="2" t="s">
        <v>70</v>
      </c>
      <c r="F953" s="2" t="s">
        <v>25</v>
      </c>
      <c r="G953" s="1">
        <v>21</v>
      </c>
      <c r="H953" s="1">
        <v>309</v>
      </c>
      <c r="I953" s="2" t="s">
        <v>56</v>
      </c>
      <c r="J953" s="2" t="s">
        <v>20</v>
      </c>
      <c r="K953" s="1">
        <v>458.32</v>
      </c>
      <c r="L953" s="3">
        <v>45600</v>
      </c>
    </row>
    <row r="954" spans="1:12" x14ac:dyDescent="0.25">
      <c r="A954" s="1">
        <v>101853</v>
      </c>
      <c r="B954" s="2" t="s">
        <v>493</v>
      </c>
      <c r="C954" s="2" t="s">
        <v>152</v>
      </c>
      <c r="D954" s="2" t="s">
        <v>16</v>
      </c>
      <c r="E954" s="2" t="s">
        <v>78</v>
      </c>
      <c r="F954" s="2" t="s">
        <v>83</v>
      </c>
      <c r="G954" s="1">
        <v>0</v>
      </c>
      <c r="H954" s="1">
        <v>737</v>
      </c>
      <c r="I954" s="2" t="s">
        <v>56</v>
      </c>
      <c r="J954" s="2" t="s">
        <v>20</v>
      </c>
      <c r="K954" s="1">
        <v>141.52000000000001</v>
      </c>
      <c r="L954" s="3">
        <v>45600</v>
      </c>
    </row>
    <row r="955" spans="1:12" x14ac:dyDescent="0.25">
      <c r="A955" s="1">
        <v>101984</v>
      </c>
      <c r="B955" s="2" t="s">
        <v>986</v>
      </c>
      <c r="C955" s="2" t="s">
        <v>28</v>
      </c>
      <c r="D955" s="2" t="s">
        <v>16</v>
      </c>
      <c r="E955" s="2" t="s">
        <v>81</v>
      </c>
      <c r="F955" s="2" t="s">
        <v>83</v>
      </c>
      <c r="G955" s="1">
        <v>0</v>
      </c>
      <c r="H955" s="1">
        <v>459</v>
      </c>
      <c r="I955" s="2" t="s">
        <v>19</v>
      </c>
      <c r="J955" s="2" t="s">
        <v>35</v>
      </c>
      <c r="K955" s="1">
        <v>136.08000000000001</v>
      </c>
      <c r="L955" s="3">
        <v>45600</v>
      </c>
    </row>
    <row r="956" spans="1:12" x14ac:dyDescent="0.25">
      <c r="A956" s="1">
        <v>100764</v>
      </c>
      <c r="B956" s="2" t="s">
        <v>278</v>
      </c>
      <c r="C956" s="2" t="s">
        <v>62</v>
      </c>
      <c r="D956" s="2" t="s">
        <v>41</v>
      </c>
      <c r="E956" s="2" t="s">
        <v>60</v>
      </c>
      <c r="F956" s="2" t="s">
        <v>18</v>
      </c>
      <c r="G956" s="1">
        <v>0</v>
      </c>
      <c r="H956" s="1">
        <v>713</v>
      </c>
      <c r="I956" s="2" t="s">
        <v>37</v>
      </c>
      <c r="J956" s="2" t="s">
        <v>20</v>
      </c>
      <c r="K956" s="1">
        <v>487.53</v>
      </c>
      <c r="L956" s="3">
        <v>45599</v>
      </c>
    </row>
    <row r="957" spans="1:12" x14ac:dyDescent="0.25">
      <c r="A957" s="1">
        <v>100434</v>
      </c>
      <c r="B957" s="2" t="s">
        <v>89</v>
      </c>
      <c r="C957" s="2" t="s">
        <v>72</v>
      </c>
      <c r="D957" s="2" t="s">
        <v>106</v>
      </c>
      <c r="E957" s="2" t="s">
        <v>55</v>
      </c>
      <c r="F957" s="2" t="s">
        <v>18</v>
      </c>
      <c r="G957" s="1">
        <v>0</v>
      </c>
      <c r="H957" s="1">
        <v>358</v>
      </c>
      <c r="I957" s="2" t="s">
        <v>45</v>
      </c>
      <c r="J957" s="2" t="s">
        <v>33</v>
      </c>
      <c r="K957" s="1">
        <v>472.51</v>
      </c>
      <c r="L957" s="3">
        <v>45599</v>
      </c>
    </row>
    <row r="958" spans="1:12" x14ac:dyDescent="0.25">
      <c r="A958" s="1">
        <v>101529</v>
      </c>
      <c r="B958" s="2" t="s">
        <v>489</v>
      </c>
      <c r="C958" s="2" t="s">
        <v>126</v>
      </c>
      <c r="D958" s="2" t="s">
        <v>106</v>
      </c>
      <c r="E958" s="2" t="s">
        <v>31</v>
      </c>
      <c r="F958" s="2" t="s">
        <v>18</v>
      </c>
      <c r="G958" s="1">
        <v>0</v>
      </c>
      <c r="H958" s="1">
        <v>843</v>
      </c>
      <c r="I958" s="2" t="s">
        <v>45</v>
      </c>
      <c r="J958" s="2" t="s">
        <v>26</v>
      </c>
      <c r="K958" s="1">
        <v>398.91</v>
      </c>
      <c r="L958" s="3">
        <v>45599</v>
      </c>
    </row>
    <row r="959" spans="1:12" x14ac:dyDescent="0.25">
      <c r="A959" s="1">
        <v>102015</v>
      </c>
      <c r="B959" s="2" t="s">
        <v>198</v>
      </c>
      <c r="C959" s="2" t="s">
        <v>134</v>
      </c>
      <c r="D959" s="2" t="s">
        <v>64</v>
      </c>
      <c r="E959" s="2" t="s">
        <v>78</v>
      </c>
      <c r="F959" s="2" t="s">
        <v>18</v>
      </c>
      <c r="G959" s="1">
        <v>0</v>
      </c>
      <c r="H959" s="1">
        <v>555</v>
      </c>
      <c r="I959" s="2" t="s">
        <v>56</v>
      </c>
      <c r="J959" s="2" t="s">
        <v>20</v>
      </c>
      <c r="K959" s="1">
        <v>281.25</v>
      </c>
      <c r="L959" s="3">
        <v>45599</v>
      </c>
    </row>
    <row r="960" spans="1:12" x14ac:dyDescent="0.25">
      <c r="A960" s="1">
        <v>100493</v>
      </c>
      <c r="B960" s="2" t="s">
        <v>908</v>
      </c>
      <c r="C960" s="2" t="s">
        <v>110</v>
      </c>
      <c r="D960" s="2" t="s">
        <v>16</v>
      </c>
      <c r="E960" s="2" t="s">
        <v>17</v>
      </c>
      <c r="F960" s="2" t="s">
        <v>42</v>
      </c>
      <c r="G960" s="1">
        <v>119</v>
      </c>
      <c r="H960" s="1">
        <v>550</v>
      </c>
      <c r="I960" s="2" t="s">
        <v>56</v>
      </c>
      <c r="J960" s="2" t="s">
        <v>26</v>
      </c>
      <c r="K960" s="1">
        <v>878.34</v>
      </c>
      <c r="L960" s="3">
        <v>45598</v>
      </c>
    </row>
    <row r="961" spans="1:12" x14ac:dyDescent="0.25">
      <c r="A961" s="1">
        <v>101735</v>
      </c>
      <c r="B961" s="2" t="s">
        <v>155</v>
      </c>
      <c r="C961" s="2" t="s">
        <v>142</v>
      </c>
      <c r="D961" s="2" t="s">
        <v>41</v>
      </c>
      <c r="E961" s="2" t="s">
        <v>17</v>
      </c>
      <c r="F961" s="2" t="s">
        <v>83</v>
      </c>
      <c r="G961" s="1">
        <v>0</v>
      </c>
      <c r="H961" s="1">
        <v>339</v>
      </c>
      <c r="I961" s="2" t="s">
        <v>19</v>
      </c>
      <c r="J961" s="2" t="s">
        <v>20</v>
      </c>
      <c r="K961" s="1">
        <v>775.66</v>
      </c>
      <c r="L961" s="3">
        <v>45598</v>
      </c>
    </row>
    <row r="962" spans="1:12" x14ac:dyDescent="0.25">
      <c r="A962" s="1">
        <v>100169</v>
      </c>
      <c r="B962" s="2" t="s">
        <v>805</v>
      </c>
      <c r="C962" s="2" t="s">
        <v>62</v>
      </c>
      <c r="D962" s="2" t="s">
        <v>64</v>
      </c>
      <c r="E962" s="2" t="s">
        <v>17</v>
      </c>
      <c r="F962" s="2" t="s">
        <v>18</v>
      </c>
      <c r="G962" s="1">
        <v>0</v>
      </c>
      <c r="H962" s="1">
        <v>352</v>
      </c>
      <c r="I962" s="2" t="s">
        <v>45</v>
      </c>
      <c r="J962" s="2" t="s">
        <v>20</v>
      </c>
      <c r="K962" s="1">
        <v>114.26</v>
      </c>
      <c r="L962" s="3">
        <v>45598</v>
      </c>
    </row>
    <row r="963" spans="1:12" x14ac:dyDescent="0.25">
      <c r="A963" s="1">
        <v>100479</v>
      </c>
      <c r="B963" s="2" t="s">
        <v>352</v>
      </c>
      <c r="C963" s="2" t="s">
        <v>85</v>
      </c>
      <c r="D963" s="2" t="s">
        <v>16</v>
      </c>
      <c r="E963" s="2" t="s">
        <v>81</v>
      </c>
      <c r="F963" s="2" t="s">
        <v>83</v>
      </c>
      <c r="G963" s="1">
        <v>0</v>
      </c>
      <c r="H963" s="1">
        <v>778</v>
      </c>
      <c r="I963" s="2" t="s">
        <v>56</v>
      </c>
      <c r="J963" s="2" t="s">
        <v>26</v>
      </c>
      <c r="K963" s="1">
        <v>396.95</v>
      </c>
      <c r="L963" s="3">
        <v>45597</v>
      </c>
    </row>
    <row r="964" spans="1:12" x14ac:dyDescent="0.25">
      <c r="A964" s="1">
        <v>101214</v>
      </c>
      <c r="B964" s="2" t="s">
        <v>875</v>
      </c>
      <c r="C964" s="2" t="s">
        <v>72</v>
      </c>
      <c r="D964" s="2" t="s">
        <v>16</v>
      </c>
      <c r="E964" s="2" t="s">
        <v>81</v>
      </c>
      <c r="F964" s="2" t="s">
        <v>83</v>
      </c>
      <c r="G964" s="1">
        <v>0</v>
      </c>
      <c r="H964" s="1">
        <v>678</v>
      </c>
      <c r="I964" s="2" t="s">
        <v>56</v>
      </c>
      <c r="J964" s="2" t="s">
        <v>20</v>
      </c>
      <c r="K964" s="1">
        <v>291.39999999999998</v>
      </c>
      <c r="L964" s="3">
        <v>45597</v>
      </c>
    </row>
    <row r="965" spans="1:12" x14ac:dyDescent="0.25">
      <c r="A965" s="1">
        <v>100872</v>
      </c>
      <c r="B965" s="2" t="s">
        <v>232</v>
      </c>
      <c r="C965" s="2" t="s">
        <v>152</v>
      </c>
      <c r="D965" s="2" t="s">
        <v>41</v>
      </c>
      <c r="E965" s="2" t="s">
        <v>35</v>
      </c>
      <c r="F965" s="2" t="s">
        <v>18</v>
      </c>
      <c r="G965" s="1">
        <v>0</v>
      </c>
      <c r="H965" s="1">
        <v>781</v>
      </c>
      <c r="I965" s="2" t="s">
        <v>37</v>
      </c>
      <c r="J965" s="2" t="s">
        <v>33</v>
      </c>
      <c r="K965" s="1">
        <v>208.59</v>
      </c>
      <c r="L965" s="3">
        <v>45597</v>
      </c>
    </row>
    <row r="966" spans="1:12" x14ac:dyDescent="0.25">
      <c r="A966" s="1">
        <v>101208</v>
      </c>
      <c r="B966" s="2" t="s">
        <v>409</v>
      </c>
      <c r="C966" s="2" t="s">
        <v>187</v>
      </c>
      <c r="D966" s="2" t="s">
        <v>50</v>
      </c>
      <c r="E966" s="2" t="s">
        <v>60</v>
      </c>
      <c r="F966" s="2" t="s">
        <v>42</v>
      </c>
      <c r="G966" s="1">
        <v>97</v>
      </c>
      <c r="H966" s="1">
        <v>694</v>
      </c>
      <c r="I966" s="2" t="s">
        <v>32</v>
      </c>
      <c r="J966" s="2" t="s">
        <v>26</v>
      </c>
      <c r="K966" s="1">
        <v>111.91</v>
      </c>
      <c r="L966" s="3">
        <v>45597</v>
      </c>
    </row>
    <row r="967" spans="1:12" x14ac:dyDescent="0.25">
      <c r="A967" s="1">
        <v>100097</v>
      </c>
      <c r="B967" s="2" t="s">
        <v>374</v>
      </c>
      <c r="C967" s="2" t="s">
        <v>47</v>
      </c>
      <c r="D967" s="2" t="s">
        <v>16</v>
      </c>
      <c r="E967" s="2" t="s">
        <v>81</v>
      </c>
      <c r="F967" s="2" t="s">
        <v>42</v>
      </c>
      <c r="G967" s="1">
        <v>84</v>
      </c>
      <c r="H967" s="1">
        <v>342</v>
      </c>
      <c r="I967" s="2" t="s">
        <v>56</v>
      </c>
      <c r="J967" s="2" t="s">
        <v>33</v>
      </c>
      <c r="K967" s="1">
        <v>1035.4000000000001</v>
      </c>
      <c r="L967" s="3">
        <v>45596</v>
      </c>
    </row>
    <row r="968" spans="1:12" x14ac:dyDescent="0.25">
      <c r="A968" s="1">
        <v>101888</v>
      </c>
      <c r="B968" s="2" t="s">
        <v>553</v>
      </c>
      <c r="C968" s="2" t="s">
        <v>72</v>
      </c>
      <c r="D968" s="2" t="s">
        <v>50</v>
      </c>
      <c r="E968" s="2" t="s">
        <v>17</v>
      </c>
      <c r="F968" s="2" t="s">
        <v>83</v>
      </c>
      <c r="G968" s="1">
        <v>0</v>
      </c>
      <c r="H968" s="1">
        <v>638</v>
      </c>
      <c r="I968" s="2" t="s">
        <v>32</v>
      </c>
      <c r="J968" s="2" t="s">
        <v>26</v>
      </c>
      <c r="K968" s="1">
        <v>312.27</v>
      </c>
      <c r="L968" s="3">
        <v>45596</v>
      </c>
    </row>
    <row r="969" spans="1:12" x14ac:dyDescent="0.25">
      <c r="A969" s="1">
        <v>101547</v>
      </c>
      <c r="B969" s="2" t="s">
        <v>385</v>
      </c>
      <c r="C969" s="2" t="s">
        <v>85</v>
      </c>
      <c r="D969" s="2" t="s">
        <v>64</v>
      </c>
      <c r="E969" s="2" t="s">
        <v>31</v>
      </c>
      <c r="F969" s="2" t="s">
        <v>18</v>
      </c>
      <c r="G969" s="1">
        <v>0</v>
      </c>
      <c r="H969" s="1">
        <v>490</v>
      </c>
      <c r="I969" s="2" t="s">
        <v>19</v>
      </c>
      <c r="J969" s="2" t="s">
        <v>33</v>
      </c>
      <c r="K969" s="1"/>
      <c r="L969" s="3">
        <v>45596</v>
      </c>
    </row>
    <row r="970" spans="1:12" x14ac:dyDescent="0.25">
      <c r="A970" s="1">
        <v>101672</v>
      </c>
      <c r="B970" s="2" t="s">
        <v>177</v>
      </c>
      <c r="C970" s="2" t="s">
        <v>85</v>
      </c>
      <c r="D970" s="2" t="s">
        <v>106</v>
      </c>
      <c r="E970" s="2" t="s">
        <v>31</v>
      </c>
      <c r="F970" s="2" t="s">
        <v>18</v>
      </c>
      <c r="G970" s="1">
        <v>0</v>
      </c>
      <c r="H970" s="1">
        <v>375</v>
      </c>
      <c r="I970" s="2" t="s">
        <v>45</v>
      </c>
      <c r="J970" s="2" t="s">
        <v>20</v>
      </c>
      <c r="K970" s="1">
        <v>81.05</v>
      </c>
      <c r="L970" s="3">
        <v>45595</v>
      </c>
    </row>
    <row r="971" spans="1:12" x14ac:dyDescent="0.25">
      <c r="A971" s="1">
        <v>100172</v>
      </c>
      <c r="B971" s="2" t="s">
        <v>374</v>
      </c>
      <c r="C971" s="2" t="s">
        <v>47</v>
      </c>
      <c r="D971" s="2" t="s">
        <v>41</v>
      </c>
      <c r="E971" s="2" t="s">
        <v>31</v>
      </c>
      <c r="F971" s="2" t="s">
        <v>18</v>
      </c>
      <c r="G971" s="1">
        <v>0</v>
      </c>
      <c r="H971" s="1">
        <v>342</v>
      </c>
      <c r="I971" s="2" t="s">
        <v>56</v>
      </c>
      <c r="J971" s="2" t="s">
        <v>26</v>
      </c>
      <c r="K971" s="1">
        <v>409.95</v>
      </c>
      <c r="L971" s="3">
        <v>45594</v>
      </c>
    </row>
    <row r="972" spans="1:12" x14ac:dyDescent="0.25">
      <c r="A972" s="1">
        <v>102003</v>
      </c>
      <c r="B972" s="2" t="s">
        <v>1535</v>
      </c>
      <c r="C972" s="2" t="s">
        <v>122</v>
      </c>
      <c r="D972" s="2" t="s">
        <v>50</v>
      </c>
      <c r="E972" s="2" t="s">
        <v>81</v>
      </c>
      <c r="F972" s="2" t="s">
        <v>83</v>
      </c>
      <c r="G972" s="1">
        <v>0</v>
      </c>
      <c r="H972" s="1">
        <v>873</v>
      </c>
      <c r="I972" s="2" t="s">
        <v>32</v>
      </c>
      <c r="J972" s="2" t="s">
        <v>33</v>
      </c>
      <c r="K972" s="1">
        <v>344.44</v>
      </c>
      <c r="L972" s="3">
        <v>45594</v>
      </c>
    </row>
    <row r="973" spans="1:12" x14ac:dyDescent="0.25">
      <c r="A973" s="1">
        <v>100200</v>
      </c>
      <c r="B973" s="2" t="s">
        <v>278</v>
      </c>
      <c r="C973" s="2" t="s">
        <v>62</v>
      </c>
      <c r="D973" s="2" t="s">
        <v>16</v>
      </c>
      <c r="E973" s="2" t="s">
        <v>17</v>
      </c>
      <c r="F973" s="2" t="s">
        <v>18</v>
      </c>
      <c r="G973" s="1">
        <v>0</v>
      </c>
      <c r="H973" s="1">
        <v>713</v>
      </c>
      <c r="I973" s="2" t="s">
        <v>19</v>
      </c>
      <c r="J973" s="2" t="s">
        <v>26</v>
      </c>
      <c r="K973" s="1">
        <v>399.92</v>
      </c>
      <c r="L973" s="3">
        <v>45593</v>
      </c>
    </row>
    <row r="974" spans="1:12" x14ac:dyDescent="0.25">
      <c r="A974" s="1">
        <v>100617</v>
      </c>
      <c r="B974" s="2" t="s">
        <v>866</v>
      </c>
      <c r="C974" s="2" t="s">
        <v>168</v>
      </c>
      <c r="D974" s="2" t="s">
        <v>41</v>
      </c>
      <c r="E974" s="2" t="s">
        <v>55</v>
      </c>
      <c r="F974" s="2" t="s">
        <v>42</v>
      </c>
      <c r="G974" s="1">
        <v>157</v>
      </c>
      <c r="H974" s="1">
        <v>458</v>
      </c>
      <c r="I974" s="2" t="s">
        <v>56</v>
      </c>
      <c r="J974" s="2" t="s">
        <v>26</v>
      </c>
      <c r="K974" s="1">
        <v>355.25</v>
      </c>
      <c r="L974" s="3">
        <v>45593</v>
      </c>
    </row>
    <row r="975" spans="1:12" x14ac:dyDescent="0.25">
      <c r="A975" s="1">
        <v>100996</v>
      </c>
      <c r="B975" s="2" t="s">
        <v>530</v>
      </c>
      <c r="C975" s="2" t="s">
        <v>142</v>
      </c>
      <c r="D975" s="2" t="s">
        <v>41</v>
      </c>
      <c r="E975" s="2" t="s">
        <v>17</v>
      </c>
      <c r="F975" s="2" t="s">
        <v>18</v>
      </c>
      <c r="G975" s="1" t="s">
        <v>35</v>
      </c>
      <c r="H975" s="1">
        <v>819</v>
      </c>
      <c r="I975" s="2" t="s">
        <v>37</v>
      </c>
      <c r="J975" s="2" t="s">
        <v>26</v>
      </c>
      <c r="K975" s="1">
        <v>294.57</v>
      </c>
      <c r="L975" s="3">
        <v>45593</v>
      </c>
    </row>
    <row r="976" spans="1:12" x14ac:dyDescent="0.25">
      <c r="A976" s="1">
        <v>101256</v>
      </c>
      <c r="B976" s="2" t="s">
        <v>349</v>
      </c>
      <c r="C976" s="2" t="s">
        <v>28</v>
      </c>
      <c r="D976" s="2" t="s">
        <v>41</v>
      </c>
      <c r="E976" s="2" t="s">
        <v>60</v>
      </c>
      <c r="F976" s="2" t="s">
        <v>18</v>
      </c>
      <c r="G976" s="1">
        <v>0</v>
      </c>
      <c r="H976" s="1">
        <v>708</v>
      </c>
      <c r="I976" s="2" t="s">
        <v>19</v>
      </c>
      <c r="J976" s="2" t="s">
        <v>33</v>
      </c>
      <c r="K976" s="1">
        <v>291.60000000000002</v>
      </c>
      <c r="L976" s="3">
        <v>45593</v>
      </c>
    </row>
    <row r="977" spans="1:12" x14ac:dyDescent="0.25">
      <c r="A977" s="1">
        <v>101689</v>
      </c>
      <c r="B977" s="2" t="s">
        <v>596</v>
      </c>
      <c r="C977" s="2" t="s">
        <v>22</v>
      </c>
      <c r="D977" s="2" t="s">
        <v>106</v>
      </c>
      <c r="E977" s="2" t="s">
        <v>70</v>
      </c>
      <c r="F977" s="2" t="s">
        <v>83</v>
      </c>
      <c r="G977" s="1">
        <v>0</v>
      </c>
      <c r="H977" s="1">
        <v>603</v>
      </c>
      <c r="I977" s="2" t="s">
        <v>45</v>
      </c>
      <c r="J977" s="2" t="s">
        <v>26</v>
      </c>
      <c r="K977" s="1">
        <v>287.70999999999998</v>
      </c>
      <c r="L977" s="3">
        <v>45593</v>
      </c>
    </row>
    <row r="978" spans="1:12" x14ac:dyDescent="0.25">
      <c r="A978" s="1">
        <v>101409</v>
      </c>
      <c r="B978" s="2" t="s">
        <v>194</v>
      </c>
      <c r="C978" s="2" t="s">
        <v>47</v>
      </c>
      <c r="D978" s="2" t="s">
        <v>64</v>
      </c>
      <c r="E978" s="2" t="s">
        <v>81</v>
      </c>
      <c r="F978" s="2" t="s">
        <v>18</v>
      </c>
      <c r="G978" s="1">
        <v>0</v>
      </c>
      <c r="H978" s="1">
        <v>308</v>
      </c>
      <c r="I978" s="2" t="s">
        <v>56</v>
      </c>
      <c r="J978" s="2" t="s">
        <v>35</v>
      </c>
      <c r="K978" s="1">
        <v>466.46</v>
      </c>
      <c r="L978" s="3">
        <v>45592</v>
      </c>
    </row>
    <row r="979" spans="1:12" x14ac:dyDescent="0.25">
      <c r="A979" s="1">
        <v>102106</v>
      </c>
      <c r="B979" s="2" t="s">
        <v>402</v>
      </c>
      <c r="C979" s="2" t="s">
        <v>95</v>
      </c>
      <c r="D979" s="2" t="s">
        <v>64</v>
      </c>
      <c r="E979" s="2" t="s">
        <v>60</v>
      </c>
      <c r="F979" s="2" t="s">
        <v>18</v>
      </c>
      <c r="G979" s="1">
        <v>0</v>
      </c>
      <c r="H979" s="1">
        <v>355</v>
      </c>
      <c r="I979" s="2" t="s">
        <v>19</v>
      </c>
      <c r="J979" s="2" t="s">
        <v>26</v>
      </c>
      <c r="K979" s="1">
        <v>262.12</v>
      </c>
      <c r="L979" s="3">
        <v>45592</v>
      </c>
    </row>
    <row r="980" spans="1:12" x14ac:dyDescent="0.25">
      <c r="A980" s="1">
        <v>101043</v>
      </c>
      <c r="B980" s="2" t="s">
        <v>34</v>
      </c>
      <c r="C980" s="2" t="s">
        <v>13</v>
      </c>
      <c r="D980" s="2" t="s">
        <v>41</v>
      </c>
      <c r="E980" s="2" t="s">
        <v>60</v>
      </c>
      <c r="F980" s="2" t="s">
        <v>42</v>
      </c>
      <c r="G980" s="1">
        <v>69</v>
      </c>
      <c r="H980" s="1">
        <v>672</v>
      </c>
      <c r="I980" s="2" t="s">
        <v>19</v>
      </c>
      <c r="J980" s="2" t="s">
        <v>20</v>
      </c>
      <c r="K980" s="1">
        <v>278.18</v>
      </c>
      <c r="L980" s="3">
        <v>45591</v>
      </c>
    </row>
    <row r="981" spans="1:12" x14ac:dyDescent="0.25">
      <c r="A981" s="1">
        <v>101202</v>
      </c>
      <c r="B981" s="2" t="s">
        <v>621</v>
      </c>
      <c r="C981" s="2" t="s">
        <v>72</v>
      </c>
      <c r="D981" s="2" t="s">
        <v>64</v>
      </c>
      <c r="E981" s="2" t="s">
        <v>31</v>
      </c>
      <c r="F981" s="2" t="s">
        <v>18</v>
      </c>
      <c r="G981" s="1">
        <v>0</v>
      </c>
      <c r="H981" s="1">
        <v>377</v>
      </c>
      <c r="I981" s="2" t="s">
        <v>32</v>
      </c>
      <c r="J981" s="2" t="s">
        <v>33</v>
      </c>
      <c r="K981" s="1">
        <v>206.07</v>
      </c>
      <c r="L981" s="3">
        <v>45591</v>
      </c>
    </row>
    <row r="982" spans="1:12" x14ac:dyDescent="0.25">
      <c r="A982" s="1">
        <v>101384</v>
      </c>
      <c r="B982" s="2" t="s">
        <v>474</v>
      </c>
      <c r="C982" s="2" t="s">
        <v>270</v>
      </c>
      <c r="D982" s="2" t="s">
        <v>64</v>
      </c>
      <c r="E982" s="2" t="s">
        <v>81</v>
      </c>
      <c r="F982" s="2" t="s">
        <v>25</v>
      </c>
      <c r="G982" s="1">
        <v>20</v>
      </c>
      <c r="H982" s="1">
        <v>483</v>
      </c>
      <c r="I982" s="2" t="s">
        <v>19</v>
      </c>
      <c r="J982" s="2" t="s">
        <v>33</v>
      </c>
      <c r="K982" s="1">
        <v>180.53</v>
      </c>
      <c r="L982" s="3">
        <v>45591</v>
      </c>
    </row>
    <row r="983" spans="1:12" x14ac:dyDescent="0.25">
      <c r="A983" s="1">
        <v>102190</v>
      </c>
      <c r="B983" s="2" t="s">
        <v>21</v>
      </c>
      <c r="C983" s="2" t="s">
        <v>22</v>
      </c>
      <c r="D983" s="2" t="s">
        <v>16</v>
      </c>
      <c r="E983" s="2" t="s">
        <v>60</v>
      </c>
      <c r="F983" s="2" t="s">
        <v>25</v>
      </c>
      <c r="G983" s="1">
        <v>7</v>
      </c>
      <c r="H983" s="1">
        <v>771</v>
      </c>
      <c r="I983" s="2" t="s">
        <v>19</v>
      </c>
      <c r="J983" s="2" t="s">
        <v>20</v>
      </c>
      <c r="K983" s="1">
        <v>103.48</v>
      </c>
      <c r="L983" s="3">
        <v>45591</v>
      </c>
    </row>
    <row r="984" spans="1:12" x14ac:dyDescent="0.25">
      <c r="A984" s="1">
        <v>101791</v>
      </c>
      <c r="B984" s="2" t="s">
        <v>812</v>
      </c>
      <c r="C984" s="2" t="s">
        <v>134</v>
      </c>
      <c r="D984" s="2" t="s">
        <v>16</v>
      </c>
      <c r="E984" s="2" t="s">
        <v>17</v>
      </c>
      <c r="F984" s="2" t="s">
        <v>18</v>
      </c>
      <c r="G984" s="1">
        <v>0</v>
      </c>
      <c r="H984" s="1">
        <v>567</v>
      </c>
      <c r="I984" s="2" t="s">
        <v>45</v>
      </c>
      <c r="J984" s="2" t="s">
        <v>35</v>
      </c>
      <c r="K984" s="1">
        <v>43.47</v>
      </c>
      <c r="L984" s="3">
        <v>45591</v>
      </c>
    </row>
    <row r="985" spans="1:12" x14ac:dyDescent="0.25">
      <c r="A985" s="1">
        <v>101684</v>
      </c>
      <c r="B985" s="2" t="s">
        <v>176</v>
      </c>
      <c r="C985" s="2" t="s">
        <v>58</v>
      </c>
      <c r="D985" s="2" t="s">
        <v>106</v>
      </c>
      <c r="E985" s="2" t="s">
        <v>78</v>
      </c>
      <c r="F985" s="2" t="s">
        <v>18</v>
      </c>
      <c r="G985" s="1">
        <v>0</v>
      </c>
      <c r="H985" s="1">
        <v>528</v>
      </c>
      <c r="I985" s="2" t="s">
        <v>37</v>
      </c>
      <c r="J985" s="2" t="s">
        <v>20</v>
      </c>
      <c r="K985" s="1">
        <v>20.38</v>
      </c>
      <c r="L985" s="3">
        <v>45591</v>
      </c>
    </row>
    <row r="986" spans="1:12" x14ac:dyDescent="0.25">
      <c r="A986" s="1">
        <v>100333</v>
      </c>
      <c r="B986" s="2" t="s">
        <v>487</v>
      </c>
      <c r="C986" s="2" t="s">
        <v>22</v>
      </c>
      <c r="D986" s="2" t="s">
        <v>50</v>
      </c>
      <c r="E986" s="2" t="s">
        <v>60</v>
      </c>
      <c r="F986" s="2" t="s">
        <v>25</v>
      </c>
      <c r="G986" s="1">
        <v>20</v>
      </c>
      <c r="H986" s="1">
        <v>647</v>
      </c>
      <c r="I986" s="2" t="s">
        <v>37</v>
      </c>
      <c r="J986" s="2" t="s">
        <v>26</v>
      </c>
      <c r="K986" s="1">
        <v>939.9</v>
      </c>
      <c r="L986" s="3">
        <v>45590</v>
      </c>
    </row>
    <row r="987" spans="1:12" x14ac:dyDescent="0.25">
      <c r="A987" s="1">
        <v>100934</v>
      </c>
      <c r="B987" s="2" t="s">
        <v>390</v>
      </c>
      <c r="C987" s="2" t="s">
        <v>110</v>
      </c>
      <c r="D987" s="2" t="s">
        <v>50</v>
      </c>
      <c r="E987" s="2" t="s">
        <v>60</v>
      </c>
      <c r="F987" s="2" t="s">
        <v>25</v>
      </c>
      <c r="G987" s="1">
        <v>27</v>
      </c>
      <c r="H987" s="1">
        <v>773</v>
      </c>
      <c r="I987" s="2" t="s">
        <v>37</v>
      </c>
      <c r="J987" s="2" t="s">
        <v>33</v>
      </c>
      <c r="K987" s="1">
        <v>379.16</v>
      </c>
      <c r="L987" s="3">
        <v>45590</v>
      </c>
    </row>
    <row r="988" spans="1:12" x14ac:dyDescent="0.25">
      <c r="A988" s="1">
        <v>100374</v>
      </c>
      <c r="B988" s="2" t="s">
        <v>628</v>
      </c>
      <c r="C988" s="2" t="s">
        <v>47</v>
      </c>
      <c r="D988" s="2" t="s">
        <v>16</v>
      </c>
      <c r="E988" s="2" t="s">
        <v>55</v>
      </c>
      <c r="F988" s="2" t="s">
        <v>42</v>
      </c>
      <c r="G988" s="1">
        <v>47</v>
      </c>
      <c r="H988" s="1">
        <v>852</v>
      </c>
      <c r="I988" s="2" t="s">
        <v>35</v>
      </c>
      <c r="J988" s="2" t="s">
        <v>20</v>
      </c>
      <c r="K988" s="1">
        <v>322.82</v>
      </c>
      <c r="L988" s="3">
        <v>45590</v>
      </c>
    </row>
    <row r="989" spans="1:12" x14ac:dyDescent="0.25">
      <c r="A989" s="1">
        <v>101696</v>
      </c>
      <c r="B989" s="2" t="s">
        <v>481</v>
      </c>
      <c r="C989" s="2" t="s">
        <v>168</v>
      </c>
      <c r="D989" s="2" t="s">
        <v>50</v>
      </c>
      <c r="E989" s="2" t="s">
        <v>55</v>
      </c>
      <c r="F989" s="2" t="s">
        <v>25</v>
      </c>
      <c r="G989" s="1">
        <v>11</v>
      </c>
      <c r="H989" s="1">
        <v>548</v>
      </c>
      <c r="I989" s="2" t="s">
        <v>45</v>
      </c>
      <c r="J989" s="2" t="s">
        <v>33</v>
      </c>
      <c r="K989" s="1">
        <v>968.75</v>
      </c>
      <c r="L989" s="3">
        <v>45589</v>
      </c>
    </row>
    <row r="990" spans="1:12" x14ac:dyDescent="0.25">
      <c r="A990" s="1">
        <v>101421</v>
      </c>
      <c r="B990" s="2" t="s">
        <v>151</v>
      </c>
      <c r="C990" s="2" t="s">
        <v>152</v>
      </c>
      <c r="D990" s="2" t="s">
        <v>106</v>
      </c>
      <c r="E990" s="2" t="s">
        <v>81</v>
      </c>
      <c r="F990" s="2" t="s">
        <v>18</v>
      </c>
      <c r="G990" s="1">
        <v>0</v>
      </c>
      <c r="H990" s="1">
        <v>534</v>
      </c>
      <c r="I990" s="2" t="s">
        <v>32</v>
      </c>
      <c r="J990" s="2" t="s">
        <v>20</v>
      </c>
      <c r="K990" s="1">
        <v>654.98</v>
      </c>
      <c r="L990" s="3">
        <v>45589</v>
      </c>
    </row>
    <row r="991" spans="1:12" x14ac:dyDescent="0.25">
      <c r="A991" s="1">
        <v>100098</v>
      </c>
      <c r="B991" s="2" t="s">
        <v>396</v>
      </c>
      <c r="C991" s="2" t="s">
        <v>103</v>
      </c>
      <c r="D991" s="2" t="s">
        <v>16</v>
      </c>
      <c r="E991" s="2" t="s">
        <v>70</v>
      </c>
      <c r="F991" s="2" t="s">
        <v>18</v>
      </c>
      <c r="G991" s="1">
        <v>0</v>
      </c>
      <c r="H991" s="1">
        <v>437</v>
      </c>
      <c r="I991" s="2" t="s">
        <v>32</v>
      </c>
      <c r="J991" s="2" t="s">
        <v>20</v>
      </c>
      <c r="K991" s="1">
        <v>466.52</v>
      </c>
      <c r="L991" s="3">
        <v>45589</v>
      </c>
    </row>
    <row r="992" spans="1:12" x14ac:dyDescent="0.25">
      <c r="A992" s="1">
        <v>100240</v>
      </c>
      <c r="B992" s="2" t="s">
        <v>232</v>
      </c>
      <c r="C992" s="2" t="s">
        <v>152</v>
      </c>
      <c r="D992" s="2" t="s">
        <v>64</v>
      </c>
      <c r="E992" s="2" t="s">
        <v>78</v>
      </c>
      <c r="F992" s="2" t="s">
        <v>18</v>
      </c>
      <c r="G992" s="1">
        <v>0</v>
      </c>
      <c r="H992" s="1">
        <v>781</v>
      </c>
      <c r="I992" s="2" t="s">
        <v>56</v>
      </c>
      <c r="J992" s="2" t="s">
        <v>20</v>
      </c>
      <c r="K992" s="1"/>
      <c r="L992" s="3">
        <v>45589</v>
      </c>
    </row>
    <row r="993" spans="1:12" x14ac:dyDescent="0.25">
      <c r="A993" s="1">
        <v>101080</v>
      </c>
      <c r="B993" s="2" t="s">
        <v>530</v>
      </c>
      <c r="C993" s="2" t="s">
        <v>142</v>
      </c>
      <c r="D993" s="2" t="s">
        <v>64</v>
      </c>
      <c r="E993" s="2" t="s">
        <v>17</v>
      </c>
      <c r="F993" s="2" t="s">
        <v>18</v>
      </c>
      <c r="G993" s="1">
        <v>0</v>
      </c>
      <c r="H993" s="1">
        <v>819</v>
      </c>
      <c r="I993" s="2" t="s">
        <v>19</v>
      </c>
      <c r="J993" s="2" t="s">
        <v>26</v>
      </c>
      <c r="K993" s="1">
        <v>1084.3699999999999</v>
      </c>
      <c r="L993" s="3">
        <v>45588</v>
      </c>
    </row>
    <row r="994" spans="1:12" x14ac:dyDescent="0.25">
      <c r="A994" s="1">
        <v>100856</v>
      </c>
      <c r="B994" s="2" t="s">
        <v>222</v>
      </c>
      <c r="C994" s="2" t="s">
        <v>100</v>
      </c>
      <c r="D994" s="2" t="s">
        <v>106</v>
      </c>
      <c r="E994" s="2" t="s">
        <v>81</v>
      </c>
      <c r="F994" s="2" t="s">
        <v>18</v>
      </c>
      <c r="G994" s="1">
        <v>0</v>
      </c>
      <c r="H994" s="1">
        <v>585</v>
      </c>
      <c r="I994" s="2" t="s">
        <v>45</v>
      </c>
      <c r="J994" s="2" t="s">
        <v>26</v>
      </c>
      <c r="K994" s="1">
        <v>290.58999999999997</v>
      </c>
      <c r="L994" s="3">
        <v>45588</v>
      </c>
    </row>
    <row r="995" spans="1:12" x14ac:dyDescent="0.25">
      <c r="A995" s="1">
        <v>100745</v>
      </c>
      <c r="B995" s="2" t="s">
        <v>34</v>
      </c>
      <c r="C995" s="2" t="s">
        <v>13</v>
      </c>
      <c r="D995" s="2" t="s">
        <v>41</v>
      </c>
      <c r="E995" s="2" t="s">
        <v>70</v>
      </c>
      <c r="F995" s="2" t="s">
        <v>18</v>
      </c>
      <c r="G995" s="1">
        <v>0</v>
      </c>
      <c r="H995" s="1">
        <v>672</v>
      </c>
      <c r="I995" s="2" t="s">
        <v>45</v>
      </c>
      <c r="J995" s="2" t="s">
        <v>26</v>
      </c>
      <c r="K995" s="1">
        <v>207.29</v>
      </c>
      <c r="L995" s="3">
        <v>45588</v>
      </c>
    </row>
    <row r="996" spans="1:12" x14ac:dyDescent="0.25">
      <c r="A996" s="1">
        <v>101091</v>
      </c>
      <c r="B996" s="2" t="s">
        <v>576</v>
      </c>
      <c r="C996" s="2" t="s">
        <v>22</v>
      </c>
      <c r="D996" s="2" t="s">
        <v>16</v>
      </c>
      <c r="E996" s="2" t="s">
        <v>17</v>
      </c>
      <c r="F996" s="2" t="s">
        <v>18</v>
      </c>
      <c r="G996" s="1">
        <v>0</v>
      </c>
      <c r="H996" s="1">
        <v>418</v>
      </c>
      <c r="I996" s="2" t="s">
        <v>19</v>
      </c>
      <c r="J996" s="2" t="s">
        <v>26</v>
      </c>
      <c r="K996" s="1">
        <v>61.39</v>
      </c>
      <c r="L996" s="3">
        <v>45588</v>
      </c>
    </row>
    <row r="997" spans="1:12" x14ac:dyDescent="0.25">
      <c r="A997" s="1">
        <v>101462</v>
      </c>
      <c r="B997" s="2" t="s">
        <v>719</v>
      </c>
      <c r="C997" s="2" t="s">
        <v>22</v>
      </c>
      <c r="D997" s="2" t="s">
        <v>106</v>
      </c>
      <c r="E997" s="2" t="s">
        <v>17</v>
      </c>
      <c r="F997" s="2" t="s">
        <v>18</v>
      </c>
      <c r="G997" s="1">
        <v>0</v>
      </c>
      <c r="H997" s="1">
        <v>461</v>
      </c>
      <c r="I997" s="2" t="s">
        <v>45</v>
      </c>
      <c r="J997" s="2" t="s">
        <v>33</v>
      </c>
      <c r="K997" s="1">
        <v>357.04</v>
      </c>
      <c r="L997" s="3">
        <v>45587</v>
      </c>
    </row>
    <row r="998" spans="1:12" x14ac:dyDescent="0.25">
      <c r="A998" s="1">
        <v>101916</v>
      </c>
      <c r="B998" s="2" t="s">
        <v>462</v>
      </c>
      <c r="C998" s="2" t="s">
        <v>168</v>
      </c>
      <c r="D998" s="2" t="s">
        <v>106</v>
      </c>
      <c r="E998" s="2" t="s">
        <v>55</v>
      </c>
      <c r="F998" s="2" t="s">
        <v>18</v>
      </c>
      <c r="G998" s="1">
        <v>0</v>
      </c>
      <c r="H998" s="1">
        <v>716</v>
      </c>
      <c r="I998" s="2" t="s">
        <v>35</v>
      </c>
      <c r="J998" s="2" t="s">
        <v>20</v>
      </c>
      <c r="K998" s="1">
        <v>122.38</v>
      </c>
      <c r="L998" s="3">
        <v>45587</v>
      </c>
    </row>
    <row r="999" spans="1:12" x14ac:dyDescent="0.25">
      <c r="A999" s="1">
        <v>101383</v>
      </c>
      <c r="B999" s="2" t="s">
        <v>1259</v>
      </c>
      <c r="C999" s="2" t="s">
        <v>47</v>
      </c>
      <c r="D999" s="2" t="s">
        <v>16</v>
      </c>
      <c r="E999" s="2" t="s">
        <v>81</v>
      </c>
      <c r="F999" s="2" t="s">
        <v>18</v>
      </c>
      <c r="G999" s="1">
        <v>0</v>
      </c>
      <c r="H999" s="1">
        <v>748</v>
      </c>
      <c r="I999" s="2" t="s">
        <v>45</v>
      </c>
      <c r="J999" s="2" t="s">
        <v>26</v>
      </c>
      <c r="K999" s="1">
        <v>1102.82</v>
      </c>
      <c r="L999" s="3">
        <v>45586</v>
      </c>
    </row>
    <row r="1000" spans="1:12" x14ac:dyDescent="0.25">
      <c r="A1000" s="1">
        <v>101377</v>
      </c>
      <c r="B1000" s="2" t="s">
        <v>908</v>
      </c>
      <c r="C1000" s="2" t="s">
        <v>110</v>
      </c>
      <c r="D1000" s="2" t="s">
        <v>41</v>
      </c>
      <c r="E1000" s="2" t="s">
        <v>78</v>
      </c>
      <c r="F1000" s="2" t="s">
        <v>25</v>
      </c>
      <c r="G1000" s="1">
        <v>20</v>
      </c>
      <c r="H1000" s="1">
        <v>550</v>
      </c>
      <c r="I1000" s="2" t="s">
        <v>19</v>
      </c>
      <c r="J1000" s="2" t="s">
        <v>20</v>
      </c>
      <c r="K1000" s="1">
        <v>674.98</v>
      </c>
      <c r="L1000" s="3">
        <v>45586</v>
      </c>
    </row>
    <row r="1001" spans="1:12" x14ac:dyDescent="0.25">
      <c r="A1001" s="1">
        <v>102036</v>
      </c>
      <c r="B1001" s="2" t="s">
        <v>446</v>
      </c>
      <c r="C1001" s="2" t="s">
        <v>168</v>
      </c>
      <c r="D1001" s="2" t="s">
        <v>64</v>
      </c>
      <c r="E1001" s="2" t="s">
        <v>81</v>
      </c>
      <c r="F1001" s="2" t="s">
        <v>18</v>
      </c>
      <c r="G1001" s="1">
        <v>0</v>
      </c>
      <c r="H1001" s="1">
        <v>515</v>
      </c>
      <c r="I1001" s="2" t="s">
        <v>56</v>
      </c>
      <c r="J1001" s="2" t="s">
        <v>26</v>
      </c>
      <c r="K1001" s="1">
        <v>599.41999999999996</v>
      </c>
      <c r="L1001" s="3">
        <v>45586</v>
      </c>
    </row>
    <row r="1002" spans="1:12" x14ac:dyDescent="0.25">
      <c r="A1002" s="1">
        <v>101575</v>
      </c>
      <c r="B1002" s="2" t="s">
        <v>451</v>
      </c>
      <c r="C1002" s="2" t="s">
        <v>103</v>
      </c>
      <c r="D1002" s="2" t="s">
        <v>106</v>
      </c>
      <c r="E1002" s="2" t="s">
        <v>70</v>
      </c>
      <c r="F1002" s="2" t="s">
        <v>18</v>
      </c>
      <c r="G1002" s="1">
        <v>0</v>
      </c>
      <c r="H1002" s="1">
        <v>418</v>
      </c>
      <c r="I1002" s="2" t="s">
        <v>19</v>
      </c>
      <c r="J1002" s="2" t="s">
        <v>20</v>
      </c>
      <c r="K1002" s="1">
        <v>253.69</v>
      </c>
      <c r="L1002" s="3">
        <v>45586</v>
      </c>
    </row>
    <row r="1003" spans="1:12" x14ac:dyDescent="0.25">
      <c r="A1003" s="1">
        <v>100267</v>
      </c>
      <c r="B1003" s="2" t="s">
        <v>157</v>
      </c>
      <c r="C1003" s="2" t="s">
        <v>103</v>
      </c>
      <c r="D1003" s="2" t="s">
        <v>64</v>
      </c>
      <c r="E1003" s="2" t="s">
        <v>60</v>
      </c>
      <c r="F1003" s="2" t="s">
        <v>18</v>
      </c>
      <c r="G1003" s="1">
        <v>0</v>
      </c>
      <c r="H1003" s="1">
        <v>897</v>
      </c>
      <c r="I1003" s="2" t="s">
        <v>45</v>
      </c>
      <c r="J1003" s="2" t="s">
        <v>20</v>
      </c>
      <c r="K1003" s="1">
        <v>310.36</v>
      </c>
      <c r="L1003" s="3">
        <v>45585</v>
      </c>
    </row>
    <row r="1004" spans="1:12" x14ac:dyDescent="0.25">
      <c r="A1004" s="1">
        <v>100121</v>
      </c>
      <c r="B1004" s="2" t="s">
        <v>460</v>
      </c>
      <c r="C1004" s="2" t="s">
        <v>95</v>
      </c>
      <c r="D1004" s="2" t="s">
        <v>50</v>
      </c>
      <c r="E1004" s="2" t="s">
        <v>55</v>
      </c>
      <c r="F1004" s="2" t="s">
        <v>18</v>
      </c>
      <c r="G1004" s="1">
        <v>0</v>
      </c>
      <c r="H1004" s="1">
        <v>716</v>
      </c>
      <c r="I1004" s="2" t="s">
        <v>37</v>
      </c>
      <c r="J1004" s="2" t="s">
        <v>26</v>
      </c>
      <c r="K1004" s="1">
        <v>162.13999999999999</v>
      </c>
      <c r="L1004" s="3">
        <v>45585</v>
      </c>
    </row>
    <row r="1005" spans="1:12" x14ac:dyDescent="0.25">
      <c r="A1005" s="1">
        <v>101951</v>
      </c>
      <c r="B1005" s="2" t="s">
        <v>179</v>
      </c>
      <c r="C1005" s="2" t="s">
        <v>149</v>
      </c>
      <c r="D1005" s="2" t="s">
        <v>106</v>
      </c>
      <c r="E1005" s="2" t="s">
        <v>70</v>
      </c>
      <c r="F1005" s="2" t="s">
        <v>83</v>
      </c>
      <c r="G1005" s="1">
        <v>0</v>
      </c>
      <c r="H1005" s="1">
        <v>518</v>
      </c>
      <c r="I1005" s="2" t="s">
        <v>37</v>
      </c>
      <c r="J1005" s="2" t="s">
        <v>20</v>
      </c>
      <c r="K1005" s="1">
        <v>150.07</v>
      </c>
      <c r="L1005" s="3">
        <v>45585</v>
      </c>
    </row>
    <row r="1006" spans="1:12" x14ac:dyDescent="0.25">
      <c r="A1006" s="1">
        <v>101994</v>
      </c>
      <c r="B1006" s="2" t="s">
        <v>34</v>
      </c>
      <c r="C1006" s="2" t="s">
        <v>13</v>
      </c>
      <c r="D1006" s="2" t="s">
        <v>16</v>
      </c>
      <c r="E1006" s="2" t="s">
        <v>81</v>
      </c>
      <c r="F1006" s="2" t="s">
        <v>42</v>
      </c>
      <c r="G1006" s="1">
        <v>118</v>
      </c>
      <c r="H1006" s="1">
        <v>672</v>
      </c>
      <c r="I1006" s="2" t="s">
        <v>56</v>
      </c>
      <c r="J1006" s="2" t="s">
        <v>33</v>
      </c>
      <c r="K1006" s="1">
        <v>87.69</v>
      </c>
      <c r="L1006" s="3">
        <v>45585</v>
      </c>
    </row>
    <row r="1007" spans="1:12" x14ac:dyDescent="0.25">
      <c r="A1007" s="1">
        <v>100871</v>
      </c>
      <c r="B1007" s="2" t="s">
        <v>474</v>
      </c>
      <c r="C1007" s="2" t="s">
        <v>270</v>
      </c>
      <c r="D1007" s="2" t="s">
        <v>41</v>
      </c>
      <c r="E1007" s="2" t="s">
        <v>60</v>
      </c>
      <c r="F1007" s="2" t="s">
        <v>18</v>
      </c>
      <c r="G1007" s="1">
        <v>0</v>
      </c>
      <c r="H1007" s="1">
        <v>483</v>
      </c>
      <c r="I1007" s="2" t="s">
        <v>19</v>
      </c>
      <c r="J1007" s="2" t="s">
        <v>26</v>
      </c>
      <c r="K1007" s="1">
        <v>987.46</v>
      </c>
      <c r="L1007" s="3">
        <v>45584</v>
      </c>
    </row>
    <row r="1008" spans="1:12" x14ac:dyDescent="0.25">
      <c r="A1008" s="1">
        <v>101693</v>
      </c>
      <c r="B1008" s="2" t="s">
        <v>525</v>
      </c>
      <c r="C1008" s="2" t="s">
        <v>58</v>
      </c>
      <c r="D1008" s="2" t="s">
        <v>106</v>
      </c>
      <c r="E1008" s="2" t="s">
        <v>60</v>
      </c>
      <c r="F1008" s="2" t="s">
        <v>42</v>
      </c>
      <c r="G1008" s="1">
        <v>66</v>
      </c>
      <c r="H1008" s="1">
        <v>501</v>
      </c>
      <c r="I1008" s="2" t="s">
        <v>37</v>
      </c>
      <c r="J1008" s="2" t="s">
        <v>33</v>
      </c>
      <c r="K1008" s="1">
        <v>259.89999999999998</v>
      </c>
      <c r="L1008" s="3">
        <v>45584</v>
      </c>
    </row>
    <row r="1009" spans="1:12" x14ac:dyDescent="0.25">
      <c r="A1009" s="1">
        <v>101211</v>
      </c>
      <c r="B1009" s="2" t="s">
        <v>928</v>
      </c>
      <c r="C1009" s="2" t="s">
        <v>110</v>
      </c>
      <c r="D1009" s="2" t="s">
        <v>106</v>
      </c>
      <c r="E1009" s="2" t="s">
        <v>78</v>
      </c>
      <c r="F1009" s="2" t="s">
        <v>25</v>
      </c>
      <c r="G1009" s="1">
        <v>15</v>
      </c>
      <c r="H1009" s="1">
        <v>409</v>
      </c>
      <c r="I1009" s="2" t="s">
        <v>32</v>
      </c>
      <c r="J1009" s="2" t="s">
        <v>20</v>
      </c>
      <c r="K1009" s="1">
        <v>169.62</v>
      </c>
      <c r="L1009" s="3">
        <v>45584</v>
      </c>
    </row>
    <row r="1010" spans="1:12" x14ac:dyDescent="0.25">
      <c r="A1010" s="1">
        <v>101639</v>
      </c>
      <c r="B1010" s="2" t="s">
        <v>272</v>
      </c>
      <c r="C1010" s="2" t="s">
        <v>35</v>
      </c>
      <c r="D1010" s="2" t="s">
        <v>16</v>
      </c>
      <c r="E1010" s="2" t="s">
        <v>81</v>
      </c>
      <c r="F1010" s="2" t="s">
        <v>18</v>
      </c>
      <c r="G1010" s="1">
        <v>0</v>
      </c>
      <c r="H1010" s="1">
        <v>666</v>
      </c>
      <c r="I1010" s="2" t="s">
        <v>45</v>
      </c>
      <c r="J1010" s="2" t="s">
        <v>20</v>
      </c>
      <c r="K1010" s="1">
        <v>125.41</v>
      </c>
      <c r="L1010" s="3">
        <v>45584</v>
      </c>
    </row>
    <row r="1011" spans="1:12" x14ac:dyDescent="0.25">
      <c r="A1011" s="1">
        <v>101914</v>
      </c>
      <c r="B1011" s="2" t="s">
        <v>198</v>
      </c>
      <c r="C1011" s="2" t="s">
        <v>134</v>
      </c>
      <c r="D1011" s="2" t="s">
        <v>41</v>
      </c>
      <c r="E1011" s="2" t="s">
        <v>81</v>
      </c>
      <c r="F1011" s="2" t="s">
        <v>83</v>
      </c>
      <c r="G1011" s="1">
        <v>0</v>
      </c>
      <c r="H1011" s="1">
        <v>555</v>
      </c>
      <c r="I1011" s="2" t="s">
        <v>45</v>
      </c>
      <c r="J1011" s="2" t="s">
        <v>26</v>
      </c>
      <c r="K1011" s="1">
        <v>1135.98</v>
      </c>
      <c r="L1011" s="3">
        <v>45583</v>
      </c>
    </row>
    <row r="1012" spans="1:12" x14ac:dyDescent="0.25">
      <c r="A1012" s="1">
        <v>102101</v>
      </c>
      <c r="B1012" s="2" t="s">
        <v>563</v>
      </c>
      <c r="C1012" s="2" t="s">
        <v>58</v>
      </c>
      <c r="D1012" s="2" t="s">
        <v>16</v>
      </c>
      <c r="E1012" s="2" t="s">
        <v>60</v>
      </c>
      <c r="F1012" s="2" t="s">
        <v>18</v>
      </c>
      <c r="G1012" s="1">
        <v>0</v>
      </c>
      <c r="H1012" s="1">
        <v>893</v>
      </c>
      <c r="I1012" s="2" t="s">
        <v>32</v>
      </c>
      <c r="J1012" s="2" t="s">
        <v>33</v>
      </c>
      <c r="K1012" s="1">
        <v>382.52</v>
      </c>
      <c r="L1012" s="3">
        <v>45583</v>
      </c>
    </row>
    <row r="1013" spans="1:12" x14ac:dyDescent="0.25">
      <c r="A1013" s="1">
        <v>100702</v>
      </c>
      <c r="B1013" s="2" t="s">
        <v>215</v>
      </c>
      <c r="C1013" s="2" t="s">
        <v>35</v>
      </c>
      <c r="D1013" s="2" t="s">
        <v>16</v>
      </c>
      <c r="E1013" s="2" t="s">
        <v>81</v>
      </c>
      <c r="F1013" s="2" t="s">
        <v>18</v>
      </c>
      <c r="G1013" s="1">
        <v>0</v>
      </c>
      <c r="H1013" s="1">
        <v>395</v>
      </c>
      <c r="I1013" s="2" t="s">
        <v>56</v>
      </c>
      <c r="J1013" s="2" t="s">
        <v>20</v>
      </c>
      <c r="K1013" s="1"/>
      <c r="L1013" s="3">
        <v>45583</v>
      </c>
    </row>
    <row r="1014" spans="1:12" x14ac:dyDescent="0.25">
      <c r="A1014" s="1">
        <v>102159</v>
      </c>
      <c r="B1014" s="2" t="s">
        <v>1009</v>
      </c>
      <c r="C1014" s="2" t="s">
        <v>58</v>
      </c>
      <c r="D1014" s="2" t="s">
        <v>106</v>
      </c>
      <c r="E1014" s="2" t="s">
        <v>60</v>
      </c>
      <c r="F1014" s="2" t="s">
        <v>18</v>
      </c>
      <c r="G1014" s="1">
        <v>0</v>
      </c>
      <c r="H1014" s="1">
        <v>400</v>
      </c>
      <c r="I1014" s="2" t="s">
        <v>45</v>
      </c>
      <c r="J1014" s="2" t="s">
        <v>20</v>
      </c>
      <c r="K1014" s="1">
        <v>808.39</v>
      </c>
      <c r="L1014" s="3">
        <v>45582</v>
      </c>
    </row>
    <row r="1015" spans="1:12" x14ac:dyDescent="0.25">
      <c r="A1015" s="1">
        <v>100359</v>
      </c>
      <c r="B1015" s="2" t="s">
        <v>607</v>
      </c>
      <c r="C1015" s="2" t="s">
        <v>134</v>
      </c>
      <c r="D1015" s="2" t="s">
        <v>41</v>
      </c>
      <c r="E1015" s="2" t="s">
        <v>81</v>
      </c>
      <c r="F1015" s="2" t="s">
        <v>18</v>
      </c>
      <c r="G1015" s="1">
        <v>0</v>
      </c>
      <c r="H1015" s="1">
        <v>458</v>
      </c>
      <c r="I1015" s="2" t="s">
        <v>56</v>
      </c>
      <c r="J1015" s="2" t="s">
        <v>20</v>
      </c>
      <c r="K1015" s="1">
        <v>465.8</v>
      </c>
      <c r="L1015" s="3">
        <v>45582</v>
      </c>
    </row>
    <row r="1016" spans="1:12" x14ac:dyDescent="0.25">
      <c r="A1016" s="1">
        <v>101945</v>
      </c>
      <c r="B1016" s="2" t="s">
        <v>71</v>
      </c>
      <c r="C1016" s="2" t="s">
        <v>72</v>
      </c>
      <c r="D1016" s="2" t="s">
        <v>16</v>
      </c>
      <c r="E1016" s="2" t="s">
        <v>55</v>
      </c>
      <c r="F1016" s="2" t="s">
        <v>18</v>
      </c>
      <c r="G1016" s="1">
        <v>0</v>
      </c>
      <c r="H1016" s="1">
        <v>841</v>
      </c>
      <c r="I1016" s="2" t="s">
        <v>32</v>
      </c>
      <c r="J1016" s="2" t="s">
        <v>26</v>
      </c>
      <c r="K1016" s="1">
        <v>454.66</v>
      </c>
      <c r="L1016" s="3">
        <v>45582</v>
      </c>
    </row>
    <row r="1017" spans="1:12" x14ac:dyDescent="0.25">
      <c r="A1017" s="1">
        <v>101197</v>
      </c>
      <c r="B1017" s="2" t="s">
        <v>234</v>
      </c>
      <c r="C1017" s="2" t="s">
        <v>142</v>
      </c>
      <c r="D1017" s="2" t="s">
        <v>16</v>
      </c>
      <c r="E1017" s="2" t="s">
        <v>60</v>
      </c>
      <c r="F1017" s="2" t="s">
        <v>18</v>
      </c>
      <c r="G1017" s="1">
        <v>0</v>
      </c>
      <c r="H1017" s="1">
        <v>494</v>
      </c>
      <c r="I1017" s="2" t="s">
        <v>19</v>
      </c>
      <c r="J1017" s="2" t="s">
        <v>20</v>
      </c>
      <c r="K1017" s="1">
        <v>311.24</v>
      </c>
      <c r="L1017" s="3">
        <v>45582</v>
      </c>
    </row>
    <row r="1018" spans="1:12" x14ac:dyDescent="0.25">
      <c r="A1018" s="1">
        <v>102080</v>
      </c>
      <c r="B1018" s="2" t="s">
        <v>57</v>
      </c>
      <c r="C1018" s="2" t="s">
        <v>58</v>
      </c>
      <c r="D1018" s="2" t="s">
        <v>106</v>
      </c>
      <c r="E1018" s="2" t="s">
        <v>35</v>
      </c>
      <c r="F1018" s="2" t="s">
        <v>83</v>
      </c>
      <c r="G1018" s="1">
        <v>0</v>
      </c>
      <c r="H1018" s="1">
        <v>798</v>
      </c>
      <c r="I1018" s="2" t="s">
        <v>19</v>
      </c>
      <c r="J1018" s="2" t="s">
        <v>20</v>
      </c>
      <c r="K1018" s="1">
        <v>237.38</v>
      </c>
      <c r="L1018" s="3">
        <v>45582</v>
      </c>
    </row>
    <row r="1019" spans="1:12" x14ac:dyDescent="0.25">
      <c r="A1019" s="1">
        <v>102110</v>
      </c>
      <c r="B1019" s="2" t="s">
        <v>177</v>
      </c>
      <c r="C1019" s="2" t="s">
        <v>85</v>
      </c>
      <c r="D1019" s="2" t="s">
        <v>64</v>
      </c>
      <c r="E1019" s="2" t="s">
        <v>70</v>
      </c>
      <c r="F1019" s="2" t="s">
        <v>42</v>
      </c>
      <c r="G1019" s="1">
        <v>164</v>
      </c>
      <c r="H1019" s="1">
        <v>375</v>
      </c>
      <c r="I1019" s="2" t="s">
        <v>19</v>
      </c>
      <c r="J1019" s="2" t="s">
        <v>26</v>
      </c>
      <c r="K1019" s="1">
        <v>76.11</v>
      </c>
      <c r="L1019" s="3">
        <v>45582</v>
      </c>
    </row>
    <row r="1020" spans="1:12" x14ac:dyDescent="0.25">
      <c r="A1020" s="1">
        <v>100865</v>
      </c>
      <c r="B1020" s="2" t="s">
        <v>832</v>
      </c>
      <c r="C1020" s="2" t="s">
        <v>134</v>
      </c>
      <c r="D1020" s="2" t="s">
        <v>106</v>
      </c>
      <c r="E1020" s="2" t="s">
        <v>78</v>
      </c>
      <c r="F1020" s="2" t="s">
        <v>83</v>
      </c>
      <c r="G1020" s="1">
        <v>0</v>
      </c>
      <c r="H1020" s="1">
        <v>641</v>
      </c>
      <c r="I1020" s="2" t="s">
        <v>37</v>
      </c>
      <c r="J1020" s="2" t="s">
        <v>20</v>
      </c>
      <c r="K1020" s="1">
        <v>371.85</v>
      </c>
      <c r="L1020" s="3">
        <v>45581</v>
      </c>
    </row>
    <row r="1021" spans="1:12" x14ac:dyDescent="0.25">
      <c r="A1021" s="1">
        <v>100862</v>
      </c>
      <c r="B1021" s="2" t="s">
        <v>297</v>
      </c>
      <c r="C1021" s="2" t="s">
        <v>72</v>
      </c>
      <c r="D1021" s="2" t="s">
        <v>41</v>
      </c>
      <c r="E1021" s="2" t="s">
        <v>35</v>
      </c>
      <c r="F1021" s="2" t="s">
        <v>18</v>
      </c>
      <c r="G1021" s="1">
        <v>0</v>
      </c>
      <c r="H1021" s="1">
        <v>878</v>
      </c>
      <c r="I1021" s="2" t="s">
        <v>56</v>
      </c>
      <c r="J1021" s="2" t="s">
        <v>26</v>
      </c>
      <c r="K1021" s="1">
        <v>150.97</v>
      </c>
      <c r="L1021" s="3">
        <v>45581</v>
      </c>
    </row>
    <row r="1022" spans="1:12" x14ac:dyDescent="0.25">
      <c r="A1022" s="1">
        <v>101233</v>
      </c>
      <c r="B1022" s="2" t="s">
        <v>276</v>
      </c>
      <c r="C1022" s="2" t="s">
        <v>52</v>
      </c>
      <c r="D1022" s="2" t="s">
        <v>106</v>
      </c>
      <c r="E1022" s="2" t="s">
        <v>81</v>
      </c>
      <c r="F1022" s="2" t="s">
        <v>25</v>
      </c>
      <c r="G1022" s="1">
        <v>24</v>
      </c>
      <c r="H1022" s="1">
        <v>638</v>
      </c>
      <c r="I1022" s="2" t="s">
        <v>32</v>
      </c>
      <c r="J1022" s="2" t="s">
        <v>20</v>
      </c>
      <c r="K1022" s="1">
        <v>335.83</v>
      </c>
      <c r="L1022" s="3">
        <v>45580</v>
      </c>
    </row>
    <row r="1023" spans="1:12" x14ac:dyDescent="0.25">
      <c r="A1023" s="1">
        <v>100689</v>
      </c>
      <c r="B1023" s="2" t="s">
        <v>1036</v>
      </c>
      <c r="C1023" s="2" t="s">
        <v>149</v>
      </c>
      <c r="D1023" s="2" t="s">
        <v>50</v>
      </c>
      <c r="E1023" s="2" t="s">
        <v>70</v>
      </c>
      <c r="F1023" s="2" t="s">
        <v>25</v>
      </c>
      <c r="G1023" s="1">
        <v>24</v>
      </c>
      <c r="H1023" s="1">
        <v>358</v>
      </c>
      <c r="I1023" s="2" t="s">
        <v>56</v>
      </c>
      <c r="J1023" s="2" t="s">
        <v>20</v>
      </c>
      <c r="K1023" s="1">
        <v>192.78</v>
      </c>
      <c r="L1023" s="3">
        <v>45580</v>
      </c>
    </row>
    <row r="1024" spans="1:12" x14ac:dyDescent="0.25">
      <c r="A1024" s="1">
        <v>101381</v>
      </c>
      <c r="B1024" s="2" t="s">
        <v>928</v>
      </c>
      <c r="C1024" s="2" t="s">
        <v>110</v>
      </c>
      <c r="D1024" s="2" t="s">
        <v>106</v>
      </c>
      <c r="E1024" s="2" t="s">
        <v>55</v>
      </c>
      <c r="F1024" s="2" t="s">
        <v>18</v>
      </c>
      <c r="G1024" s="1">
        <v>0</v>
      </c>
      <c r="H1024" s="1">
        <v>409</v>
      </c>
      <c r="I1024" s="2" t="s">
        <v>37</v>
      </c>
      <c r="J1024" s="2" t="s">
        <v>33</v>
      </c>
      <c r="K1024" s="1">
        <v>102.61</v>
      </c>
      <c r="L1024" s="3">
        <v>45580</v>
      </c>
    </row>
    <row r="1025" spans="1:12" x14ac:dyDescent="0.25">
      <c r="A1025" s="1">
        <v>101694</v>
      </c>
      <c r="B1025" s="2" t="s">
        <v>420</v>
      </c>
      <c r="C1025" s="2" t="s">
        <v>72</v>
      </c>
      <c r="D1025" s="2" t="s">
        <v>106</v>
      </c>
      <c r="E1025" s="2" t="s">
        <v>60</v>
      </c>
      <c r="F1025" s="2" t="s">
        <v>42</v>
      </c>
      <c r="G1025" s="1">
        <v>98</v>
      </c>
      <c r="H1025" s="1">
        <v>418</v>
      </c>
      <c r="I1025" s="2" t="s">
        <v>45</v>
      </c>
      <c r="J1025" s="2" t="s">
        <v>20</v>
      </c>
      <c r="K1025" s="1">
        <v>98.97</v>
      </c>
      <c r="L1025" s="3">
        <v>45580</v>
      </c>
    </row>
    <row r="1026" spans="1:12" x14ac:dyDescent="0.25">
      <c r="A1026" s="1">
        <v>101120</v>
      </c>
      <c r="B1026" s="2" t="s">
        <v>174</v>
      </c>
      <c r="C1026" s="2" t="s">
        <v>134</v>
      </c>
      <c r="D1026" s="2" t="s">
        <v>16</v>
      </c>
      <c r="E1026" s="2" t="s">
        <v>60</v>
      </c>
      <c r="F1026" s="2" t="s">
        <v>83</v>
      </c>
      <c r="G1026" s="1">
        <v>0</v>
      </c>
      <c r="H1026" s="1">
        <v>554</v>
      </c>
      <c r="I1026" s="2" t="s">
        <v>56</v>
      </c>
      <c r="J1026" s="2" t="s">
        <v>33</v>
      </c>
      <c r="K1026" s="1">
        <v>52.32</v>
      </c>
      <c r="L1026" s="3">
        <v>45580</v>
      </c>
    </row>
    <row r="1027" spans="1:12" x14ac:dyDescent="0.25">
      <c r="A1027" s="1">
        <v>100244</v>
      </c>
      <c r="B1027" s="2" t="s">
        <v>667</v>
      </c>
      <c r="C1027" s="2" t="s">
        <v>122</v>
      </c>
      <c r="D1027" s="2" t="s">
        <v>16</v>
      </c>
      <c r="E1027" s="2" t="s">
        <v>70</v>
      </c>
      <c r="F1027" s="2" t="s">
        <v>18</v>
      </c>
      <c r="G1027" s="1">
        <v>0</v>
      </c>
      <c r="H1027" s="1">
        <v>896</v>
      </c>
      <c r="I1027" s="2" t="s">
        <v>45</v>
      </c>
      <c r="J1027" s="2" t="s">
        <v>35</v>
      </c>
      <c r="K1027" s="1">
        <v>758.34</v>
      </c>
      <c r="L1027" s="3">
        <v>45579</v>
      </c>
    </row>
    <row r="1028" spans="1:12" x14ac:dyDescent="0.25">
      <c r="A1028" s="1">
        <v>100899</v>
      </c>
      <c r="B1028" s="2" t="s">
        <v>558</v>
      </c>
      <c r="C1028" s="2" t="s">
        <v>218</v>
      </c>
      <c r="D1028" s="2" t="s">
        <v>106</v>
      </c>
      <c r="E1028" s="2" t="s">
        <v>70</v>
      </c>
      <c r="F1028" s="2" t="s">
        <v>83</v>
      </c>
      <c r="G1028" s="1">
        <v>0</v>
      </c>
      <c r="H1028" s="1">
        <v>784</v>
      </c>
      <c r="I1028" s="2" t="s">
        <v>32</v>
      </c>
      <c r="J1028" s="2" t="s">
        <v>33</v>
      </c>
      <c r="K1028" s="1">
        <v>455.2</v>
      </c>
      <c r="L1028" s="3">
        <v>45579</v>
      </c>
    </row>
    <row r="1029" spans="1:12" x14ac:dyDescent="0.25">
      <c r="A1029" s="1">
        <v>101171</v>
      </c>
      <c r="B1029" s="2" t="s">
        <v>409</v>
      </c>
      <c r="C1029" s="2" t="s">
        <v>187</v>
      </c>
      <c r="D1029" s="2" t="s">
        <v>16</v>
      </c>
      <c r="E1029" s="2" t="s">
        <v>81</v>
      </c>
      <c r="F1029" s="2" t="s">
        <v>83</v>
      </c>
      <c r="G1029" s="1">
        <v>0</v>
      </c>
      <c r="H1029" s="1">
        <v>694</v>
      </c>
      <c r="I1029" s="2" t="s">
        <v>19</v>
      </c>
      <c r="J1029" s="2" t="s">
        <v>20</v>
      </c>
      <c r="K1029" s="1">
        <v>437.33</v>
      </c>
      <c r="L1029" s="3">
        <v>45579</v>
      </c>
    </row>
    <row r="1030" spans="1:12" x14ac:dyDescent="0.25">
      <c r="A1030" s="1">
        <v>100840</v>
      </c>
      <c r="B1030" s="2" t="s">
        <v>215</v>
      </c>
      <c r="C1030" s="2" t="s">
        <v>126</v>
      </c>
      <c r="D1030" s="2" t="s">
        <v>64</v>
      </c>
      <c r="E1030" s="2" t="s">
        <v>17</v>
      </c>
      <c r="F1030" s="2" t="s">
        <v>18</v>
      </c>
      <c r="G1030" s="1">
        <v>0</v>
      </c>
      <c r="H1030" s="1">
        <v>395</v>
      </c>
      <c r="I1030" s="2" t="s">
        <v>19</v>
      </c>
      <c r="J1030" s="2" t="s">
        <v>20</v>
      </c>
      <c r="K1030" s="1">
        <v>246.99</v>
      </c>
      <c r="L1030" s="3">
        <v>45579</v>
      </c>
    </row>
    <row r="1031" spans="1:12" x14ac:dyDescent="0.25">
      <c r="A1031" s="1">
        <v>100531</v>
      </c>
      <c r="B1031" s="2" t="s">
        <v>230</v>
      </c>
      <c r="C1031" s="2" t="s">
        <v>95</v>
      </c>
      <c r="D1031" s="2" t="s">
        <v>41</v>
      </c>
      <c r="E1031" s="2" t="s">
        <v>17</v>
      </c>
      <c r="F1031" s="2" t="s">
        <v>18</v>
      </c>
      <c r="G1031" s="1">
        <v>0</v>
      </c>
      <c r="H1031" s="1">
        <v>818</v>
      </c>
      <c r="I1031" s="2" t="s">
        <v>32</v>
      </c>
      <c r="J1031" s="2" t="s">
        <v>26</v>
      </c>
      <c r="K1031" s="1">
        <v>216.44</v>
      </c>
      <c r="L1031" s="3">
        <v>45579</v>
      </c>
    </row>
    <row r="1032" spans="1:12" x14ac:dyDescent="0.25">
      <c r="A1032" s="1">
        <v>101212</v>
      </c>
      <c r="B1032" s="2" t="s">
        <v>1155</v>
      </c>
      <c r="C1032" s="2" t="s">
        <v>218</v>
      </c>
      <c r="D1032" s="2" t="s">
        <v>41</v>
      </c>
      <c r="E1032" s="2" t="s">
        <v>78</v>
      </c>
      <c r="F1032" s="2" t="s">
        <v>18</v>
      </c>
      <c r="G1032" s="1">
        <v>0</v>
      </c>
      <c r="H1032" s="1">
        <v>557</v>
      </c>
      <c r="I1032" s="2" t="s">
        <v>56</v>
      </c>
      <c r="J1032" s="2" t="s">
        <v>33</v>
      </c>
      <c r="K1032" s="1">
        <v>75.430000000000007</v>
      </c>
      <c r="L1032" s="3">
        <v>45579</v>
      </c>
    </row>
    <row r="1033" spans="1:12" x14ac:dyDescent="0.25">
      <c r="A1033" s="1">
        <v>101781</v>
      </c>
      <c r="B1033" s="2" t="s">
        <v>585</v>
      </c>
      <c r="C1033" s="2" t="s">
        <v>270</v>
      </c>
      <c r="D1033" s="2" t="s">
        <v>41</v>
      </c>
      <c r="E1033" s="2" t="s">
        <v>55</v>
      </c>
      <c r="F1033" s="2" t="s">
        <v>18</v>
      </c>
      <c r="G1033" s="1">
        <v>0</v>
      </c>
      <c r="H1033" s="1">
        <v>814</v>
      </c>
      <c r="I1033" s="2" t="s">
        <v>19</v>
      </c>
      <c r="J1033" s="2" t="s">
        <v>26</v>
      </c>
      <c r="K1033" s="1">
        <v>867.07</v>
      </c>
      <c r="L1033" s="3">
        <v>45578</v>
      </c>
    </row>
    <row r="1034" spans="1:12" x14ac:dyDescent="0.25">
      <c r="A1034" s="1">
        <v>101039</v>
      </c>
      <c r="B1034" s="2" t="s">
        <v>847</v>
      </c>
      <c r="C1034" s="2" t="s">
        <v>22</v>
      </c>
      <c r="D1034" s="2" t="s">
        <v>106</v>
      </c>
      <c r="E1034" s="2" t="s">
        <v>81</v>
      </c>
      <c r="F1034" s="2" t="s">
        <v>18</v>
      </c>
      <c r="G1034" s="1">
        <v>0</v>
      </c>
      <c r="H1034" s="1">
        <v>612</v>
      </c>
      <c r="I1034" s="2" t="s">
        <v>37</v>
      </c>
      <c r="J1034" s="2" t="s">
        <v>26</v>
      </c>
      <c r="K1034" s="1">
        <v>452.39</v>
      </c>
      <c r="L1034" s="3">
        <v>45578</v>
      </c>
    </row>
    <row r="1035" spans="1:12" x14ac:dyDescent="0.25">
      <c r="A1035" s="1">
        <v>102180</v>
      </c>
      <c r="B1035" s="2" t="s">
        <v>847</v>
      </c>
      <c r="C1035" s="2" t="s">
        <v>22</v>
      </c>
      <c r="D1035" s="2" t="s">
        <v>41</v>
      </c>
      <c r="E1035" s="2" t="s">
        <v>17</v>
      </c>
      <c r="F1035" s="2" t="s">
        <v>25</v>
      </c>
      <c r="G1035" s="1">
        <v>9</v>
      </c>
      <c r="H1035" s="1">
        <v>612</v>
      </c>
      <c r="I1035" s="2" t="s">
        <v>45</v>
      </c>
      <c r="J1035" s="2" t="s">
        <v>20</v>
      </c>
      <c r="K1035" s="1">
        <v>440.83</v>
      </c>
      <c r="L1035" s="3">
        <v>45578</v>
      </c>
    </row>
    <row r="1036" spans="1:12" x14ac:dyDescent="0.25">
      <c r="A1036" s="1">
        <v>101356</v>
      </c>
      <c r="B1036" s="2" t="s">
        <v>43</v>
      </c>
      <c r="C1036" s="2" t="s">
        <v>22</v>
      </c>
      <c r="D1036" s="2" t="s">
        <v>16</v>
      </c>
      <c r="E1036" s="2" t="s">
        <v>78</v>
      </c>
      <c r="F1036" s="2" t="s">
        <v>83</v>
      </c>
      <c r="G1036" s="1">
        <v>0</v>
      </c>
      <c r="H1036" s="1">
        <v>396</v>
      </c>
      <c r="I1036" s="2" t="s">
        <v>37</v>
      </c>
      <c r="J1036" s="2" t="s">
        <v>20</v>
      </c>
      <c r="K1036" s="1">
        <v>260.36</v>
      </c>
      <c r="L1036" s="3">
        <v>45578</v>
      </c>
    </row>
    <row r="1037" spans="1:12" x14ac:dyDescent="0.25">
      <c r="A1037" s="1">
        <v>100788</v>
      </c>
      <c r="B1037" s="2" t="s">
        <v>667</v>
      </c>
      <c r="C1037" s="2" t="s">
        <v>122</v>
      </c>
      <c r="D1037" s="2" t="s">
        <v>41</v>
      </c>
      <c r="E1037" s="2" t="s">
        <v>60</v>
      </c>
      <c r="F1037" s="2" t="s">
        <v>18</v>
      </c>
      <c r="G1037" s="1">
        <v>0</v>
      </c>
      <c r="H1037" s="1">
        <v>896</v>
      </c>
      <c r="I1037" s="2" t="s">
        <v>32</v>
      </c>
      <c r="J1037" s="2" t="s">
        <v>20</v>
      </c>
      <c r="K1037" s="1">
        <v>253.93</v>
      </c>
      <c r="L1037" s="3">
        <v>45578</v>
      </c>
    </row>
    <row r="1038" spans="1:12" x14ac:dyDescent="0.25">
      <c r="A1038" s="1">
        <v>100505</v>
      </c>
      <c r="B1038" s="2" t="s">
        <v>493</v>
      </c>
      <c r="C1038" s="2" t="s">
        <v>152</v>
      </c>
      <c r="D1038" s="2" t="s">
        <v>16</v>
      </c>
      <c r="E1038" s="2" t="s">
        <v>81</v>
      </c>
      <c r="F1038" s="2" t="s">
        <v>18</v>
      </c>
      <c r="G1038" s="1">
        <v>0</v>
      </c>
      <c r="H1038" s="1">
        <v>737</v>
      </c>
      <c r="I1038" s="2" t="s">
        <v>45</v>
      </c>
      <c r="J1038" s="2" t="s">
        <v>20</v>
      </c>
      <c r="K1038" s="1">
        <v>1419.3</v>
      </c>
      <c r="L1038" s="3">
        <v>45577</v>
      </c>
    </row>
    <row r="1039" spans="1:12" x14ac:dyDescent="0.25">
      <c r="A1039" s="1">
        <v>100901</v>
      </c>
      <c r="B1039" s="2" t="s">
        <v>443</v>
      </c>
      <c r="C1039" s="2" t="s">
        <v>72</v>
      </c>
      <c r="D1039" s="2" t="s">
        <v>16</v>
      </c>
      <c r="E1039" s="2" t="s">
        <v>17</v>
      </c>
      <c r="F1039" s="2" t="s">
        <v>18</v>
      </c>
      <c r="G1039" s="1">
        <v>0</v>
      </c>
      <c r="H1039" s="1">
        <v>309</v>
      </c>
      <c r="I1039" s="2" t="s">
        <v>37</v>
      </c>
      <c r="J1039" s="2" t="s">
        <v>26</v>
      </c>
      <c r="K1039" s="1">
        <v>512.42999999999995</v>
      </c>
      <c r="L1039" s="3">
        <v>45577</v>
      </c>
    </row>
    <row r="1040" spans="1:12" x14ac:dyDescent="0.25">
      <c r="A1040" s="1">
        <v>100397</v>
      </c>
      <c r="B1040" s="2" t="s">
        <v>65</v>
      </c>
      <c r="C1040" s="2" t="s">
        <v>62</v>
      </c>
      <c r="D1040" s="2" t="s">
        <v>41</v>
      </c>
      <c r="E1040" s="2" t="s">
        <v>31</v>
      </c>
      <c r="F1040" s="2" t="s">
        <v>18</v>
      </c>
      <c r="G1040" s="1">
        <v>0</v>
      </c>
      <c r="H1040" s="1">
        <v>542</v>
      </c>
      <c r="I1040" s="2" t="s">
        <v>56</v>
      </c>
      <c r="J1040" s="2" t="s">
        <v>33</v>
      </c>
      <c r="K1040" s="1">
        <v>251.99</v>
      </c>
      <c r="L1040" s="3">
        <v>45577</v>
      </c>
    </row>
    <row r="1041" spans="1:12" x14ac:dyDescent="0.25">
      <c r="A1041" s="1">
        <v>100688</v>
      </c>
      <c r="B1041" s="2" t="s">
        <v>396</v>
      </c>
      <c r="C1041" s="2" t="s">
        <v>103</v>
      </c>
      <c r="D1041" s="2" t="s">
        <v>16</v>
      </c>
      <c r="E1041" s="2" t="s">
        <v>17</v>
      </c>
      <c r="F1041" s="2" t="s">
        <v>18</v>
      </c>
      <c r="G1041" s="1">
        <v>0</v>
      </c>
      <c r="H1041" s="1">
        <v>437</v>
      </c>
      <c r="I1041" s="2" t="s">
        <v>19</v>
      </c>
      <c r="J1041" s="2" t="s">
        <v>20</v>
      </c>
      <c r="K1041" s="1">
        <v>113.54</v>
      </c>
      <c r="L1041" s="3">
        <v>45577</v>
      </c>
    </row>
    <row r="1042" spans="1:12" x14ac:dyDescent="0.25">
      <c r="A1042" s="1">
        <v>100757</v>
      </c>
      <c r="B1042" s="2" t="s">
        <v>355</v>
      </c>
      <c r="C1042" s="2" t="s">
        <v>244</v>
      </c>
      <c r="D1042" s="2" t="s">
        <v>41</v>
      </c>
      <c r="E1042" s="2" t="s">
        <v>81</v>
      </c>
      <c r="F1042" s="2" t="s">
        <v>83</v>
      </c>
      <c r="G1042" s="1">
        <v>0</v>
      </c>
      <c r="H1042" s="1">
        <v>746</v>
      </c>
      <c r="I1042" s="2" t="s">
        <v>45</v>
      </c>
      <c r="J1042" s="2" t="s">
        <v>33</v>
      </c>
      <c r="K1042" s="1">
        <v>266.97000000000003</v>
      </c>
      <c r="L1042" s="3">
        <v>45576</v>
      </c>
    </row>
    <row r="1043" spans="1:12" x14ac:dyDescent="0.25">
      <c r="A1043" s="1">
        <v>100410</v>
      </c>
      <c r="B1043" s="2" t="s">
        <v>528</v>
      </c>
      <c r="C1043" s="2" t="s">
        <v>103</v>
      </c>
      <c r="D1043" s="2" t="s">
        <v>16</v>
      </c>
      <c r="E1043" s="2" t="s">
        <v>70</v>
      </c>
      <c r="F1043" s="2" t="s">
        <v>18</v>
      </c>
      <c r="G1043" s="1">
        <v>0</v>
      </c>
      <c r="H1043" s="1">
        <v>583</v>
      </c>
      <c r="I1043" s="2" t="s">
        <v>19</v>
      </c>
      <c r="J1043" s="2" t="s">
        <v>26</v>
      </c>
      <c r="K1043" s="1">
        <v>219.02</v>
      </c>
      <c r="L1043" s="3">
        <v>45576</v>
      </c>
    </row>
    <row r="1044" spans="1:12" x14ac:dyDescent="0.25">
      <c r="A1044" s="1">
        <v>100571</v>
      </c>
      <c r="B1044" s="2" t="s">
        <v>131</v>
      </c>
      <c r="C1044" s="2" t="s">
        <v>39</v>
      </c>
      <c r="D1044" s="2" t="s">
        <v>64</v>
      </c>
      <c r="E1044" s="2" t="s">
        <v>17</v>
      </c>
      <c r="F1044" s="2" t="s">
        <v>18</v>
      </c>
      <c r="G1044" s="1">
        <v>0</v>
      </c>
      <c r="H1044" s="1">
        <v>867</v>
      </c>
      <c r="I1044" s="2" t="s">
        <v>32</v>
      </c>
      <c r="J1044" s="2" t="s">
        <v>20</v>
      </c>
      <c r="K1044" s="1">
        <v>194.64</v>
      </c>
      <c r="L1044" s="3">
        <v>45576</v>
      </c>
    </row>
    <row r="1045" spans="1:12" x14ac:dyDescent="0.25">
      <c r="A1045" s="1">
        <v>100970</v>
      </c>
      <c r="B1045" s="2" t="s">
        <v>592</v>
      </c>
      <c r="C1045" s="2" t="s">
        <v>47</v>
      </c>
      <c r="D1045" s="2" t="s">
        <v>106</v>
      </c>
      <c r="E1045" s="2" t="s">
        <v>60</v>
      </c>
      <c r="F1045" s="2" t="s">
        <v>25</v>
      </c>
      <c r="G1045" s="1">
        <v>14</v>
      </c>
      <c r="H1045" s="1">
        <v>332</v>
      </c>
      <c r="I1045" s="2" t="s">
        <v>32</v>
      </c>
      <c r="J1045" s="2" t="s">
        <v>33</v>
      </c>
      <c r="K1045" s="1">
        <v>154.46</v>
      </c>
      <c r="L1045" s="3">
        <v>45576</v>
      </c>
    </row>
    <row r="1046" spans="1:12" x14ac:dyDescent="0.25">
      <c r="A1046" s="1">
        <v>101143</v>
      </c>
      <c r="B1046" s="2" t="s">
        <v>174</v>
      </c>
      <c r="C1046" s="2" t="s">
        <v>134</v>
      </c>
      <c r="D1046" s="2" t="s">
        <v>16</v>
      </c>
      <c r="E1046" s="2" t="s">
        <v>17</v>
      </c>
      <c r="F1046" s="2" t="s">
        <v>25</v>
      </c>
      <c r="G1046" s="1">
        <v>5</v>
      </c>
      <c r="H1046" s="1">
        <v>554</v>
      </c>
      <c r="I1046" s="2" t="s">
        <v>19</v>
      </c>
      <c r="J1046" s="2" t="s">
        <v>20</v>
      </c>
      <c r="K1046" s="1"/>
      <c r="L1046" s="3">
        <v>45576</v>
      </c>
    </row>
    <row r="1047" spans="1:12" x14ac:dyDescent="0.25">
      <c r="A1047" s="1">
        <v>102150</v>
      </c>
      <c r="B1047" s="2" t="s">
        <v>1026</v>
      </c>
      <c r="C1047" s="2" t="s">
        <v>244</v>
      </c>
      <c r="D1047" s="2" t="s">
        <v>16</v>
      </c>
      <c r="E1047" s="2" t="s">
        <v>17</v>
      </c>
      <c r="F1047" s="2" t="s">
        <v>25</v>
      </c>
      <c r="G1047" s="1">
        <v>9</v>
      </c>
      <c r="H1047" s="1">
        <v>560</v>
      </c>
      <c r="I1047" s="2" t="s">
        <v>56</v>
      </c>
      <c r="J1047" s="2" t="s">
        <v>20</v>
      </c>
      <c r="K1047" s="1">
        <v>399.37</v>
      </c>
      <c r="L1047" s="3">
        <v>45575</v>
      </c>
    </row>
    <row r="1048" spans="1:12" x14ac:dyDescent="0.25">
      <c r="A1048" s="1">
        <v>100197</v>
      </c>
      <c r="B1048" s="2" t="s">
        <v>460</v>
      </c>
      <c r="C1048" s="2" t="s">
        <v>95</v>
      </c>
      <c r="D1048" s="2" t="s">
        <v>64</v>
      </c>
      <c r="E1048" s="2" t="s">
        <v>31</v>
      </c>
      <c r="F1048" s="2" t="s">
        <v>18</v>
      </c>
      <c r="G1048" s="1">
        <v>0</v>
      </c>
      <c r="H1048" s="1">
        <v>716</v>
      </c>
      <c r="I1048" s="2" t="s">
        <v>32</v>
      </c>
      <c r="J1048" s="2" t="s">
        <v>20</v>
      </c>
      <c r="K1048" s="1">
        <v>301.12</v>
      </c>
      <c r="L1048" s="3">
        <v>45575</v>
      </c>
    </row>
    <row r="1049" spans="1:12" x14ac:dyDescent="0.25">
      <c r="A1049" s="1">
        <v>102077</v>
      </c>
      <c r="B1049" s="2" t="s">
        <v>678</v>
      </c>
      <c r="C1049" s="2" t="s">
        <v>270</v>
      </c>
      <c r="D1049" s="2" t="s">
        <v>64</v>
      </c>
      <c r="E1049" s="2" t="s">
        <v>17</v>
      </c>
      <c r="F1049" s="2" t="s">
        <v>83</v>
      </c>
      <c r="G1049" s="1">
        <v>0</v>
      </c>
      <c r="H1049" s="1">
        <v>883</v>
      </c>
      <c r="I1049" s="2" t="s">
        <v>56</v>
      </c>
      <c r="J1049" s="2" t="s">
        <v>20</v>
      </c>
      <c r="K1049" s="1">
        <v>211.52</v>
      </c>
      <c r="L1049" s="3">
        <v>45575</v>
      </c>
    </row>
    <row r="1050" spans="1:12" x14ac:dyDescent="0.25">
      <c r="A1050" s="1">
        <v>100906</v>
      </c>
      <c r="B1050" s="2" t="s">
        <v>463</v>
      </c>
      <c r="C1050" s="2" t="s">
        <v>126</v>
      </c>
      <c r="D1050" s="2" t="s">
        <v>50</v>
      </c>
      <c r="E1050" s="2" t="s">
        <v>17</v>
      </c>
      <c r="F1050" s="2" t="s">
        <v>25</v>
      </c>
      <c r="G1050" s="1">
        <v>14</v>
      </c>
      <c r="H1050" s="1">
        <v>765</v>
      </c>
      <c r="I1050" s="2" t="s">
        <v>45</v>
      </c>
      <c r="J1050" s="2" t="s">
        <v>20</v>
      </c>
      <c r="K1050" s="1">
        <v>175.29</v>
      </c>
      <c r="L1050" s="3">
        <v>45575</v>
      </c>
    </row>
    <row r="1051" spans="1:12" x14ac:dyDescent="0.25">
      <c r="A1051" s="1">
        <v>101324</v>
      </c>
      <c r="B1051" s="2" t="s">
        <v>222</v>
      </c>
      <c r="C1051" s="2" t="s">
        <v>35</v>
      </c>
      <c r="D1051" s="2" t="s">
        <v>16</v>
      </c>
      <c r="E1051" s="2" t="s">
        <v>55</v>
      </c>
      <c r="F1051" s="2" t="s">
        <v>18</v>
      </c>
      <c r="G1051" s="1">
        <v>0</v>
      </c>
      <c r="H1051" s="1">
        <v>585</v>
      </c>
      <c r="I1051" s="2" t="s">
        <v>19</v>
      </c>
      <c r="J1051" s="2" t="s">
        <v>20</v>
      </c>
      <c r="K1051" s="1">
        <v>66.73</v>
      </c>
      <c r="L1051" s="3">
        <v>45575</v>
      </c>
    </row>
    <row r="1052" spans="1:12" x14ac:dyDescent="0.25">
      <c r="A1052" s="1">
        <v>101767</v>
      </c>
      <c r="B1052" s="2" t="s">
        <v>151</v>
      </c>
      <c r="C1052" s="2" t="s">
        <v>152</v>
      </c>
      <c r="D1052" s="2" t="s">
        <v>41</v>
      </c>
      <c r="E1052" s="2" t="s">
        <v>78</v>
      </c>
      <c r="F1052" s="2" t="s">
        <v>83</v>
      </c>
      <c r="G1052" s="1">
        <v>0</v>
      </c>
      <c r="H1052" s="1">
        <v>534</v>
      </c>
      <c r="I1052" s="2" t="s">
        <v>45</v>
      </c>
      <c r="J1052" s="2" t="s">
        <v>20</v>
      </c>
      <c r="K1052" s="1">
        <v>607.19000000000005</v>
      </c>
      <c r="L1052" s="3">
        <v>45574</v>
      </c>
    </row>
    <row r="1053" spans="1:12" x14ac:dyDescent="0.25">
      <c r="A1053" s="1">
        <v>101497</v>
      </c>
      <c r="B1053" s="2" t="s">
        <v>443</v>
      </c>
      <c r="C1053" s="2" t="s">
        <v>72</v>
      </c>
      <c r="D1053" s="2" t="s">
        <v>41</v>
      </c>
      <c r="E1053" s="2" t="s">
        <v>35</v>
      </c>
      <c r="F1053" s="2" t="s">
        <v>18</v>
      </c>
      <c r="G1053" s="1">
        <v>0</v>
      </c>
      <c r="H1053" s="1">
        <v>309</v>
      </c>
      <c r="I1053" s="2" t="s">
        <v>56</v>
      </c>
      <c r="J1053" s="2" t="s">
        <v>35</v>
      </c>
      <c r="K1053" s="1">
        <v>510.25</v>
      </c>
      <c r="L1053" s="3">
        <v>45574</v>
      </c>
    </row>
    <row r="1054" spans="1:12" x14ac:dyDescent="0.25">
      <c r="A1054" s="1">
        <v>100279</v>
      </c>
      <c r="B1054" s="2" t="s">
        <v>1091</v>
      </c>
      <c r="C1054" s="2" t="s">
        <v>270</v>
      </c>
      <c r="D1054" s="2" t="s">
        <v>41</v>
      </c>
      <c r="E1054" s="2" t="s">
        <v>78</v>
      </c>
      <c r="F1054" s="2" t="s">
        <v>42</v>
      </c>
      <c r="G1054" s="1">
        <v>132</v>
      </c>
      <c r="H1054" s="1">
        <v>817</v>
      </c>
      <c r="I1054" s="2" t="s">
        <v>45</v>
      </c>
      <c r="J1054" s="2" t="s">
        <v>20</v>
      </c>
      <c r="K1054" s="1">
        <v>498.67</v>
      </c>
      <c r="L1054" s="3">
        <v>45574</v>
      </c>
    </row>
    <row r="1055" spans="1:12" x14ac:dyDescent="0.25">
      <c r="A1055" s="1">
        <v>101739</v>
      </c>
      <c r="B1055" s="2" t="s">
        <v>367</v>
      </c>
      <c r="C1055" s="2" t="s">
        <v>103</v>
      </c>
      <c r="D1055" s="2" t="s">
        <v>64</v>
      </c>
      <c r="E1055" s="2" t="s">
        <v>31</v>
      </c>
      <c r="F1055" s="2" t="s">
        <v>25</v>
      </c>
      <c r="G1055" s="1">
        <v>17</v>
      </c>
      <c r="H1055" s="1">
        <v>621</v>
      </c>
      <c r="I1055" s="2" t="s">
        <v>45</v>
      </c>
      <c r="J1055" s="2" t="s">
        <v>33</v>
      </c>
      <c r="K1055" s="1">
        <v>457.15</v>
      </c>
      <c r="L1055" s="3">
        <v>45574</v>
      </c>
    </row>
    <row r="1056" spans="1:12" x14ac:dyDescent="0.25">
      <c r="A1056" s="1">
        <v>101405</v>
      </c>
      <c r="B1056" s="2" t="s">
        <v>493</v>
      </c>
      <c r="C1056" s="2" t="s">
        <v>152</v>
      </c>
      <c r="D1056" s="2" t="s">
        <v>50</v>
      </c>
      <c r="E1056" s="2" t="s">
        <v>81</v>
      </c>
      <c r="F1056" s="2" t="s">
        <v>18</v>
      </c>
      <c r="G1056" s="1">
        <v>0</v>
      </c>
      <c r="H1056" s="1">
        <v>737</v>
      </c>
      <c r="I1056" s="2" t="s">
        <v>19</v>
      </c>
      <c r="J1056" s="2" t="s">
        <v>26</v>
      </c>
      <c r="K1056" s="1">
        <v>434.72</v>
      </c>
      <c r="L1056" s="3">
        <v>45574</v>
      </c>
    </row>
    <row r="1057" spans="1:12" x14ac:dyDescent="0.25">
      <c r="A1057" s="1">
        <v>101880</v>
      </c>
      <c r="B1057" s="2" t="s">
        <v>342</v>
      </c>
      <c r="C1057" s="2" t="s">
        <v>110</v>
      </c>
      <c r="D1057" s="2" t="s">
        <v>41</v>
      </c>
      <c r="E1057" s="2" t="s">
        <v>81</v>
      </c>
      <c r="F1057" s="2" t="s">
        <v>18</v>
      </c>
      <c r="G1057" s="1">
        <v>0</v>
      </c>
      <c r="H1057" s="1">
        <v>659</v>
      </c>
      <c r="I1057" s="2" t="s">
        <v>45</v>
      </c>
      <c r="J1057" s="2" t="s">
        <v>20</v>
      </c>
      <c r="K1057" s="1">
        <v>371.37</v>
      </c>
      <c r="L1057" s="3">
        <v>45574</v>
      </c>
    </row>
    <row r="1058" spans="1:12" x14ac:dyDescent="0.25">
      <c r="A1058" s="1">
        <v>101784</v>
      </c>
      <c r="B1058" s="2" t="s">
        <v>462</v>
      </c>
      <c r="C1058" s="2" t="s">
        <v>168</v>
      </c>
      <c r="D1058" s="2" t="s">
        <v>50</v>
      </c>
      <c r="E1058" s="2" t="s">
        <v>31</v>
      </c>
      <c r="F1058" s="2" t="s">
        <v>18</v>
      </c>
      <c r="G1058" s="1">
        <v>0</v>
      </c>
      <c r="H1058" s="1">
        <v>716</v>
      </c>
      <c r="I1058" s="2" t="s">
        <v>56</v>
      </c>
      <c r="J1058" s="2" t="s">
        <v>33</v>
      </c>
      <c r="K1058" s="1">
        <v>138.26</v>
      </c>
      <c r="L1058" s="3">
        <v>45574</v>
      </c>
    </row>
    <row r="1059" spans="1:12" x14ac:dyDescent="0.25">
      <c r="A1059" s="1">
        <v>100373</v>
      </c>
      <c r="B1059" s="2" t="s">
        <v>75</v>
      </c>
      <c r="C1059" s="2" t="s">
        <v>39</v>
      </c>
      <c r="D1059" s="2" t="s">
        <v>41</v>
      </c>
      <c r="E1059" s="2" t="s">
        <v>78</v>
      </c>
      <c r="F1059" s="2" t="s">
        <v>18</v>
      </c>
      <c r="G1059" s="1">
        <v>0</v>
      </c>
      <c r="H1059" s="1">
        <v>554</v>
      </c>
      <c r="I1059" s="2" t="s">
        <v>45</v>
      </c>
      <c r="J1059" s="2" t="s">
        <v>26</v>
      </c>
      <c r="K1059" s="1">
        <v>85.33</v>
      </c>
      <c r="L1059" s="3">
        <v>45574</v>
      </c>
    </row>
    <row r="1060" spans="1:12" x14ac:dyDescent="0.25">
      <c r="A1060" s="1">
        <v>101087</v>
      </c>
      <c r="B1060" s="2" t="s">
        <v>438</v>
      </c>
      <c r="C1060" s="2" t="s">
        <v>95</v>
      </c>
      <c r="D1060" s="2" t="s">
        <v>50</v>
      </c>
      <c r="E1060" s="2" t="s">
        <v>17</v>
      </c>
      <c r="F1060" s="2" t="s">
        <v>42</v>
      </c>
      <c r="G1060" s="1">
        <v>31</v>
      </c>
      <c r="H1060" s="1">
        <v>858</v>
      </c>
      <c r="I1060" s="2" t="s">
        <v>37</v>
      </c>
      <c r="J1060" s="2" t="s">
        <v>20</v>
      </c>
      <c r="K1060" s="1">
        <v>513.21</v>
      </c>
      <c r="L1060" s="3">
        <v>45573</v>
      </c>
    </row>
    <row r="1061" spans="1:12" x14ac:dyDescent="0.25">
      <c r="A1061" s="1">
        <v>101587</v>
      </c>
      <c r="B1061" s="2" t="s">
        <v>905</v>
      </c>
      <c r="C1061" s="2" t="s">
        <v>100</v>
      </c>
      <c r="D1061" s="2" t="s">
        <v>64</v>
      </c>
      <c r="E1061" s="2" t="s">
        <v>78</v>
      </c>
      <c r="F1061" s="2" t="s">
        <v>25</v>
      </c>
      <c r="G1061" s="1">
        <v>10</v>
      </c>
      <c r="H1061" s="1">
        <v>325</v>
      </c>
      <c r="I1061" s="2" t="s">
        <v>56</v>
      </c>
      <c r="J1061" s="2" t="s">
        <v>33</v>
      </c>
      <c r="K1061" s="1">
        <v>393.21</v>
      </c>
      <c r="L1061" s="3">
        <v>45573</v>
      </c>
    </row>
    <row r="1062" spans="1:12" x14ac:dyDescent="0.25">
      <c r="A1062" s="1">
        <v>101921</v>
      </c>
      <c r="B1062" s="2" t="s">
        <v>319</v>
      </c>
      <c r="C1062" s="2" t="s">
        <v>100</v>
      </c>
      <c r="D1062" s="2" t="s">
        <v>16</v>
      </c>
      <c r="E1062" s="2" t="s">
        <v>55</v>
      </c>
      <c r="F1062" s="2" t="s">
        <v>25</v>
      </c>
      <c r="G1062" s="1">
        <v>19</v>
      </c>
      <c r="H1062" s="1">
        <v>411</v>
      </c>
      <c r="I1062" s="2" t="s">
        <v>37</v>
      </c>
      <c r="J1062" s="2" t="s">
        <v>20</v>
      </c>
      <c r="K1062" s="1">
        <v>236.15</v>
      </c>
      <c r="L1062" s="3">
        <v>45573</v>
      </c>
    </row>
    <row r="1063" spans="1:12" x14ac:dyDescent="0.25">
      <c r="A1063" s="1">
        <v>102032</v>
      </c>
      <c r="B1063" s="2" t="s">
        <v>232</v>
      </c>
      <c r="C1063" s="2" t="s">
        <v>152</v>
      </c>
      <c r="D1063" s="2" t="s">
        <v>64</v>
      </c>
      <c r="E1063" s="2" t="s">
        <v>31</v>
      </c>
      <c r="F1063" s="2" t="s">
        <v>18</v>
      </c>
      <c r="G1063" s="1">
        <v>0</v>
      </c>
      <c r="H1063" s="1">
        <v>781</v>
      </c>
      <c r="I1063" s="2" t="s">
        <v>19</v>
      </c>
      <c r="J1063" s="2" t="s">
        <v>20</v>
      </c>
      <c r="K1063" s="1">
        <v>111.88</v>
      </c>
      <c r="L1063" s="3">
        <v>45573</v>
      </c>
    </row>
    <row r="1064" spans="1:12" x14ac:dyDescent="0.25">
      <c r="A1064" s="1">
        <v>102035</v>
      </c>
      <c r="B1064" s="2" t="s">
        <v>129</v>
      </c>
      <c r="C1064" s="2" t="s">
        <v>13</v>
      </c>
      <c r="D1064" s="2" t="s">
        <v>16</v>
      </c>
      <c r="E1064" s="2" t="s">
        <v>70</v>
      </c>
      <c r="F1064" s="2" t="s">
        <v>18</v>
      </c>
      <c r="G1064" s="1">
        <v>0</v>
      </c>
      <c r="H1064" s="1">
        <v>336</v>
      </c>
      <c r="I1064" s="2" t="s">
        <v>32</v>
      </c>
      <c r="J1064" s="2" t="s">
        <v>20</v>
      </c>
      <c r="K1064" s="1">
        <v>658.08</v>
      </c>
      <c r="L1064" s="3">
        <v>45572</v>
      </c>
    </row>
    <row r="1065" spans="1:12" x14ac:dyDescent="0.25">
      <c r="A1065" s="1">
        <v>100672</v>
      </c>
      <c r="B1065" s="2" t="s">
        <v>750</v>
      </c>
      <c r="C1065" s="2" t="s">
        <v>52</v>
      </c>
      <c r="D1065" s="2" t="s">
        <v>41</v>
      </c>
      <c r="E1065" s="2" t="s">
        <v>81</v>
      </c>
      <c r="F1065" s="2" t="s">
        <v>42</v>
      </c>
      <c r="G1065" s="1">
        <v>94</v>
      </c>
      <c r="H1065" s="1">
        <v>856</v>
      </c>
      <c r="I1065" s="2" t="s">
        <v>37</v>
      </c>
      <c r="J1065" s="2" t="s">
        <v>33</v>
      </c>
      <c r="K1065" s="1">
        <v>271.58999999999997</v>
      </c>
      <c r="L1065" s="3">
        <v>45572</v>
      </c>
    </row>
    <row r="1066" spans="1:12" x14ac:dyDescent="0.25">
      <c r="A1066" s="1">
        <v>100692</v>
      </c>
      <c r="B1066" s="2" t="s">
        <v>313</v>
      </c>
      <c r="C1066" s="2" t="s">
        <v>58</v>
      </c>
      <c r="D1066" s="2" t="s">
        <v>50</v>
      </c>
      <c r="E1066" s="2" t="s">
        <v>17</v>
      </c>
      <c r="F1066" s="2" t="s">
        <v>25</v>
      </c>
      <c r="G1066" s="1">
        <v>10</v>
      </c>
      <c r="H1066" s="1">
        <v>716</v>
      </c>
      <c r="I1066" s="2" t="s">
        <v>45</v>
      </c>
      <c r="J1066" s="2" t="s">
        <v>20</v>
      </c>
      <c r="K1066" s="1">
        <v>169.59</v>
      </c>
      <c r="L1066" s="3">
        <v>45572</v>
      </c>
    </row>
    <row r="1067" spans="1:12" x14ac:dyDescent="0.25">
      <c r="A1067" s="1">
        <v>100150</v>
      </c>
      <c r="B1067" s="2" t="s">
        <v>619</v>
      </c>
      <c r="C1067" s="2" t="s">
        <v>244</v>
      </c>
      <c r="D1067" s="2" t="s">
        <v>16</v>
      </c>
      <c r="E1067" s="2" t="s">
        <v>78</v>
      </c>
      <c r="F1067" s="2" t="s">
        <v>18</v>
      </c>
      <c r="G1067" s="1">
        <v>0</v>
      </c>
      <c r="H1067" s="1">
        <v>351</v>
      </c>
      <c r="I1067" s="2" t="s">
        <v>32</v>
      </c>
      <c r="J1067" s="2" t="s">
        <v>33</v>
      </c>
      <c r="K1067" s="1">
        <v>111.52</v>
      </c>
      <c r="L1067" s="3">
        <v>45572</v>
      </c>
    </row>
    <row r="1068" spans="1:12" x14ac:dyDescent="0.25">
      <c r="A1068" s="1">
        <v>101440</v>
      </c>
      <c r="B1068" s="2" t="s">
        <v>438</v>
      </c>
      <c r="C1068" s="2" t="s">
        <v>95</v>
      </c>
      <c r="D1068" s="2" t="s">
        <v>41</v>
      </c>
      <c r="E1068" s="2" t="s">
        <v>17</v>
      </c>
      <c r="F1068" s="2" t="s">
        <v>25</v>
      </c>
      <c r="G1068" s="1">
        <v>2</v>
      </c>
      <c r="H1068" s="1">
        <v>858</v>
      </c>
      <c r="I1068" s="2" t="s">
        <v>19</v>
      </c>
      <c r="J1068" s="2" t="s">
        <v>26</v>
      </c>
      <c r="K1068" s="1">
        <v>104.78</v>
      </c>
      <c r="L1068" s="3">
        <v>45572</v>
      </c>
    </row>
    <row r="1069" spans="1:12" x14ac:dyDescent="0.25">
      <c r="A1069" s="1">
        <v>101993</v>
      </c>
      <c r="B1069" s="2" t="s">
        <v>38</v>
      </c>
      <c r="C1069" s="2" t="s">
        <v>39</v>
      </c>
      <c r="D1069" s="2" t="s">
        <v>106</v>
      </c>
      <c r="E1069" s="2" t="s">
        <v>17</v>
      </c>
      <c r="F1069" s="2" t="s">
        <v>18</v>
      </c>
      <c r="G1069" s="1">
        <v>0</v>
      </c>
      <c r="H1069" s="1">
        <v>533</v>
      </c>
      <c r="I1069" s="2" t="s">
        <v>37</v>
      </c>
      <c r="J1069" s="2" t="s">
        <v>20</v>
      </c>
      <c r="K1069" s="1">
        <v>1280.58</v>
      </c>
      <c r="L1069" s="3">
        <v>45571</v>
      </c>
    </row>
    <row r="1070" spans="1:12" x14ac:dyDescent="0.25">
      <c r="A1070" s="1">
        <v>100386</v>
      </c>
      <c r="B1070" s="2" t="s">
        <v>79</v>
      </c>
      <c r="C1070" s="2" t="s">
        <v>47</v>
      </c>
      <c r="D1070" s="2" t="s">
        <v>16</v>
      </c>
      <c r="E1070" s="2" t="s">
        <v>70</v>
      </c>
      <c r="F1070" s="2" t="s">
        <v>18</v>
      </c>
      <c r="G1070" s="1">
        <v>0</v>
      </c>
      <c r="H1070" s="1">
        <v>585</v>
      </c>
      <c r="I1070" s="2" t="s">
        <v>56</v>
      </c>
      <c r="J1070" s="2" t="s">
        <v>33</v>
      </c>
      <c r="K1070" s="1">
        <v>745.05</v>
      </c>
      <c r="L1070" s="3">
        <v>45571</v>
      </c>
    </row>
    <row r="1071" spans="1:12" x14ac:dyDescent="0.25">
      <c r="A1071" s="1">
        <v>100837</v>
      </c>
      <c r="B1071" s="2" t="s">
        <v>619</v>
      </c>
      <c r="C1071" s="2" t="s">
        <v>244</v>
      </c>
      <c r="D1071" s="2" t="s">
        <v>106</v>
      </c>
      <c r="E1071" s="2" t="s">
        <v>81</v>
      </c>
      <c r="F1071" s="2" t="s">
        <v>42</v>
      </c>
      <c r="G1071" s="1">
        <v>133</v>
      </c>
      <c r="H1071" s="1">
        <v>351</v>
      </c>
      <c r="I1071" s="2" t="s">
        <v>37</v>
      </c>
      <c r="J1071" s="2" t="s">
        <v>20</v>
      </c>
      <c r="K1071" s="1">
        <v>161.59</v>
      </c>
      <c r="L1071" s="3">
        <v>45571</v>
      </c>
    </row>
    <row r="1072" spans="1:12" x14ac:dyDescent="0.25">
      <c r="A1072" s="1">
        <v>100274</v>
      </c>
      <c r="B1072" s="2" t="s">
        <v>585</v>
      </c>
      <c r="C1072" s="2" t="s">
        <v>270</v>
      </c>
      <c r="D1072" s="2" t="s">
        <v>16</v>
      </c>
      <c r="E1072" s="2" t="s">
        <v>17</v>
      </c>
      <c r="F1072" s="2" t="s">
        <v>18</v>
      </c>
      <c r="G1072" s="1">
        <v>0</v>
      </c>
      <c r="H1072" s="1">
        <v>814</v>
      </c>
      <c r="I1072" s="2" t="s">
        <v>37</v>
      </c>
      <c r="J1072" s="2" t="s">
        <v>33</v>
      </c>
      <c r="K1072" s="1">
        <v>284.52999999999997</v>
      </c>
      <c r="L1072" s="3">
        <v>45570</v>
      </c>
    </row>
    <row r="1073" spans="1:12" x14ac:dyDescent="0.25">
      <c r="A1073" s="1">
        <v>100167</v>
      </c>
      <c r="B1073" s="2" t="s">
        <v>1163</v>
      </c>
      <c r="C1073" s="2" t="s">
        <v>13</v>
      </c>
      <c r="D1073" s="2" t="s">
        <v>16</v>
      </c>
      <c r="E1073" s="2" t="s">
        <v>60</v>
      </c>
      <c r="F1073" s="2" t="s">
        <v>42</v>
      </c>
      <c r="G1073" s="1">
        <v>50</v>
      </c>
      <c r="H1073" s="1">
        <v>850</v>
      </c>
      <c r="I1073" s="2" t="s">
        <v>45</v>
      </c>
      <c r="J1073" s="2" t="s">
        <v>20</v>
      </c>
      <c r="K1073" s="1">
        <v>249.87</v>
      </c>
      <c r="L1073" s="3">
        <v>45570</v>
      </c>
    </row>
    <row r="1074" spans="1:12" x14ac:dyDescent="0.25">
      <c r="A1074" s="1">
        <v>102043</v>
      </c>
      <c r="B1074" s="2" t="s">
        <v>91</v>
      </c>
      <c r="C1074" s="2" t="s">
        <v>58</v>
      </c>
      <c r="D1074" s="2" t="s">
        <v>16</v>
      </c>
      <c r="E1074" s="2" t="s">
        <v>17</v>
      </c>
      <c r="F1074" s="2" t="s">
        <v>18</v>
      </c>
      <c r="G1074" s="1">
        <v>0</v>
      </c>
      <c r="H1074" s="1">
        <v>769</v>
      </c>
      <c r="I1074" s="2" t="s">
        <v>45</v>
      </c>
      <c r="J1074" s="2" t="s">
        <v>20</v>
      </c>
      <c r="K1074" s="1">
        <v>1392.64</v>
      </c>
      <c r="L1074" s="3">
        <v>45569</v>
      </c>
    </row>
    <row r="1075" spans="1:12" x14ac:dyDescent="0.25">
      <c r="A1075" s="1">
        <v>100707</v>
      </c>
      <c r="B1075" s="2" t="s">
        <v>765</v>
      </c>
      <c r="C1075" s="2" t="s">
        <v>22</v>
      </c>
      <c r="D1075" s="2" t="s">
        <v>41</v>
      </c>
      <c r="E1075" s="2" t="s">
        <v>60</v>
      </c>
      <c r="F1075" s="2" t="s">
        <v>18</v>
      </c>
      <c r="G1075" s="1">
        <v>0</v>
      </c>
      <c r="H1075" s="1">
        <v>851</v>
      </c>
      <c r="I1075" s="2" t="s">
        <v>37</v>
      </c>
      <c r="J1075" s="2" t="s">
        <v>33</v>
      </c>
      <c r="K1075" s="1">
        <v>179.99</v>
      </c>
      <c r="L1075" s="3">
        <v>45569</v>
      </c>
    </row>
    <row r="1076" spans="1:12" x14ac:dyDescent="0.25">
      <c r="A1076" s="1">
        <v>101286</v>
      </c>
      <c r="B1076" s="2" t="s">
        <v>243</v>
      </c>
      <c r="C1076" s="2" t="s">
        <v>244</v>
      </c>
      <c r="D1076" s="2" t="s">
        <v>50</v>
      </c>
      <c r="E1076" s="2" t="s">
        <v>60</v>
      </c>
      <c r="F1076" s="2" t="s">
        <v>42</v>
      </c>
      <c r="G1076" s="1">
        <v>82</v>
      </c>
      <c r="H1076" s="1">
        <v>729</v>
      </c>
      <c r="I1076" s="2" t="s">
        <v>32</v>
      </c>
      <c r="J1076" s="2" t="s">
        <v>20</v>
      </c>
      <c r="K1076" s="1">
        <v>85.34</v>
      </c>
      <c r="L1076" s="3">
        <v>45569</v>
      </c>
    </row>
    <row r="1077" spans="1:12" x14ac:dyDescent="0.25">
      <c r="A1077" s="1">
        <v>100264</v>
      </c>
      <c r="B1077" s="2" t="s">
        <v>1535</v>
      </c>
      <c r="C1077" s="2" t="s">
        <v>122</v>
      </c>
      <c r="D1077" s="2" t="s">
        <v>16</v>
      </c>
      <c r="E1077" s="2" t="s">
        <v>31</v>
      </c>
      <c r="F1077" s="2" t="s">
        <v>18</v>
      </c>
      <c r="G1077" s="1">
        <v>0</v>
      </c>
      <c r="H1077" s="1">
        <v>873</v>
      </c>
      <c r="I1077" s="2" t="s">
        <v>37</v>
      </c>
      <c r="J1077" s="2" t="s">
        <v>26</v>
      </c>
      <c r="K1077" s="1">
        <v>629.88</v>
      </c>
      <c r="L1077" s="3">
        <v>45568</v>
      </c>
    </row>
    <row r="1078" spans="1:12" x14ac:dyDescent="0.25">
      <c r="A1078" s="1">
        <v>101580</v>
      </c>
      <c r="B1078" s="2" t="s">
        <v>1357</v>
      </c>
      <c r="C1078" s="2" t="s">
        <v>100</v>
      </c>
      <c r="D1078" s="2" t="s">
        <v>41</v>
      </c>
      <c r="E1078" s="2" t="s">
        <v>81</v>
      </c>
      <c r="F1078" s="2" t="s">
        <v>83</v>
      </c>
      <c r="G1078" s="1">
        <v>0</v>
      </c>
      <c r="H1078" s="1">
        <v>522</v>
      </c>
      <c r="I1078" s="2" t="s">
        <v>19</v>
      </c>
      <c r="J1078" s="2" t="s">
        <v>26</v>
      </c>
      <c r="K1078" s="1">
        <v>414.07</v>
      </c>
      <c r="L1078" s="3">
        <v>45568</v>
      </c>
    </row>
    <row r="1079" spans="1:12" x14ac:dyDescent="0.25">
      <c r="A1079" s="1">
        <v>101365</v>
      </c>
      <c r="B1079" s="2" t="s">
        <v>107</v>
      </c>
      <c r="C1079" s="2" t="s">
        <v>58</v>
      </c>
      <c r="D1079" s="2" t="s">
        <v>16</v>
      </c>
      <c r="E1079" s="2" t="s">
        <v>55</v>
      </c>
      <c r="F1079" s="2" t="s">
        <v>18</v>
      </c>
      <c r="G1079" s="1">
        <v>0</v>
      </c>
      <c r="H1079" s="1">
        <v>884</v>
      </c>
      <c r="I1079" s="2" t="s">
        <v>45</v>
      </c>
      <c r="J1079" s="2" t="s">
        <v>20</v>
      </c>
      <c r="K1079" s="1">
        <v>177.76</v>
      </c>
      <c r="L1079" s="3">
        <v>45568</v>
      </c>
    </row>
    <row r="1080" spans="1:12" x14ac:dyDescent="0.25">
      <c r="A1080" s="1">
        <v>100700</v>
      </c>
      <c r="B1080" s="2" t="s">
        <v>91</v>
      </c>
      <c r="C1080" s="2" t="s">
        <v>58</v>
      </c>
      <c r="D1080" s="2" t="s">
        <v>41</v>
      </c>
      <c r="E1080" s="2" t="s">
        <v>31</v>
      </c>
      <c r="F1080" s="2" t="s">
        <v>18</v>
      </c>
      <c r="G1080" s="1">
        <v>0</v>
      </c>
      <c r="H1080" s="1">
        <v>769</v>
      </c>
      <c r="I1080" s="2" t="s">
        <v>19</v>
      </c>
      <c r="J1080" s="2" t="s">
        <v>20</v>
      </c>
      <c r="K1080" s="1">
        <v>174.58</v>
      </c>
      <c r="L1080" s="3">
        <v>45568</v>
      </c>
    </row>
    <row r="1081" spans="1:12" x14ac:dyDescent="0.25">
      <c r="A1081" s="1">
        <v>101149</v>
      </c>
      <c r="B1081" s="2" t="s">
        <v>678</v>
      </c>
      <c r="C1081" s="2" t="s">
        <v>270</v>
      </c>
      <c r="D1081" s="2" t="s">
        <v>64</v>
      </c>
      <c r="E1081" s="2" t="s">
        <v>17</v>
      </c>
      <c r="F1081" s="2" t="s">
        <v>18</v>
      </c>
      <c r="G1081" s="1">
        <v>0</v>
      </c>
      <c r="H1081" s="1">
        <v>883</v>
      </c>
      <c r="I1081" s="2" t="s">
        <v>19</v>
      </c>
      <c r="J1081" s="2" t="s">
        <v>33</v>
      </c>
      <c r="K1081" s="1">
        <v>404.8</v>
      </c>
      <c r="L1081" s="3">
        <v>45567</v>
      </c>
    </row>
    <row r="1082" spans="1:12" x14ac:dyDescent="0.25">
      <c r="A1082" s="1">
        <v>100558</v>
      </c>
      <c r="B1082" s="2" t="s">
        <v>592</v>
      </c>
      <c r="C1082" s="2" t="s">
        <v>47</v>
      </c>
      <c r="D1082" s="2" t="s">
        <v>41</v>
      </c>
      <c r="E1082" s="2" t="s">
        <v>31</v>
      </c>
      <c r="F1082" s="2" t="s">
        <v>18</v>
      </c>
      <c r="G1082" s="1">
        <v>0</v>
      </c>
      <c r="H1082" s="1">
        <v>332</v>
      </c>
      <c r="I1082" s="2" t="s">
        <v>56</v>
      </c>
      <c r="J1082" s="2" t="s">
        <v>26</v>
      </c>
      <c r="K1082" s="1">
        <v>237.78</v>
      </c>
      <c r="L1082" s="3">
        <v>45567</v>
      </c>
    </row>
    <row r="1083" spans="1:12" x14ac:dyDescent="0.25">
      <c r="A1083" s="1">
        <v>100308</v>
      </c>
      <c r="B1083" s="2" t="s">
        <v>174</v>
      </c>
      <c r="C1083" s="2" t="s">
        <v>134</v>
      </c>
      <c r="D1083" s="2" t="s">
        <v>64</v>
      </c>
      <c r="E1083" s="2" t="s">
        <v>70</v>
      </c>
      <c r="F1083" s="2" t="s">
        <v>18</v>
      </c>
      <c r="G1083" s="1">
        <v>0</v>
      </c>
      <c r="H1083" s="1">
        <v>554</v>
      </c>
      <c r="I1083" s="2" t="s">
        <v>37</v>
      </c>
      <c r="J1083" s="2" t="s">
        <v>20</v>
      </c>
      <c r="K1083" s="1">
        <v>73.64</v>
      </c>
      <c r="L1083" s="3">
        <v>45567</v>
      </c>
    </row>
    <row r="1084" spans="1:12" x14ac:dyDescent="0.25">
      <c r="A1084" s="1">
        <v>100765</v>
      </c>
      <c r="B1084" s="2" t="s">
        <v>1175</v>
      </c>
      <c r="C1084" s="2" t="s">
        <v>142</v>
      </c>
      <c r="D1084" s="2" t="s">
        <v>41</v>
      </c>
      <c r="E1084" s="2" t="s">
        <v>70</v>
      </c>
      <c r="F1084" s="2" t="s">
        <v>18</v>
      </c>
      <c r="G1084" s="1">
        <v>0</v>
      </c>
      <c r="H1084" s="1">
        <v>573</v>
      </c>
      <c r="I1084" s="2" t="s">
        <v>32</v>
      </c>
      <c r="J1084" s="2" t="s">
        <v>26</v>
      </c>
      <c r="K1084" s="1"/>
      <c r="L1084" s="3">
        <v>45567</v>
      </c>
    </row>
    <row r="1085" spans="1:12" x14ac:dyDescent="0.25">
      <c r="A1085" s="1">
        <v>101105</v>
      </c>
      <c r="B1085" s="2" t="s">
        <v>196</v>
      </c>
      <c r="C1085" s="2" t="s">
        <v>35</v>
      </c>
      <c r="D1085" s="2" t="s">
        <v>16</v>
      </c>
      <c r="E1085" s="2" t="s">
        <v>17</v>
      </c>
      <c r="F1085" s="2" t="s">
        <v>18</v>
      </c>
      <c r="G1085" s="1">
        <v>0</v>
      </c>
      <c r="H1085" s="1">
        <v>405</v>
      </c>
      <c r="I1085" s="2" t="s">
        <v>19</v>
      </c>
      <c r="J1085" s="2" t="s">
        <v>26</v>
      </c>
      <c r="K1085" s="1">
        <v>446.38</v>
      </c>
      <c r="L1085" s="3">
        <v>45566</v>
      </c>
    </row>
    <row r="1086" spans="1:12" x14ac:dyDescent="0.25">
      <c r="A1086" s="1">
        <v>100570</v>
      </c>
      <c r="B1086" s="2" t="s">
        <v>164</v>
      </c>
      <c r="C1086" s="2" t="s">
        <v>126</v>
      </c>
      <c r="D1086" s="2" t="s">
        <v>64</v>
      </c>
      <c r="E1086" s="2" t="s">
        <v>81</v>
      </c>
      <c r="F1086" s="2" t="s">
        <v>18</v>
      </c>
      <c r="G1086" s="1">
        <v>0</v>
      </c>
      <c r="H1086" s="1">
        <v>722</v>
      </c>
      <c r="I1086" s="2" t="s">
        <v>37</v>
      </c>
      <c r="J1086" s="2" t="s">
        <v>33</v>
      </c>
      <c r="K1086" s="1">
        <v>278.8</v>
      </c>
      <c r="L1086" s="3">
        <v>45566</v>
      </c>
    </row>
    <row r="1087" spans="1:12" x14ac:dyDescent="0.25">
      <c r="A1087" s="1">
        <v>100195</v>
      </c>
      <c r="B1087" s="2" t="s">
        <v>585</v>
      </c>
      <c r="C1087" s="2" t="s">
        <v>270</v>
      </c>
      <c r="D1087" s="2" t="s">
        <v>64</v>
      </c>
      <c r="E1087" s="2" t="s">
        <v>60</v>
      </c>
      <c r="F1087" s="2" t="s">
        <v>83</v>
      </c>
      <c r="G1087" s="1" t="s">
        <v>35</v>
      </c>
      <c r="H1087" s="1">
        <v>814</v>
      </c>
      <c r="I1087" s="2" t="s">
        <v>45</v>
      </c>
      <c r="J1087" s="2" t="s">
        <v>20</v>
      </c>
      <c r="K1087" s="1">
        <v>160.12</v>
      </c>
      <c r="L1087" s="3">
        <v>45566</v>
      </c>
    </row>
    <row r="1088" spans="1:12" x14ac:dyDescent="0.25">
      <c r="A1088" s="1">
        <v>101426</v>
      </c>
      <c r="B1088" s="2" t="s">
        <v>200</v>
      </c>
      <c r="C1088" s="2" t="s">
        <v>142</v>
      </c>
      <c r="D1088" s="2" t="s">
        <v>64</v>
      </c>
      <c r="E1088" s="2" t="s">
        <v>78</v>
      </c>
      <c r="F1088" s="2" t="s">
        <v>83</v>
      </c>
      <c r="G1088" s="1" t="s">
        <v>35</v>
      </c>
      <c r="H1088" s="1">
        <v>784</v>
      </c>
      <c r="I1088" s="2" t="s">
        <v>56</v>
      </c>
      <c r="J1088" s="2" t="s">
        <v>20</v>
      </c>
      <c r="K1088" s="1">
        <v>143.25</v>
      </c>
      <c r="L1088" s="3">
        <v>45566</v>
      </c>
    </row>
    <row r="1089" spans="1:12" x14ac:dyDescent="0.25">
      <c r="A1089" s="1">
        <v>100667</v>
      </c>
      <c r="B1089" s="2" t="s">
        <v>46</v>
      </c>
      <c r="C1089" s="2" t="s">
        <v>47</v>
      </c>
      <c r="D1089" s="2" t="s">
        <v>41</v>
      </c>
      <c r="E1089" s="2" t="s">
        <v>55</v>
      </c>
      <c r="F1089" s="2" t="s">
        <v>42</v>
      </c>
      <c r="G1089" s="1">
        <v>169</v>
      </c>
      <c r="H1089" s="1">
        <v>615</v>
      </c>
      <c r="I1089" s="2" t="s">
        <v>37</v>
      </c>
      <c r="J1089" s="2" t="s">
        <v>20</v>
      </c>
      <c r="K1089" s="1">
        <v>804.35</v>
      </c>
      <c r="L1089" s="3">
        <v>45565</v>
      </c>
    </row>
    <row r="1090" spans="1:12" x14ac:dyDescent="0.25">
      <c r="A1090" s="1">
        <v>100719</v>
      </c>
      <c r="B1090" s="2" t="s">
        <v>198</v>
      </c>
      <c r="C1090" s="2" t="s">
        <v>134</v>
      </c>
      <c r="D1090" s="2" t="s">
        <v>64</v>
      </c>
      <c r="E1090" s="2" t="s">
        <v>35</v>
      </c>
      <c r="F1090" s="2" t="s">
        <v>18</v>
      </c>
      <c r="G1090" s="1">
        <v>0</v>
      </c>
      <c r="H1090" s="1">
        <v>555</v>
      </c>
      <c r="I1090" s="2" t="s">
        <v>35</v>
      </c>
      <c r="J1090" s="2" t="s">
        <v>26</v>
      </c>
      <c r="K1090" s="1">
        <v>740.88</v>
      </c>
      <c r="L1090" s="3">
        <v>45565</v>
      </c>
    </row>
    <row r="1091" spans="1:12" x14ac:dyDescent="0.25">
      <c r="A1091" s="1">
        <v>100878</v>
      </c>
      <c r="B1091" s="2" t="s">
        <v>167</v>
      </c>
      <c r="C1091" s="2" t="s">
        <v>168</v>
      </c>
      <c r="D1091" s="2" t="s">
        <v>41</v>
      </c>
      <c r="E1091" s="2" t="s">
        <v>70</v>
      </c>
      <c r="F1091" s="2" t="s">
        <v>83</v>
      </c>
      <c r="G1091" s="1">
        <v>0</v>
      </c>
      <c r="H1091" s="1">
        <v>658</v>
      </c>
      <c r="I1091" s="2" t="s">
        <v>32</v>
      </c>
      <c r="J1091" s="2" t="s">
        <v>20</v>
      </c>
      <c r="K1091" s="1">
        <v>283.32</v>
      </c>
      <c r="L1091" s="3">
        <v>45565</v>
      </c>
    </row>
    <row r="1092" spans="1:12" x14ac:dyDescent="0.25">
      <c r="A1092" s="1">
        <v>100104</v>
      </c>
      <c r="B1092" s="2" t="s">
        <v>294</v>
      </c>
      <c r="C1092" s="2" t="s">
        <v>100</v>
      </c>
      <c r="D1092" s="2" t="s">
        <v>106</v>
      </c>
      <c r="E1092" s="2" t="s">
        <v>35</v>
      </c>
      <c r="F1092" s="2" t="s">
        <v>18</v>
      </c>
      <c r="G1092" s="1">
        <v>0</v>
      </c>
      <c r="H1092" s="1">
        <v>377</v>
      </c>
      <c r="I1092" s="2" t="s">
        <v>32</v>
      </c>
      <c r="J1092" s="2" t="s">
        <v>20</v>
      </c>
      <c r="K1092" s="1">
        <v>182.63</v>
      </c>
      <c r="L1092" s="3">
        <v>45565</v>
      </c>
    </row>
    <row r="1093" spans="1:12" x14ac:dyDescent="0.25">
      <c r="A1093" s="1">
        <v>100268</v>
      </c>
      <c r="B1093" s="2" t="s">
        <v>213</v>
      </c>
      <c r="C1093" s="2" t="s">
        <v>58</v>
      </c>
      <c r="D1093" s="2" t="s">
        <v>64</v>
      </c>
      <c r="E1093" s="2" t="s">
        <v>60</v>
      </c>
      <c r="F1093" s="2" t="s">
        <v>18</v>
      </c>
      <c r="G1093" s="1">
        <v>0</v>
      </c>
      <c r="H1093" s="1">
        <v>324</v>
      </c>
      <c r="I1093" s="2" t="s">
        <v>32</v>
      </c>
      <c r="J1093" s="2" t="s">
        <v>26</v>
      </c>
      <c r="K1093" s="1">
        <v>140.30000000000001</v>
      </c>
      <c r="L1093" s="3">
        <v>45565</v>
      </c>
    </row>
    <row r="1094" spans="1:12" x14ac:dyDescent="0.25">
      <c r="A1094" s="1">
        <v>100633</v>
      </c>
      <c r="B1094" s="2" t="s">
        <v>225</v>
      </c>
      <c r="C1094" s="2" t="s">
        <v>142</v>
      </c>
      <c r="D1094" s="2" t="s">
        <v>64</v>
      </c>
      <c r="E1094" s="2" t="s">
        <v>78</v>
      </c>
      <c r="F1094" s="2" t="s">
        <v>83</v>
      </c>
      <c r="G1094" s="1">
        <v>0</v>
      </c>
      <c r="H1094" s="1">
        <v>741</v>
      </c>
      <c r="I1094" s="2" t="s">
        <v>19</v>
      </c>
      <c r="J1094" s="2" t="s">
        <v>20</v>
      </c>
      <c r="K1094" s="1">
        <v>1155.71</v>
      </c>
      <c r="L1094" s="3">
        <v>45564</v>
      </c>
    </row>
    <row r="1095" spans="1:12" x14ac:dyDescent="0.25">
      <c r="A1095" s="1">
        <v>100860</v>
      </c>
      <c r="B1095" s="2" t="s">
        <v>364</v>
      </c>
      <c r="C1095" s="2" t="s">
        <v>103</v>
      </c>
      <c r="D1095" s="2" t="s">
        <v>106</v>
      </c>
      <c r="E1095" s="2" t="s">
        <v>70</v>
      </c>
      <c r="F1095" s="2" t="s">
        <v>18</v>
      </c>
      <c r="G1095" s="1">
        <v>0</v>
      </c>
      <c r="H1095" s="1">
        <v>351</v>
      </c>
      <c r="I1095" s="2" t="s">
        <v>56</v>
      </c>
      <c r="J1095" s="2" t="s">
        <v>26</v>
      </c>
      <c r="K1095" s="1">
        <v>1029.33</v>
      </c>
      <c r="L1095" s="3">
        <v>45564</v>
      </c>
    </row>
    <row r="1096" spans="1:12" x14ac:dyDescent="0.25">
      <c r="A1096" s="1">
        <v>101166</v>
      </c>
      <c r="B1096" s="2" t="s">
        <v>109</v>
      </c>
      <c r="C1096" s="2" t="s">
        <v>110</v>
      </c>
      <c r="D1096" s="2" t="s">
        <v>41</v>
      </c>
      <c r="E1096" s="2" t="s">
        <v>55</v>
      </c>
      <c r="F1096" s="2" t="s">
        <v>42</v>
      </c>
      <c r="G1096" s="1">
        <v>56</v>
      </c>
      <c r="H1096" s="1">
        <v>591</v>
      </c>
      <c r="I1096" s="2" t="s">
        <v>37</v>
      </c>
      <c r="J1096" s="2" t="s">
        <v>20</v>
      </c>
      <c r="K1096" s="1">
        <v>834.73</v>
      </c>
      <c r="L1096" s="3">
        <v>45564</v>
      </c>
    </row>
    <row r="1097" spans="1:12" x14ac:dyDescent="0.25">
      <c r="A1097" s="1">
        <v>100895</v>
      </c>
      <c r="B1097" s="2" t="s">
        <v>786</v>
      </c>
      <c r="C1097" s="2" t="s">
        <v>95</v>
      </c>
      <c r="D1097" s="2" t="s">
        <v>41</v>
      </c>
      <c r="E1097" s="2" t="s">
        <v>17</v>
      </c>
      <c r="F1097" s="2" t="s">
        <v>18</v>
      </c>
      <c r="G1097" s="1">
        <v>0</v>
      </c>
      <c r="H1097" s="1">
        <v>835</v>
      </c>
      <c r="I1097" s="2" t="s">
        <v>32</v>
      </c>
      <c r="J1097" s="2" t="s">
        <v>20</v>
      </c>
      <c r="K1097" s="1">
        <v>351.4</v>
      </c>
      <c r="L1097" s="3">
        <v>45564</v>
      </c>
    </row>
    <row r="1098" spans="1:12" x14ac:dyDescent="0.25">
      <c r="A1098" s="1">
        <v>100759</v>
      </c>
      <c r="B1098" s="2" t="s">
        <v>113</v>
      </c>
      <c r="C1098" s="2" t="s">
        <v>95</v>
      </c>
      <c r="D1098" s="2" t="s">
        <v>41</v>
      </c>
      <c r="E1098" s="2" t="s">
        <v>60</v>
      </c>
      <c r="F1098" s="2" t="s">
        <v>18</v>
      </c>
      <c r="G1098" s="1">
        <v>0</v>
      </c>
      <c r="H1098" s="1">
        <v>657</v>
      </c>
      <c r="I1098" s="2" t="s">
        <v>19</v>
      </c>
      <c r="J1098" s="2" t="s">
        <v>20</v>
      </c>
      <c r="K1098" s="1">
        <v>336.75</v>
      </c>
      <c r="L1098" s="3">
        <v>45564</v>
      </c>
    </row>
    <row r="1099" spans="1:12" x14ac:dyDescent="0.25">
      <c r="A1099" s="1">
        <v>101864</v>
      </c>
      <c r="B1099" s="2" t="s">
        <v>125</v>
      </c>
      <c r="C1099" s="2" t="s">
        <v>126</v>
      </c>
      <c r="D1099" s="2" t="s">
        <v>106</v>
      </c>
      <c r="E1099" s="2" t="s">
        <v>81</v>
      </c>
      <c r="F1099" s="2" t="s">
        <v>18</v>
      </c>
      <c r="G1099" s="1">
        <v>0</v>
      </c>
      <c r="H1099" s="1">
        <v>461</v>
      </c>
      <c r="I1099" s="2" t="s">
        <v>45</v>
      </c>
      <c r="J1099" s="2" t="s">
        <v>26</v>
      </c>
      <c r="K1099" s="1">
        <v>68.42</v>
      </c>
      <c r="L1099" s="3">
        <v>45564</v>
      </c>
    </row>
    <row r="1100" spans="1:12" x14ac:dyDescent="0.25">
      <c r="A1100" s="1">
        <v>101053</v>
      </c>
      <c r="B1100" s="2" t="s">
        <v>560</v>
      </c>
      <c r="C1100" s="2" t="s">
        <v>39</v>
      </c>
      <c r="D1100" s="2" t="s">
        <v>50</v>
      </c>
      <c r="E1100" s="2" t="s">
        <v>60</v>
      </c>
      <c r="F1100" s="2" t="s">
        <v>18</v>
      </c>
      <c r="G1100" s="1">
        <v>0</v>
      </c>
      <c r="H1100" s="1">
        <v>890</v>
      </c>
      <c r="I1100" s="2" t="s">
        <v>37</v>
      </c>
      <c r="J1100" s="2" t="s">
        <v>26</v>
      </c>
      <c r="K1100" s="1">
        <v>809.38</v>
      </c>
      <c r="L1100" s="3">
        <v>45563</v>
      </c>
    </row>
    <row r="1101" spans="1:12" x14ac:dyDescent="0.25">
      <c r="A1101" s="1">
        <v>100926</v>
      </c>
      <c r="B1101" s="2" t="s">
        <v>204</v>
      </c>
      <c r="C1101" s="2" t="s">
        <v>152</v>
      </c>
      <c r="D1101" s="2" t="s">
        <v>106</v>
      </c>
      <c r="E1101" s="2" t="s">
        <v>70</v>
      </c>
      <c r="F1101" s="2" t="s">
        <v>42</v>
      </c>
      <c r="G1101" s="1">
        <v>47</v>
      </c>
      <c r="H1101" s="1">
        <v>362</v>
      </c>
      <c r="I1101" s="2" t="s">
        <v>45</v>
      </c>
      <c r="J1101" s="2" t="s">
        <v>26</v>
      </c>
      <c r="K1101" s="1">
        <v>451.31</v>
      </c>
      <c r="L1101" s="3">
        <v>45563</v>
      </c>
    </row>
    <row r="1102" spans="1:12" x14ac:dyDescent="0.25">
      <c r="A1102" s="1">
        <v>102027</v>
      </c>
      <c r="B1102" s="2" t="s">
        <v>1069</v>
      </c>
      <c r="C1102" s="2" t="s">
        <v>22</v>
      </c>
      <c r="D1102" s="2" t="s">
        <v>41</v>
      </c>
      <c r="E1102" s="2" t="s">
        <v>78</v>
      </c>
      <c r="F1102" s="2" t="s">
        <v>18</v>
      </c>
      <c r="G1102" s="1">
        <v>0</v>
      </c>
      <c r="H1102" s="1">
        <v>607</v>
      </c>
      <c r="I1102" s="2" t="s">
        <v>19</v>
      </c>
      <c r="J1102" s="2" t="s">
        <v>20</v>
      </c>
      <c r="K1102" s="1">
        <v>337.77</v>
      </c>
      <c r="L1102" s="3">
        <v>45563</v>
      </c>
    </row>
    <row r="1103" spans="1:12" x14ac:dyDescent="0.25">
      <c r="A1103" s="1">
        <v>100183</v>
      </c>
      <c r="B1103" s="2" t="s">
        <v>489</v>
      </c>
      <c r="C1103" s="2" t="s">
        <v>126</v>
      </c>
      <c r="D1103" s="2" t="s">
        <v>64</v>
      </c>
      <c r="E1103" s="2" t="s">
        <v>17</v>
      </c>
      <c r="F1103" s="2" t="s">
        <v>18</v>
      </c>
      <c r="G1103" s="1">
        <v>0</v>
      </c>
      <c r="H1103" s="1">
        <v>843</v>
      </c>
      <c r="I1103" s="2" t="s">
        <v>32</v>
      </c>
      <c r="J1103" s="2" t="s">
        <v>20</v>
      </c>
      <c r="K1103" s="1">
        <v>288.69</v>
      </c>
      <c r="L1103" s="3">
        <v>45563</v>
      </c>
    </row>
    <row r="1104" spans="1:12" x14ac:dyDescent="0.25">
      <c r="A1104" s="1">
        <v>101093</v>
      </c>
      <c r="B1104" s="2" t="s">
        <v>1168</v>
      </c>
      <c r="C1104" s="2" t="s">
        <v>218</v>
      </c>
      <c r="D1104" s="2" t="s">
        <v>106</v>
      </c>
      <c r="E1104" s="2" t="s">
        <v>60</v>
      </c>
      <c r="F1104" s="2" t="s">
        <v>25</v>
      </c>
      <c r="G1104" s="1">
        <v>20</v>
      </c>
      <c r="H1104" s="1">
        <v>606</v>
      </c>
      <c r="I1104" s="2" t="s">
        <v>37</v>
      </c>
      <c r="J1104" s="2" t="s">
        <v>20</v>
      </c>
      <c r="K1104" s="1">
        <v>209.77</v>
      </c>
      <c r="L1104" s="3">
        <v>45563</v>
      </c>
    </row>
    <row r="1105" spans="1:12" x14ac:dyDescent="0.25">
      <c r="A1105" s="1">
        <v>100349</v>
      </c>
      <c r="B1105" s="2" t="s">
        <v>1203</v>
      </c>
      <c r="C1105" s="2" t="s">
        <v>187</v>
      </c>
      <c r="D1105" s="2" t="s">
        <v>16</v>
      </c>
      <c r="E1105" s="2" t="s">
        <v>60</v>
      </c>
      <c r="F1105" s="2" t="s">
        <v>18</v>
      </c>
      <c r="G1105" s="1">
        <v>0</v>
      </c>
      <c r="H1105" s="1">
        <v>752</v>
      </c>
      <c r="I1105" s="2" t="s">
        <v>35</v>
      </c>
      <c r="J1105" s="2" t="s">
        <v>20</v>
      </c>
      <c r="K1105" s="1">
        <v>156.41</v>
      </c>
      <c r="L1105" s="3">
        <v>45563</v>
      </c>
    </row>
    <row r="1106" spans="1:12" x14ac:dyDescent="0.25">
      <c r="A1106" s="1">
        <v>100247</v>
      </c>
      <c r="B1106" s="2" t="s">
        <v>355</v>
      </c>
      <c r="C1106" s="2" t="s">
        <v>244</v>
      </c>
      <c r="D1106" s="2" t="s">
        <v>41</v>
      </c>
      <c r="E1106" s="2" t="s">
        <v>60</v>
      </c>
      <c r="F1106" s="2" t="s">
        <v>83</v>
      </c>
      <c r="G1106" s="1">
        <v>0</v>
      </c>
      <c r="H1106" s="1">
        <v>746</v>
      </c>
      <c r="I1106" s="2" t="s">
        <v>32</v>
      </c>
      <c r="J1106" s="2" t="s">
        <v>26</v>
      </c>
      <c r="K1106" s="1">
        <v>1140.3</v>
      </c>
      <c r="L1106" s="3">
        <v>45562</v>
      </c>
    </row>
    <row r="1107" spans="1:12" x14ac:dyDescent="0.25">
      <c r="A1107" s="1">
        <v>101126</v>
      </c>
      <c r="B1107" s="2" t="s">
        <v>155</v>
      </c>
      <c r="C1107" s="2" t="s">
        <v>142</v>
      </c>
      <c r="D1107" s="2" t="s">
        <v>41</v>
      </c>
      <c r="E1107" s="2" t="s">
        <v>31</v>
      </c>
      <c r="F1107" s="2" t="s">
        <v>18</v>
      </c>
      <c r="G1107" s="1">
        <v>0</v>
      </c>
      <c r="H1107" s="1">
        <v>339</v>
      </c>
      <c r="I1107" s="2" t="s">
        <v>32</v>
      </c>
      <c r="J1107" s="2" t="s">
        <v>20</v>
      </c>
      <c r="K1107" s="1">
        <v>584.05999999999995</v>
      </c>
      <c r="L1107" s="3">
        <v>45562</v>
      </c>
    </row>
    <row r="1108" spans="1:12" x14ac:dyDescent="0.25">
      <c r="A1108" s="1">
        <v>100021</v>
      </c>
      <c r="B1108" s="2" t="s">
        <v>738</v>
      </c>
      <c r="C1108" s="2" t="s">
        <v>100</v>
      </c>
      <c r="D1108" s="2" t="s">
        <v>16</v>
      </c>
      <c r="E1108" s="2" t="s">
        <v>70</v>
      </c>
      <c r="F1108" s="2" t="s">
        <v>83</v>
      </c>
      <c r="G1108" s="1">
        <v>0</v>
      </c>
      <c r="H1108" s="1">
        <v>585</v>
      </c>
      <c r="I1108" s="2" t="s">
        <v>45</v>
      </c>
      <c r="J1108" s="2" t="s">
        <v>20</v>
      </c>
      <c r="K1108" s="1">
        <v>581.6</v>
      </c>
      <c r="L1108" s="3">
        <v>45562</v>
      </c>
    </row>
    <row r="1109" spans="1:12" x14ac:dyDescent="0.25">
      <c r="A1109" s="1">
        <v>100456</v>
      </c>
      <c r="B1109" s="2" t="s">
        <v>545</v>
      </c>
      <c r="C1109" s="2" t="s">
        <v>126</v>
      </c>
      <c r="D1109" s="2" t="s">
        <v>41</v>
      </c>
      <c r="E1109" s="2" t="s">
        <v>78</v>
      </c>
      <c r="F1109" s="2" t="s">
        <v>83</v>
      </c>
      <c r="G1109" s="1">
        <v>0</v>
      </c>
      <c r="H1109" s="1">
        <v>494</v>
      </c>
      <c r="I1109" s="2" t="s">
        <v>56</v>
      </c>
      <c r="J1109" s="2" t="s">
        <v>26</v>
      </c>
      <c r="K1109" s="1">
        <v>326.37</v>
      </c>
      <c r="L1109" s="3">
        <v>45562</v>
      </c>
    </row>
    <row r="1110" spans="1:12" x14ac:dyDescent="0.25">
      <c r="A1110" s="1">
        <v>102060</v>
      </c>
      <c r="B1110" s="2" t="s">
        <v>431</v>
      </c>
      <c r="C1110" s="2" t="s">
        <v>28</v>
      </c>
      <c r="D1110" s="2" t="s">
        <v>106</v>
      </c>
      <c r="E1110" s="2" t="s">
        <v>31</v>
      </c>
      <c r="F1110" s="2" t="s">
        <v>18</v>
      </c>
      <c r="G1110" s="1">
        <v>0</v>
      </c>
      <c r="H1110" s="1">
        <v>691</v>
      </c>
      <c r="I1110" s="2" t="s">
        <v>32</v>
      </c>
      <c r="J1110" s="2" t="s">
        <v>33</v>
      </c>
      <c r="K1110" s="1">
        <v>310.52</v>
      </c>
      <c r="L1110" s="3">
        <v>45562</v>
      </c>
    </row>
    <row r="1111" spans="1:12" x14ac:dyDescent="0.25">
      <c r="A1111" s="1">
        <v>100572</v>
      </c>
      <c r="B1111" s="2" t="s">
        <v>280</v>
      </c>
      <c r="C1111" s="2" t="s">
        <v>187</v>
      </c>
      <c r="D1111" s="2" t="s">
        <v>64</v>
      </c>
      <c r="E1111" s="2" t="s">
        <v>78</v>
      </c>
      <c r="F1111" s="2" t="s">
        <v>83</v>
      </c>
      <c r="G1111" s="1">
        <v>0</v>
      </c>
      <c r="H1111" s="1">
        <v>621</v>
      </c>
      <c r="I1111" s="2" t="s">
        <v>56</v>
      </c>
      <c r="J1111" s="2" t="s">
        <v>33</v>
      </c>
      <c r="K1111" s="1">
        <v>144.97</v>
      </c>
      <c r="L1111" s="3">
        <v>45562</v>
      </c>
    </row>
    <row r="1112" spans="1:12" x14ac:dyDescent="0.25">
      <c r="A1112" s="1">
        <v>102051</v>
      </c>
      <c r="B1112" s="2" t="s">
        <v>57</v>
      </c>
      <c r="C1112" s="2" t="s">
        <v>58</v>
      </c>
      <c r="D1112" s="2" t="s">
        <v>106</v>
      </c>
      <c r="E1112" s="2" t="s">
        <v>78</v>
      </c>
      <c r="F1112" s="2" t="s">
        <v>18</v>
      </c>
      <c r="G1112" s="1">
        <v>0</v>
      </c>
      <c r="H1112" s="1">
        <v>798</v>
      </c>
      <c r="I1112" s="2" t="s">
        <v>19</v>
      </c>
      <c r="J1112" s="2" t="s">
        <v>20</v>
      </c>
      <c r="K1112" s="1">
        <v>671.93</v>
      </c>
      <c r="L1112" s="3">
        <v>45561</v>
      </c>
    </row>
    <row r="1113" spans="1:12" x14ac:dyDescent="0.25">
      <c r="A1113" s="1">
        <v>100425</v>
      </c>
      <c r="B1113" s="2" t="s">
        <v>750</v>
      </c>
      <c r="C1113" s="2" t="s">
        <v>52</v>
      </c>
      <c r="D1113" s="2" t="s">
        <v>50</v>
      </c>
      <c r="E1113" s="2" t="s">
        <v>78</v>
      </c>
      <c r="F1113" s="2" t="s">
        <v>18</v>
      </c>
      <c r="G1113" s="1">
        <v>0</v>
      </c>
      <c r="H1113" s="1">
        <v>856</v>
      </c>
      <c r="I1113" s="2" t="s">
        <v>37</v>
      </c>
      <c r="J1113" s="2" t="s">
        <v>33</v>
      </c>
      <c r="K1113" s="1">
        <v>640.24</v>
      </c>
      <c r="L1113" s="3">
        <v>45561</v>
      </c>
    </row>
    <row r="1114" spans="1:12" x14ac:dyDescent="0.25">
      <c r="A1114" s="1">
        <v>101283</v>
      </c>
      <c r="B1114" s="2" t="s">
        <v>742</v>
      </c>
      <c r="C1114" s="2" t="s">
        <v>100</v>
      </c>
      <c r="D1114" s="2" t="s">
        <v>50</v>
      </c>
      <c r="E1114" s="2" t="s">
        <v>17</v>
      </c>
      <c r="F1114" s="2" t="s">
        <v>18</v>
      </c>
      <c r="G1114" s="1">
        <v>0</v>
      </c>
      <c r="H1114" s="1">
        <v>571</v>
      </c>
      <c r="I1114" s="2" t="s">
        <v>32</v>
      </c>
      <c r="J1114" s="2" t="s">
        <v>26</v>
      </c>
      <c r="K1114" s="1">
        <v>449.76</v>
      </c>
      <c r="L1114" s="3">
        <v>45561</v>
      </c>
    </row>
    <row r="1115" spans="1:12" x14ac:dyDescent="0.25">
      <c r="A1115" s="1">
        <v>101491</v>
      </c>
      <c r="B1115" s="2" t="s">
        <v>1009</v>
      </c>
      <c r="C1115" s="2" t="s">
        <v>58</v>
      </c>
      <c r="D1115" s="2" t="s">
        <v>64</v>
      </c>
      <c r="E1115" s="2" t="s">
        <v>70</v>
      </c>
      <c r="F1115" s="2" t="s">
        <v>83</v>
      </c>
      <c r="G1115" s="1">
        <v>0</v>
      </c>
      <c r="H1115" s="1">
        <v>400</v>
      </c>
      <c r="I1115" s="2" t="s">
        <v>32</v>
      </c>
      <c r="J1115" s="2" t="s">
        <v>33</v>
      </c>
      <c r="K1115" s="1">
        <v>79.39</v>
      </c>
      <c r="L1115" s="3">
        <v>45561</v>
      </c>
    </row>
    <row r="1116" spans="1:12" x14ac:dyDescent="0.25">
      <c r="A1116" s="1">
        <v>101746</v>
      </c>
      <c r="B1116" s="2" t="s">
        <v>272</v>
      </c>
      <c r="C1116" s="2" t="s">
        <v>100</v>
      </c>
      <c r="D1116" s="2" t="s">
        <v>64</v>
      </c>
      <c r="E1116" s="2" t="s">
        <v>55</v>
      </c>
      <c r="F1116" s="2" t="s">
        <v>18</v>
      </c>
      <c r="G1116" s="1">
        <v>0</v>
      </c>
      <c r="H1116" s="1">
        <v>666</v>
      </c>
      <c r="I1116" s="2" t="s">
        <v>45</v>
      </c>
      <c r="J1116" s="2" t="s">
        <v>26</v>
      </c>
      <c r="K1116" s="1">
        <v>309.51</v>
      </c>
      <c r="L1116" s="3">
        <v>45560</v>
      </c>
    </row>
    <row r="1117" spans="1:12" x14ac:dyDescent="0.25">
      <c r="A1117" s="1">
        <v>101389</v>
      </c>
      <c r="B1117" s="2" t="s">
        <v>576</v>
      </c>
      <c r="C1117" s="2" t="s">
        <v>22</v>
      </c>
      <c r="D1117" s="2" t="s">
        <v>41</v>
      </c>
      <c r="E1117" s="2" t="s">
        <v>60</v>
      </c>
      <c r="F1117" s="2" t="s">
        <v>83</v>
      </c>
      <c r="G1117" s="1">
        <v>0</v>
      </c>
      <c r="H1117" s="1">
        <v>418</v>
      </c>
      <c r="I1117" s="2" t="s">
        <v>19</v>
      </c>
      <c r="J1117" s="2" t="s">
        <v>33</v>
      </c>
      <c r="K1117" s="1">
        <v>228.73</v>
      </c>
      <c r="L1117" s="3">
        <v>45560</v>
      </c>
    </row>
    <row r="1118" spans="1:12" x14ac:dyDescent="0.25">
      <c r="A1118" s="1">
        <v>101743</v>
      </c>
      <c r="B1118" s="2" t="s">
        <v>875</v>
      </c>
      <c r="C1118" s="2" t="s">
        <v>72</v>
      </c>
      <c r="D1118" s="2" t="s">
        <v>16</v>
      </c>
      <c r="E1118" s="2" t="s">
        <v>60</v>
      </c>
      <c r="F1118" s="2" t="s">
        <v>25</v>
      </c>
      <c r="G1118" s="1">
        <v>5</v>
      </c>
      <c r="H1118" s="1">
        <v>678</v>
      </c>
      <c r="I1118" s="2" t="s">
        <v>45</v>
      </c>
      <c r="J1118" s="2" t="s">
        <v>33</v>
      </c>
      <c r="K1118" s="1">
        <v>208.48</v>
      </c>
      <c r="L1118" s="3">
        <v>45560</v>
      </c>
    </row>
    <row r="1119" spans="1:12" x14ac:dyDescent="0.25">
      <c r="A1119" s="1">
        <v>101074</v>
      </c>
      <c r="B1119" s="2" t="s">
        <v>145</v>
      </c>
      <c r="C1119" s="2" t="s">
        <v>35</v>
      </c>
      <c r="D1119" s="2" t="s">
        <v>50</v>
      </c>
      <c r="E1119" s="2" t="s">
        <v>78</v>
      </c>
      <c r="F1119" s="2" t="s">
        <v>83</v>
      </c>
      <c r="G1119" s="1">
        <v>0</v>
      </c>
      <c r="H1119" s="1">
        <v>435</v>
      </c>
      <c r="I1119" s="2" t="s">
        <v>37</v>
      </c>
      <c r="J1119" s="2" t="s">
        <v>20</v>
      </c>
      <c r="K1119" s="1">
        <v>205.28</v>
      </c>
      <c r="L1119" s="3">
        <v>45560</v>
      </c>
    </row>
    <row r="1120" spans="1:12" x14ac:dyDescent="0.25">
      <c r="A1120" s="1">
        <v>100485</v>
      </c>
      <c r="B1120" s="2" t="s">
        <v>596</v>
      </c>
      <c r="C1120" s="2" t="s">
        <v>22</v>
      </c>
      <c r="D1120" s="2" t="s">
        <v>16</v>
      </c>
      <c r="E1120" s="2" t="s">
        <v>17</v>
      </c>
      <c r="F1120" s="2" t="s">
        <v>18</v>
      </c>
      <c r="G1120" s="1" t="s">
        <v>35</v>
      </c>
      <c r="H1120" s="1">
        <v>603</v>
      </c>
      <c r="I1120" s="2" t="s">
        <v>32</v>
      </c>
      <c r="J1120" s="2" t="s">
        <v>20</v>
      </c>
      <c r="K1120" s="1">
        <v>202.3</v>
      </c>
      <c r="L1120" s="3">
        <v>45560</v>
      </c>
    </row>
    <row r="1121" spans="1:12" x14ac:dyDescent="0.25">
      <c r="A1121" s="1">
        <v>101271</v>
      </c>
      <c r="B1121" s="2" t="s">
        <v>599</v>
      </c>
      <c r="C1121" s="2" t="s">
        <v>52</v>
      </c>
      <c r="D1121" s="2" t="s">
        <v>64</v>
      </c>
      <c r="E1121" s="2" t="s">
        <v>78</v>
      </c>
      <c r="F1121" s="2" t="s">
        <v>18</v>
      </c>
      <c r="G1121" s="1">
        <v>0</v>
      </c>
      <c r="H1121" s="1">
        <v>552</v>
      </c>
      <c r="I1121" s="2" t="s">
        <v>19</v>
      </c>
      <c r="J1121" s="2" t="s">
        <v>33</v>
      </c>
      <c r="K1121" s="1">
        <v>133.27000000000001</v>
      </c>
      <c r="L1121" s="3">
        <v>45560</v>
      </c>
    </row>
    <row r="1122" spans="1:12" x14ac:dyDescent="0.25">
      <c r="A1122" s="1">
        <v>101094</v>
      </c>
      <c r="B1122" s="2" t="s">
        <v>1175</v>
      </c>
      <c r="C1122" s="2" t="s">
        <v>142</v>
      </c>
      <c r="D1122" s="2" t="s">
        <v>64</v>
      </c>
      <c r="E1122" s="2" t="s">
        <v>31</v>
      </c>
      <c r="F1122" s="2" t="s">
        <v>18</v>
      </c>
      <c r="G1122" s="1">
        <v>0</v>
      </c>
      <c r="H1122" s="1">
        <v>573</v>
      </c>
      <c r="I1122" s="2" t="s">
        <v>19</v>
      </c>
      <c r="J1122" s="2" t="s">
        <v>20</v>
      </c>
      <c r="K1122" s="1">
        <v>800.03</v>
      </c>
      <c r="L1122" s="3">
        <v>45559</v>
      </c>
    </row>
    <row r="1123" spans="1:12" x14ac:dyDescent="0.25">
      <c r="A1123" s="1">
        <v>100845</v>
      </c>
      <c r="B1123" s="2" t="s">
        <v>474</v>
      </c>
      <c r="C1123" s="2" t="s">
        <v>270</v>
      </c>
      <c r="D1123" s="2" t="s">
        <v>50</v>
      </c>
      <c r="E1123" s="2" t="s">
        <v>55</v>
      </c>
      <c r="F1123" s="2" t="s">
        <v>18</v>
      </c>
      <c r="G1123" s="1">
        <v>0</v>
      </c>
      <c r="H1123" s="1">
        <v>483</v>
      </c>
      <c r="I1123" s="2" t="s">
        <v>56</v>
      </c>
      <c r="J1123" s="2" t="s">
        <v>33</v>
      </c>
      <c r="K1123" s="1">
        <v>217.74</v>
      </c>
      <c r="L1123" s="3">
        <v>45559</v>
      </c>
    </row>
    <row r="1124" spans="1:12" x14ac:dyDescent="0.25">
      <c r="A1124" s="1">
        <v>100118</v>
      </c>
      <c r="B1124" s="2" t="s">
        <v>610</v>
      </c>
      <c r="C1124" s="2" t="s">
        <v>126</v>
      </c>
      <c r="D1124" s="2" t="s">
        <v>106</v>
      </c>
      <c r="E1124" s="2" t="s">
        <v>17</v>
      </c>
      <c r="F1124" s="2" t="s">
        <v>18</v>
      </c>
      <c r="G1124" s="1">
        <v>0</v>
      </c>
      <c r="H1124" s="1">
        <v>315</v>
      </c>
      <c r="I1124" s="2" t="s">
        <v>32</v>
      </c>
      <c r="J1124" s="2" t="s">
        <v>20</v>
      </c>
      <c r="K1124" s="1">
        <v>84.18</v>
      </c>
      <c r="L1124" s="3">
        <v>45559</v>
      </c>
    </row>
    <row r="1125" spans="1:12" x14ac:dyDescent="0.25">
      <c r="A1125" s="1">
        <v>102156</v>
      </c>
      <c r="B1125" s="2" t="s">
        <v>955</v>
      </c>
      <c r="C1125" s="2" t="s">
        <v>39</v>
      </c>
      <c r="D1125" s="2" t="s">
        <v>16</v>
      </c>
      <c r="E1125" s="2" t="s">
        <v>78</v>
      </c>
      <c r="F1125" s="2" t="s">
        <v>18</v>
      </c>
      <c r="G1125" s="1">
        <v>0</v>
      </c>
      <c r="H1125" s="1">
        <v>406</v>
      </c>
      <c r="I1125" s="2" t="s">
        <v>32</v>
      </c>
      <c r="J1125" s="2" t="s">
        <v>33</v>
      </c>
      <c r="K1125" s="1">
        <v>500.6</v>
      </c>
      <c r="L1125" s="3">
        <v>45558</v>
      </c>
    </row>
    <row r="1126" spans="1:12" x14ac:dyDescent="0.25">
      <c r="A1126" s="1">
        <v>101079</v>
      </c>
      <c r="B1126" s="2" t="s">
        <v>1435</v>
      </c>
      <c r="C1126" s="2" t="s">
        <v>47</v>
      </c>
      <c r="D1126" s="2" t="s">
        <v>64</v>
      </c>
      <c r="E1126" s="2" t="s">
        <v>78</v>
      </c>
      <c r="F1126" s="2" t="s">
        <v>18</v>
      </c>
      <c r="G1126" s="1">
        <v>0</v>
      </c>
      <c r="H1126" s="1">
        <v>744</v>
      </c>
      <c r="I1126" s="2" t="s">
        <v>37</v>
      </c>
      <c r="J1126" s="2" t="s">
        <v>20</v>
      </c>
      <c r="K1126" s="1">
        <v>685.99</v>
      </c>
      <c r="L1126" s="3">
        <v>45557</v>
      </c>
    </row>
    <row r="1127" spans="1:12" x14ac:dyDescent="0.25">
      <c r="A1127" s="1">
        <v>101708</v>
      </c>
      <c r="B1127" s="2" t="s">
        <v>682</v>
      </c>
      <c r="C1127" s="2" t="s">
        <v>152</v>
      </c>
      <c r="D1127" s="2" t="s">
        <v>64</v>
      </c>
      <c r="E1127" s="2" t="s">
        <v>55</v>
      </c>
      <c r="F1127" s="2" t="s">
        <v>42</v>
      </c>
      <c r="G1127" s="1">
        <v>75</v>
      </c>
      <c r="H1127" s="1">
        <v>863</v>
      </c>
      <c r="I1127" s="2" t="s">
        <v>32</v>
      </c>
      <c r="J1127" s="2" t="s">
        <v>20</v>
      </c>
      <c r="K1127" s="1">
        <v>564.96</v>
      </c>
      <c r="L1127" s="3">
        <v>45557</v>
      </c>
    </row>
    <row r="1128" spans="1:12" x14ac:dyDescent="0.25">
      <c r="A1128" s="1">
        <v>102186</v>
      </c>
      <c r="B1128" s="2" t="s">
        <v>51</v>
      </c>
      <c r="C1128" s="2" t="s">
        <v>52</v>
      </c>
      <c r="D1128" s="2" t="s">
        <v>41</v>
      </c>
      <c r="E1128" s="2" t="s">
        <v>78</v>
      </c>
      <c r="F1128" s="2" t="s">
        <v>18</v>
      </c>
      <c r="G1128" s="1">
        <v>0</v>
      </c>
      <c r="H1128" s="1">
        <v>567</v>
      </c>
      <c r="I1128" s="2" t="s">
        <v>19</v>
      </c>
      <c r="J1128" s="2" t="s">
        <v>20</v>
      </c>
      <c r="K1128" s="1">
        <v>452.69</v>
      </c>
      <c r="L1128" s="3">
        <v>45557</v>
      </c>
    </row>
    <row r="1129" spans="1:12" x14ac:dyDescent="0.25">
      <c r="A1129" s="1">
        <v>100350</v>
      </c>
      <c r="B1129" s="2" t="s">
        <v>174</v>
      </c>
      <c r="C1129" s="2" t="s">
        <v>134</v>
      </c>
      <c r="D1129" s="2" t="s">
        <v>41</v>
      </c>
      <c r="E1129" s="2" t="s">
        <v>81</v>
      </c>
      <c r="F1129" s="2" t="s">
        <v>18</v>
      </c>
      <c r="G1129" s="1">
        <v>0</v>
      </c>
      <c r="H1129" s="1">
        <v>554</v>
      </c>
      <c r="I1129" s="2" t="s">
        <v>19</v>
      </c>
      <c r="J1129" s="2" t="s">
        <v>20</v>
      </c>
      <c r="K1129" s="1">
        <v>448.28</v>
      </c>
      <c r="L1129" s="3">
        <v>45557</v>
      </c>
    </row>
    <row r="1130" spans="1:12" x14ac:dyDescent="0.25">
      <c r="A1130" s="1">
        <v>101632</v>
      </c>
      <c r="B1130" s="2" t="s">
        <v>269</v>
      </c>
      <c r="C1130" s="2" t="s">
        <v>270</v>
      </c>
      <c r="D1130" s="2" t="s">
        <v>106</v>
      </c>
      <c r="E1130" s="2" t="s">
        <v>70</v>
      </c>
      <c r="F1130" s="2" t="s">
        <v>83</v>
      </c>
      <c r="G1130" s="1">
        <v>0</v>
      </c>
      <c r="H1130" s="1">
        <v>515</v>
      </c>
      <c r="I1130" s="2" t="s">
        <v>19</v>
      </c>
      <c r="J1130" s="2" t="s">
        <v>20</v>
      </c>
      <c r="K1130" s="1">
        <v>208.28</v>
      </c>
      <c r="L1130" s="3">
        <v>45557</v>
      </c>
    </row>
    <row r="1131" spans="1:12" x14ac:dyDescent="0.25">
      <c r="A1131" s="1">
        <v>101141</v>
      </c>
      <c r="B1131" s="2" t="s">
        <v>425</v>
      </c>
      <c r="C1131" s="2" t="s">
        <v>149</v>
      </c>
      <c r="D1131" s="2" t="s">
        <v>50</v>
      </c>
      <c r="E1131" s="2" t="s">
        <v>78</v>
      </c>
      <c r="F1131" s="2" t="s">
        <v>18</v>
      </c>
      <c r="G1131" s="1">
        <v>0</v>
      </c>
      <c r="H1131" s="1">
        <v>720</v>
      </c>
      <c r="I1131" s="2" t="s">
        <v>37</v>
      </c>
      <c r="J1131" s="2" t="s">
        <v>33</v>
      </c>
      <c r="K1131" s="1">
        <v>171.61</v>
      </c>
      <c r="L1131" s="3">
        <v>45557</v>
      </c>
    </row>
    <row r="1132" spans="1:12" x14ac:dyDescent="0.25">
      <c r="A1132" s="1">
        <v>101319</v>
      </c>
      <c r="B1132" s="2" t="s">
        <v>12</v>
      </c>
      <c r="C1132" s="2" t="s">
        <v>13</v>
      </c>
      <c r="D1132" s="2" t="s">
        <v>16</v>
      </c>
      <c r="E1132" s="2" t="s">
        <v>78</v>
      </c>
      <c r="F1132" s="2" t="s">
        <v>18</v>
      </c>
      <c r="G1132" s="1">
        <v>0</v>
      </c>
      <c r="H1132" s="1">
        <v>753</v>
      </c>
      <c r="I1132" s="2" t="s">
        <v>32</v>
      </c>
      <c r="J1132" s="2" t="s">
        <v>26</v>
      </c>
      <c r="K1132" s="1">
        <v>141.1</v>
      </c>
      <c r="L1132" s="3">
        <v>45557</v>
      </c>
    </row>
    <row r="1133" spans="1:12" x14ac:dyDescent="0.25">
      <c r="A1133" s="1">
        <v>101918</v>
      </c>
      <c r="B1133" s="2" t="s">
        <v>217</v>
      </c>
      <c r="C1133" s="2" t="s">
        <v>218</v>
      </c>
      <c r="D1133" s="2" t="s">
        <v>16</v>
      </c>
      <c r="E1133" s="2" t="s">
        <v>60</v>
      </c>
      <c r="F1133" s="2" t="s">
        <v>18</v>
      </c>
      <c r="G1133" s="1">
        <v>0</v>
      </c>
      <c r="H1133" s="1">
        <v>894</v>
      </c>
      <c r="I1133" s="2" t="s">
        <v>19</v>
      </c>
      <c r="J1133" s="2" t="s">
        <v>33</v>
      </c>
      <c r="K1133" s="1">
        <v>1051.9000000000001</v>
      </c>
      <c r="L1133" s="3">
        <v>45556</v>
      </c>
    </row>
    <row r="1134" spans="1:12" x14ac:dyDescent="0.25">
      <c r="A1134" s="1">
        <v>101203</v>
      </c>
      <c r="B1134" s="2" t="s">
        <v>506</v>
      </c>
      <c r="C1134" s="2" t="s">
        <v>58</v>
      </c>
      <c r="D1134" s="2" t="s">
        <v>64</v>
      </c>
      <c r="E1134" s="2" t="s">
        <v>35</v>
      </c>
      <c r="F1134" s="2" t="s">
        <v>42</v>
      </c>
      <c r="G1134" s="1">
        <v>179</v>
      </c>
      <c r="H1134" s="1">
        <v>394</v>
      </c>
      <c r="I1134" s="2" t="s">
        <v>56</v>
      </c>
      <c r="J1134" s="2" t="s">
        <v>33</v>
      </c>
      <c r="K1134" s="1">
        <v>760.02</v>
      </c>
      <c r="L1134" s="3">
        <v>45556</v>
      </c>
    </row>
    <row r="1135" spans="1:12" x14ac:dyDescent="0.25">
      <c r="A1135" s="1">
        <v>101451</v>
      </c>
      <c r="B1135" s="2" t="s">
        <v>170</v>
      </c>
      <c r="C1135" s="2" t="s">
        <v>85</v>
      </c>
      <c r="D1135" s="2" t="s">
        <v>16</v>
      </c>
      <c r="E1135" s="2" t="s">
        <v>60</v>
      </c>
      <c r="F1135" s="2" t="s">
        <v>25</v>
      </c>
      <c r="G1135" s="1">
        <v>15</v>
      </c>
      <c r="H1135" s="1">
        <v>869</v>
      </c>
      <c r="I1135" s="2" t="s">
        <v>56</v>
      </c>
      <c r="J1135" s="2" t="s">
        <v>20</v>
      </c>
      <c r="K1135" s="1">
        <v>512.61</v>
      </c>
      <c r="L1135" s="3">
        <v>45556</v>
      </c>
    </row>
    <row r="1136" spans="1:12" x14ac:dyDescent="0.25">
      <c r="A1136" s="1">
        <v>100188</v>
      </c>
      <c r="B1136" s="2" t="s">
        <v>631</v>
      </c>
      <c r="C1136" s="2" t="s">
        <v>13</v>
      </c>
      <c r="D1136" s="2" t="s">
        <v>41</v>
      </c>
      <c r="E1136" s="2" t="s">
        <v>78</v>
      </c>
      <c r="F1136" s="2" t="s">
        <v>18</v>
      </c>
      <c r="G1136" s="1">
        <v>0</v>
      </c>
      <c r="H1136" s="1">
        <v>544</v>
      </c>
      <c r="I1136" s="2" t="s">
        <v>19</v>
      </c>
      <c r="J1136" s="2" t="s">
        <v>20</v>
      </c>
      <c r="K1136" s="1">
        <v>422.19</v>
      </c>
      <c r="L1136" s="3">
        <v>45556</v>
      </c>
    </row>
    <row r="1137" spans="1:12" x14ac:dyDescent="0.25">
      <c r="A1137" s="1">
        <v>100927</v>
      </c>
      <c r="B1137" s="2" t="s">
        <v>489</v>
      </c>
      <c r="C1137" s="2" t="s">
        <v>126</v>
      </c>
      <c r="D1137" s="2" t="s">
        <v>106</v>
      </c>
      <c r="E1137" s="2" t="s">
        <v>78</v>
      </c>
      <c r="F1137" s="2" t="s">
        <v>25</v>
      </c>
      <c r="G1137" s="1">
        <v>21</v>
      </c>
      <c r="H1137" s="1">
        <v>843</v>
      </c>
      <c r="I1137" s="2" t="s">
        <v>32</v>
      </c>
      <c r="J1137" s="2" t="s">
        <v>35</v>
      </c>
      <c r="K1137" s="1">
        <v>341.99</v>
      </c>
      <c r="L1137" s="3">
        <v>45556</v>
      </c>
    </row>
    <row r="1138" spans="1:12" x14ac:dyDescent="0.25">
      <c r="A1138" s="1">
        <v>101970</v>
      </c>
      <c r="B1138" s="2" t="s">
        <v>51</v>
      </c>
      <c r="C1138" s="2" t="s">
        <v>52</v>
      </c>
      <c r="D1138" s="2" t="s">
        <v>64</v>
      </c>
      <c r="E1138" s="2" t="s">
        <v>17</v>
      </c>
      <c r="F1138" s="2" t="s">
        <v>25</v>
      </c>
      <c r="G1138" s="1">
        <v>14</v>
      </c>
      <c r="H1138" s="1">
        <v>567</v>
      </c>
      <c r="I1138" s="2" t="s">
        <v>32</v>
      </c>
      <c r="J1138" s="2" t="s">
        <v>26</v>
      </c>
      <c r="K1138" s="1">
        <v>328.12</v>
      </c>
      <c r="L1138" s="3">
        <v>45556</v>
      </c>
    </row>
    <row r="1139" spans="1:12" x14ac:dyDescent="0.25">
      <c r="A1139" s="1">
        <v>100739</v>
      </c>
      <c r="B1139" s="2" t="s">
        <v>215</v>
      </c>
      <c r="C1139" s="2" t="s">
        <v>126</v>
      </c>
      <c r="D1139" s="2" t="s">
        <v>106</v>
      </c>
      <c r="E1139" s="2" t="s">
        <v>55</v>
      </c>
      <c r="F1139" s="2" t="s">
        <v>18</v>
      </c>
      <c r="G1139" s="1">
        <v>0</v>
      </c>
      <c r="H1139" s="1">
        <v>395</v>
      </c>
      <c r="I1139" s="2" t="s">
        <v>56</v>
      </c>
      <c r="J1139" s="2" t="s">
        <v>20</v>
      </c>
      <c r="K1139" s="1">
        <v>342.98</v>
      </c>
      <c r="L1139" s="3">
        <v>45555</v>
      </c>
    </row>
    <row r="1140" spans="1:12" x14ac:dyDescent="0.25">
      <c r="A1140" s="1">
        <v>101577</v>
      </c>
      <c r="B1140" s="2" t="s">
        <v>38</v>
      </c>
      <c r="C1140" s="2" t="s">
        <v>35</v>
      </c>
      <c r="D1140" s="2" t="s">
        <v>106</v>
      </c>
      <c r="E1140" s="2" t="s">
        <v>70</v>
      </c>
      <c r="F1140" s="2" t="s">
        <v>83</v>
      </c>
      <c r="G1140" s="1">
        <v>0</v>
      </c>
      <c r="H1140" s="1">
        <v>533</v>
      </c>
      <c r="I1140" s="2" t="s">
        <v>45</v>
      </c>
      <c r="J1140" s="2" t="s">
        <v>20</v>
      </c>
      <c r="K1140" s="1">
        <v>273.02</v>
      </c>
      <c r="L1140" s="3">
        <v>45555</v>
      </c>
    </row>
    <row r="1141" spans="1:12" x14ac:dyDescent="0.25">
      <c r="A1141" s="1">
        <v>102088</v>
      </c>
      <c r="B1141" s="2" t="s">
        <v>595</v>
      </c>
      <c r="C1141" s="2" t="s">
        <v>22</v>
      </c>
      <c r="D1141" s="2" t="s">
        <v>41</v>
      </c>
      <c r="E1141" s="2" t="s">
        <v>60</v>
      </c>
      <c r="F1141" s="2" t="s">
        <v>83</v>
      </c>
      <c r="G1141" s="1">
        <v>0</v>
      </c>
      <c r="H1141" s="1">
        <v>372</v>
      </c>
      <c r="I1141" s="2" t="s">
        <v>19</v>
      </c>
      <c r="J1141" s="2" t="s">
        <v>26</v>
      </c>
      <c r="K1141" s="1">
        <v>769.32</v>
      </c>
      <c r="L1141" s="3">
        <v>45554</v>
      </c>
    </row>
    <row r="1142" spans="1:12" x14ac:dyDescent="0.25">
      <c r="A1142" s="1">
        <v>101281</v>
      </c>
      <c r="B1142" s="2" t="s">
        <v>213</v>
      </c>
      <c r="C1142" s="2" t="s">
        <v>58</v>
      </c>
      <c r="D1142" s="2" t="s">
        <v>16</v>
      </c>
      <c r="E1142" s="2" t="s">
        <v>78</v>
      </c>
      <c r="F1142" s="2" t="s">
        <v>42</v>
      </c>
      <c r="G1142" s="1">
        <v>136</v>
      </c>
      <c r="H1142" s="1">
        <v>324</v>
      </c>
      <c r="I1142" s="2" t="s">
        <v>19</v>
      </c>
      <c r="J1142" s="2" t="s">
        <v>20</v>
      </c>
      <c r="K1142" s="1">
        <v>357.42</v>
      </c>
      <c r="L1142" s="3">
        <v>45554</v>
      </c>
    </row>
    <row r="1143" spans="1:12" x14ac:dyDescent="0.25">
      <c r="A1143" s="1">
        <v>100227</v>
      </c>
      <c r="B1143" s="2" t="s">
        <v>807</v>
      </c>
      <c r="C1143" s="2" t="s">
        <v>85</v>
      </c>
      <c r="D1143" s="2" t="s">
        <v>41</v>
      </c>
      <c r="E1143" s="2" t="s">
        <v>55</v>
      </c>
      <c r="F1143" s="2" t="s">
        <v>18</v>
      </c>
      <c r="G1143" s="1">
        <v>0</v>
      </c>
      <c r="H1143" s="1">
        <v>443</v>
      </c>
      <c r="I1143" s="2" t="s">
        <v>32</v>
      </c>
      <c r="J1143" s="2" t="s">
        <v>26</v>
      </c>
      <c r="K1143" s="1">
        <v>1040.83</v>
      </c>
      <c r="L1143" s="3">
        <v>45553</v>
      </c>
    </row>
    <row r="1144" spans="1:12" x14ac:dyDescent="0.25">
      <c r="A1144" s="1">
        <v>100796</v>
      </c>
      <c r="B1144" s="2" t="s">
        <v>1059</v>
      </c>
      <c r="C1144" s="2" t="s">
        <v>149</v>
      </c>
      <c r="D1144" s="2" t="s">
        <v>41</v>
      </c>
      <c r="E1144" s="2" t="s">
        <v>60</v>
      </c>
      <c r="F1144" s="2" t="s">
        <v>18</v>
      </c>
      <c r="G1144" s="1">
        <v>0</v>
      </c>
      <c r="H1144" s="1">
        <v>571</v>
      </c>
      <c r="I1144" s="2" t="s">
        <v>56</v>
      </c>
      <c r="J1144" s="2" t="s">
        <v>26</v>
      </c>
      <c r="K1144" s="1">
        <v>645.29999999999995</v>
      </c>
      <c r="L1144" s="3">
        <v>45553</v>
      </c>
    </row>
    <row r="1145" spans="1:12" x14ac:dyDescent="0.25">
      <c r="A1145" s="1">
        <v>100055</v>
      </c>
      <c r="B1145" s="2" t="s">
        <v>102</v>
      </c>
      <c r="C1145" s="2" t="s">
        <v>103</v>
      </c>
      <c r="D1145" s="2" t="s">
        <v>50</v>
      </c>
      <c r="E1145" s="2" t="s">
        <v>81</v>
      </c>
      <c r="F1145" s="2" t="s">
        <v>18</v>
      </c>
      <c r="G1145" s="1">
        <v>0</v>
      </c>
      <c r="H1145" s="1">
        <v>733</v>
      </c>
      <c r="I1145" s="2" t="s">
        <v>32</v>
      </c>
      <c r="J1145" s="2" t="s">
        <v>20</v>
      </c>
      <c r="K1145" s="1">
        <v>360.44</v>
      </c>
      <c r="L1145" s="3">
        <v>45553</v>
      </c>
    </row>
    <row r="1146" spans="1:12" x14ac:dyDescent="0.25">
      <c r="A1146" s="1">
        <v>101152</v>
      </c>
      <c r="B1146" s="2" t="s">
        <v>230</v>
      </c>
      <c r="C1146" s="2" t="s">
        <v>95</v>
      </c>
      <c r="D1146" s="2" t="s">
        <v>106</v>
      </c>
      <c r="E1146" s="2" t="s">
        <v>60</v>
      </c>
      <c r="F1146" s="2" t="s">
        <v>25</v>
      </c>
      <c r="G1146" s="1">
        <v>15</v>
      </c>
      <c r="H1146" s="1">
        <v>818</v>
      </c>
      <c r="I1146" s="2" t="s">
        <v>19</v>
      </c>
      <c r="J1146" s="2" t="s">
        <v>20</v>
      </c>
      <c r="K1146" s="1">
        <v>311.25</v>
      </c>
      <c r="L1146" s="3">
        <v>45553</v>
      </c>
    </row>
    <row r="1147" spans="1:12" x14ac:dyDescent="0.25">
      <c r="A1147" s="1">
        <v>102098</v>
      </c>
      <c r="B1147" s="2" t="s">
        <v>936</v>
      </c>
      <c r="C1147" s="2" t="s">
        <v>110</v>
      </c>
      <c r="D1147" s="2" t="s">
        <v>64</v>
      </c>
      <c r="E1147" s="2" t="s">
        <v>70</v>
      </c>
      <c r="F1147" s="2" t="s">
        <v>18</v>
      </c>
      <c r="G1147" s="1">
        <v>0</v>
      </c>
      <c r="H1147" s="1">
        <v>508</v>
      </c>
      <c r="I1147" s="2" t="s">
        <v>56</v>
      </c>
      <c r="J1147" s="2" t="s">
        <v>33</v>
      </c>
      <c r="K1147" s="1">
        <v>261.89</v>
      </c>
      <c r="L1147" s="3">
        <v>45553</v>
      </c>
    </row>
    <row r="1148" spans="1:12" x14ac:dyDescent="0.25">
      <c r="A1148" s="1">
        <v>102119</v>
      </c>
      <c r="B1148" s="2" t="s">
        <v>141</v>
      </c>
      <c r="C1148" s="2" t="s">
        <v>142</v>
      </c>
      <c r="D1148" s="2" t="s">
        <v>16</v>
      </c>
      <c r="E1148" s="2" t="s">
        <v>60</v>
      </c>
      <c r="F1148" s="2" t="s">
        <v>18</v>
      </c>
      <c r="G1148" s="1">
        <v>0</v>
      </c>
      <c r="H1148" s="1">
        <v>430</v>
      </c>
      <c r="I1148" s="2" t="s">
        <v>45</v>
      </c>
      <c r="J1148" s="2" t="s">
        <v>26</v>
      </c>
      <c r="K1148" s="1">
        <v>246.94</v>
      </c>
      <c r="L1148" s="3">
        <v>45553</v>
      </c>
    </row>
    <row r="1149" spans="1:12" x14ac:dyDescent="0.25">
      <c r="A1149" s="1">
        <v>100546</v>
      </c>
      <c r="B1149" s="2" t="s">
        <v>303</v>
      </c>
      <c r="C1149" s="2" t="s">
        <v>187</v>
      </c>
      <c r="D1149" s="2" t="s">
        <v>41</v>
      </c>
      <c r="E1149" s="2" t="s">
        <v>70</v>
      </c>
      <c r="F1149" s="2" t="s">
        <v>18</v>
      </c>
      <c r="G1149" s="1">
        <v>0</v>
      </c>
      <c r="H1149" s="1">
        <v>800</v>
      </c>
      <c r="I1149" s="2" t="s">
        <v>56</v>
      </c>
      <c r="J1149" s="2" t="s">
        <v>20</v>
      </c>
      <c r="K1149" s="1">
        <v>112.63</v>
      </c>
      <c r="L1149" s="3">
        <v>45553</v>
      </c>
    </row>
    <row r="1150" spans="1:12" x14ac:dyDescent="0.25">
      <c r="A1150" s="1">
        <v>101926</v>
      </c>
      <c r="B1150" s="2" t="s">
        <v>282</v>
      </c>
      <c r="C1150" s="2" t="s">
        <v>152</v>
      </c>
      <c r="D1150" s="2" t="s">
        <v>64</v>
      </c>
      <c r="E1150" s="2" t="s">
        <v>55</v>
      </c>
      <c r="F1150" s="2" t="s">
        <v>18</v>
      </c>
      <c r="G1150" s="1">
        <v>0</v>
      </c>
      <c r="H1150" s="1">
        <v>301</v>
      </c>
      <c r="I1150" s="2" t="s">
        <v>56</v>
      </c>
      <c r="J1150" s="2" t="s">
        <v>33</v>
      </c>
      <c r="K1150" s="1">
        <v>38.64</v>
      </c>
      <c r="L1150" s="3">
        <v>45553</v>
      </c>
    </row>
    <row r="1151" spans="1:12" x14ac:dyDescent="0.25">
      <c r="A1151" s="1">
        <v>100035</v>
      </c>
      <c r="B1151" s="2" t="s">
        <v>136</v>
      </c>
      <c r="C1151" s="2" t="s">
        <v>58</v>
      </c>
      <c r="D1151" s="2" t="s">
        <v>41</v>
      </c>
      <c r="E1151" s="2" t="s">
        <v>78</v>
      </c>
      <c r="F1151" s="2" t="s">
        <v>83</v>
      </c>
      <c r="G1151" s="1">
        <v>0</v>
      </c>
      <c r="H1151" s="1">
        <v>540</v>
      </c>
      <c r="I1151" s="2" t="s">
        <v>32</v>
      </c>
      <c r="J1151" s="2" t="s">
        <v>20</v>
      </c>
      <c r="K1151" s="1">
        <v>658.68</v>
      </c>
      <c r="L1151" s="3">
        <v>45552</v>
      </c>
    </row>
    <row r="1152" spans="1:12" x14ac:dyDescent="0.25">
      <c r="A1152" s="1">
        <v>101222</v>
      </c>
      <c r="B1152" s="2" t="s">
        <v>210</v>
      </c>
      <c r="C1152" s="2" t="s">
        <v>95</v>
      </c>
      <c r="D1152" s="2" t="s">
        <v>64</v>
      </c>
      <c r="E1152" s="2" t="s">
        <v>55</v>
      </c>
      <c r="F1152" s="2" t="s">
        <v>18</v>
      </c>
      <c r="G1152" s="1" t="s">
        <v>35</v>
      </c>
      <c r="H1152" s="1">
        <v>369</v>
      </c>
      <c r="I1152" s="2" t="s">
        <v>35</v>
      </c>
      <c r="J1152" s="2" t="s">
        <v>26</v>
      </c>
      <c r="K1152" s="1">
        <v>76.3</v>
      </c>
      <c r="L1152" s="3">
        <v>45552</v>
      </c>
    </row>
    <row r="1153" spans="1:12" x14ac:dyDescent="0.25">
      <c r="A1153" s="1">
        <v>100435</v>
      </c>
      <c r="B1153" s="2" t="s">
        <v>202</v>
      </c>
      <c r="C1153" s="2" t="s">
        <v>95</v>
      </c>
      <c r="D1153" s="2" t="s">
        <v>64</v>
      </c>
      <c r="E1153" s="2" t="s">
        <v>70</v>
      </c>
      <c r="F1153" s="2" t="s">
        <v>42</v>
      </c>
      <c r="G1153" s="1">
        <v>96</v>
      </c>
      <c r="H1153" s="1">
        <v>570</v>
      </c>
      <c r="I1153" s="2" t="s">
        <v>37</v>
      </c>
      <c r="J1153" s="2" t="s">
        <v>20</v>
      </c>
      <c r="K1153" s="1">
        <v>383.54</v>
      </c>
      <c r="L1153" s="3">
        <v>45551</v>
      </c>
    </row>
    <row r="1154" spans="1:12" x14ac:dyDescent="0.25">
      <c r="A1154" s="1">
        <v>100716</v>
      </c>
      <c r="B1154" s="2" t="s">
        <v>875</v>
      </c>
      <c r="C1154" s="2" t="s">
        <v>72</v>
      </c>
      <c r="D1154" s="2" t="s">
        <v>64</v>
      </c>
      <c r="E1154" s="2" t="s">
        <v>35</v>
      </c>
      <c r="F1154" s="2" t="s">
        <v>18</v>
      </c>
      <c r="G1154" s="1">
        <v>0</v>
      </c>
      <c r="H1154" s="1">
        <v>678</v>
      </c>
      <c r="I1154" s="2" t="s">
        <v>19</v>
      </c>
      <c r="J1154" s="2" t="s">
        <v>20</v>
      </c>
      <c r="K1154" s="1">
        <v>379.4</v>
      </c>
      <c r="L1154" s="3">
        <v>45551</v>
      </c>
    </row>
    <row r="1155" spans="1:12" x14ac:dyDescent="0.25">
      <c r="A1155" s="1">
        <v>101783</v>
      </c>
      <c r="B1155" s="2" t="s">
        <v>506</v>
      </c>
      <c r="C1155" s="2" t="s">
        <v>58</v>
      </c>
      <c r="D1155" s="2" t="s">
        <v>50</v>
      </c>
      <c r="E1155" s="2" t="s">
        <v>70</v>
      </c>
      <c r="F1155" s="2" t="s">
        <v>18</v>
      </c>
      <c r="G1155" s="1">
        <v>0</v>
      </c>
      <c r="H1155" s="1">
        <v>394</v>
      </c>
      <c r="I1155" s="2" t="s">
        <v>32</v>
      </c>
      <c r="J1155" s="2" t="s">
        <v>26</v>
      </c>
      <c r="K1155" s="1">
        <v>222.82</v>
      </c>
      <c r="L1155" s="3">
        <v>45551</v>
      </c>
    </row>
    <row r="1156" spans="1:12" x14ac:dyDescent="0.25">
      <c r="A1156" s="1">
        <v>101254</v>
      </c>
      <c r="B1156" s="2" t="s">
        <v>200</v>
      </c>
      <c r="C1156" s="2" t="s">
        <v>142</v>
      </c>
      <c r="D1156" s="2" t="s">
        <v>50</v>
      </c>
      <c r="E1156" s="2" t="s">
        <v>55</v>
      </c>
      <c r="F1156" s="2" t="s">
        <v>18</v>
      </c>
      <c r="G1156" s="1">
        <v>0</v>
      </c>
      <c r="H1156" s="1">
        <v>784</v>
      </c>
      <c r="I1156" s="2" t="s">
        <v>37</v>
      </c>
      <c r="J1156" s="2" t="s">
        <v>20</v>
      </c>
      <c r="K1156" s="1">
        <v>159.88999999999999</v>
      </c>
      <c r="L1156" s="3">
        <v>45550</v>
      </c>
    </row>
    <row r="1157" spans="1:12" x14ac:dyDescent="0.25">
      <c r="A1157" s="1">
        <v>102048</v>
      </c>
      <c r="B1157" s="2" t="s">
        <v>497</v>
      </c>
      <c r="C1157" s="2" t="s">
        <v>142</v>
      </c>
      <c r="D1157" s="2" t="s">
        <v>41</v>
      </c>
      <c r="E1157" s="2" t="s">
        <v>78</v>
      </c>
      <c r="F1157" s="2" t="s">
        <v>25</v>
      </c>
      <c r="G1157" s="1">
        <v>12</v>
      </c>
      <c r="H1157" s="1">
        <v>465</v>
      </c>
      <c r="I1157" s="2" t="s">
        <v>45</v>
      </c>
      <c r="J1157" s="2" t="s">
        <v>20</v>
      </c>
      <c r="K1157" s="1">
        <v>668.89</v>
      </c>
      <c r="L1157" s="3">
        <v>45549</v>
      </c>
    </row>
    <row r="1158" spans="1:12" x14ac:dyDescent="0.25">
      <c r="A1158" s="1">
        <v>101371</v>
      </c>
      <c r="B1158" s="2" t="s">
        <v>425</v>
      </c>
      <c r="C1158" s="2" t="s">
        <v>149</v>
      </c>
      <c r="D1158" s="2" t="s">
        <v>64</v>
      </c>
      <c r="E1158" s="2" t="s">
        <v>81</v>
      </c>
      <c r="F1158" s="2" t="s">
        <v>18</v>
      </c>
      <c r="G1158" s="1">
        <v>0</v>
      </c>
      <c r="H1158" s="1">
        <v>720</v>
      </c>
      <c r="I1158" s="2" t="s">
        <v>45</v>
      </c>
      <c r="J1158" s="2" t="s">
        <v>20</v>
      </c>
      <c r="K1158" s="1">
        <v>474.48</v>
      </c>
      <c r="L1158" s="3">
        <v>45549</v>
      </c>
    </row>
    <row r="1159" spans="1:12" x14ac:dyDescent="0.25">
      <c r="A1159" s="1">
        <v>102066</v>
      </c>
      <c r="B1159" s="2" t="s">
        <v>364</v>
      </c>
      <c r="C1159" s="2" t="s">
        <v>103</v>
      </c>
      <c r="D1159" s="2" t="s">
        <v>50</v>
      </c>
      <c r="E1159" s="2" t="s">
        <v>17</v>
      </c>
      <c r="F1159" s="2" t="s">
        <v>18</v>
      </c>
      <c r="G1159" s="1">
        <v>0</v>
      </c>
      <c r="H1159" s="1">
        <v>351</v>
      </c>
      <c r="I1159" s="2" t="s">
        <v>37</v>
      </c>
      <c r="J1159" s="2" t="s">
        <v>20</v>
      </c>
      <c r="K1159" s="1">
        <v>170.71</v>
      </c>
      <c r="L1159" s="3">
        <v>45549</v>
      </c>
    </row>
    <row r="1160" spans="1:12" x14ac:dyDescent="0.25">
      <c r="A1160" s="1">
        <v>100236</v>
      </c>
      <c r="B1160" s="2" t="s">
        <v>875</v>
      </c>
      <c r="C1160" s="2" t="s">
        <v>72</v>
      </c>
      <c r="D1160" s="2" t="s">
        <v>41</v>
      </c>
      <c r="E1160" s="2" t="s">
        <v>17</v>
      </c>
      <c r="F1160" s="2" t="s">
        <v>25</v>
      </c>
      <c r="G1160" s="1">
        <v>7</v>
      </c>
      <c r="H1160" s="1">
        <v>678</v>
      </c>
      <c r="I1160" s="2" t="s">
        <v>37</v>
      </c>
      <c r="J1160" s="2" t="s">
        <v>26</v>
      </c>
      <c r="K1160" s="1">
        <v>741.6</v>
      </c>
      <c r="L1160" s="3">
        <v>45548</v>
      </c>
    </row>
    <row r="1161" spans="1:12" x14ac:dyDescent="0.25">
      <c r="A1161" s="1">
        <v>101676</v>
      </c>
      <c r="B1161" s="2" t="s">
        <v>222</v>
      </c>
      <c r="C1161" s="2" t="s">
        <v>100</v>
      </c>
      <c r="D1161" s="2" t="s">
        <v>64</v>
      </c>
      <c r="E1161" s="2" t="s">
        <v>70</v>
      </c>
      <c r="F1161" s="2" t="s">
        <v>25</v>
      </c>
      <c r="G1161" s="1">
        <v>27</v>
      </c>
      <c r="H1161" s="1">
        <v>585</v>
      </c>
      <c r="I1161" s="2" t="s">
        <v>19</v>
      </c>
      <c r="J1161" s="2" t="s">
        <v>20</v>
      </c>
      <c r="K1161" s="1">
        <v>661.52</v>
      </c>
      <c r="L1161" s="3">
        <v>45548</v>
      </c>
    </row>
    <row r="1162" spans="1:12" x14ac:dyDescent="0.25">
      <c r="A1162" s="1">
        <v>102067</v>
      </c>
      <c r="B1162" s="2" t="s">
        <v>515</v>
      </c>
      <c r="C1162" s="2" t="s">
        <v>22</v>
      </c>
      <c r="D1162" s="2" t="s">
        <v>50</v>
      </c>
      <c r="E1162" s="2" t="s">
        <v>60</v>
      </c>
      <c r="F1162" s="2" t="s">
        <v>18</v>
      </c>
      <c r="G1162" s="1">
        <v>0</v>
      </c>
      <c r="H1162" s="1">
        <v>826</v>
      </c>
      <c r="I1162" s="2" t="s">
        <v>37</v>
      </c>
      <c r="J1162" s="2" t="s">
        <v>20</v>
      </c>
      <c r="K1162" s="1">
        <v>571.25</v>
      </c>
      <c r="L1162" s="3">
        <v>45548</v>
      </c>
    </row>
    <row r="1163" spans="1:12" x14ac:dyDescent="0.25">
      <c r="A1163" s="1">
        <v>100829</v>
      </c>
      <c r="B1163" s="2" t="s">
        <v>262</v>
      </c>
      <c r="C1163" s="2" t="s">
        <v>134</v>
      </c>
      <c r="D1163" s="2" t="s">
        <v>64</v>
      </c>
      <c r="E1163" s="2" t="s">
        <v>60</v>
      </c>
      <c r="F1163" s="2" t="s">
        <v>83</v>
      </c>
      <c r="G1163" s="1">
        <v>0</v>
      </c>
      <c r="H1163" s="1">
        <v>399</v>
      </c>
      <c r="I1163" s="2" t="s">
        <v>32</v>
      </c>
      <c r="J1163" s="2" t="s">
        <v>26</v>
      </c>
      <c r="K1163" s="1">
        <v>287.17</v>
      </c>
      <c r="L1163" s="3">
        <v>45548</v>
      </c>
    </row>
    <row r="1164" spans="1:12" x14ac:dyDescent="0.25">
      <c r="A1164" s="1">
        <v>101311</v>
      </c>
      <c r="B1164" s="2" t="s">
        <v>515</v>
      </c>
      <c r="C1164" s="2" t="s">
        <v>22</v>
      </c>
      <c r="D1164" s="2" t="s">
        <v>50</v>
      </c>
      <c r="E1164" s="2" t="s">
        <v>17</v>
      </c>
      <c r="F1164" s="2" t="s">
        <v>25</v>
      </c>
      <c r="G1164" s="1">
        <v>19</v>
      </c>
      <c r="H1164" s="1">
        <v>826</v>
      </c>
      <c r="I1164" s="2" t="s">
        <v>32</v>
      </c>
      <c r="J1164" s="2" t="s">
        <v>26</v>
      </c>
      <c r="K1164" s="1">
        <v>231.46</v>
      </c>
      <c r="L1164" s="3">
        <v>45548</v>
      </c>
    </row>
    <row r="1165" spans="1:12" x14ac:dyDescent="0.25">
      <c r="A1165" s="1">
        <v>101897</v>
      </c>
      <c r="B1165" s="2" t="s">
        <v>1022</v>
      </c>
      <c r="C1165" s="2" t="s">
        <v>270</v>
      </c>
      <c r="D1165" s="2" t="s">
        <v>106</v>
      </c>
      <c r="E1165" s="2" t="s">
        <v>31</v>
      </c>
      <c r="F1165" s="2" t="s">
        <v>83</v>
      </c>
      <c r="G1165" s="1">
        <v>0</v>
      </c>
      <c r="H1165" s="1">
        <v>383</v>
      </c>
      <c r="I1165" s="2" t="s">
        <v>45</v>
      </c>
      <c r="J1165" s="2" t="s">
        <v>26</v>
      </c>
      <c r="K1165" s="1">
        <v>451.98</v>
      </c>
      <c r="L1165" s="3">
        <v>45547</v>
      </c>
    </row>
    <row r="1166" spans="1:12" x14ac:dyDescent="0.25">
      <c r="A1166" s="1">
        <v>101930</v>
      </c>
      <c r="B1166" s="2" t="s">
        <v>342</v>
      </c>
      <c r="C1166" s="2" t="s">
        <v>110</v>
      </c>
      <c r="D1166" s="2" t="s">
        <v>41</v>
      </c>
      <c r="E1166" s="2" t="s">
        <v>35</v>
      </c>
      <c r="F1166" s="2" t="s">
        <v>83</v>
      </c>
      <c r="G1166" s="1">
        <v>0</v>
      </c>
      <c r="H1166" s="1">
        <v>659</v>
      </c>
      <c r="I1166" s="2" t="s">
        <v>19</v>
      </c>
      <c r="J1166" s="2" t="s">
        <v>20</v>
      </c>
      <c r="K1166" s="1">
        <v>320.45999999999998</v>
      </c>
      <c r="L1166" s="3">
        <v>45547</v>
      </c>
    </row>
    <row r="1167" spans="1:12" x14ac:dyDescent="0.25">
      <c r="A1167" s="1">
        <v>101792</v>
      </c>
      <c r="B1167" s="2" t="s">
        <v>225</v>
      </c>
      <c r="C1167" s="2" t="s">
        <v>142</v>
      </c>
      <c r="D1167" s="2" t="s">
        <v>41</v>
      </c>
      <c r="E1167" s="2" t="s">
        <v>55</v>
      </c>
      <c r="F1167" s="2" t="s">
        <v>18</v>
      </c>
      <c r="G1167" s="1">
        <v>0</v>
      </c>
      <c r="H1167" s="1">
        <v>741</v>
      </c>
      <c r="I1167" s="2" t="s">
        <v>37</v>
      </c>
      <c r="J1167" s="2" t="s">
        <v>20</v>
      </c>
      <c r="K1167" s="1">
        <v>135.46</v>
      </c>
      <c r="L1167" s="3">
        <v>45547</v>
      </c>
    </row>
    <row r="1168" spans="1:12" x14ac:dyDescent="0.25">
      <c r="A1168" s="1">
        <v>100287</v>
      </c>
      <c r="B1168" s="2" t="s">
        <v>805</v>
      </c>
      <c r="C1168" s="2" t="s">
        <v>62</v>
      </c>
      <c r="D1168" s="2" t="s">
        <v>50</v>
      </c>
      <c r="E1168" s="2" t="s">
        <v>70</v>
      </c>
      <c r="F1168" s="2" t="s">
        <v>18</v>
      </c>
      <c r="G1168" s="1">
        <v>0</v>
      </c>
      <c r="H1168" s="1">
        <v>352</v>
      </c>
      <c r="I1168" s="2" t="s">
        <v>37</v>
      </c>
      <c r="J1168" s="2" t="s">
        <v>26</v>
      </c>
      <c r="K1168" s="1">
        <v>945.13</v>
      </c>
      <c r="L1168" s="3">
        <v>45546</v>
      </c>
    </row>
    <row r="1169" spans="1:12" x14ac:dyDescent="0.25">
      <c r="A1169" s="1">
        <v>100514</v>
      </c>
      <c r="B1169" s="2" t="s">
        <v>1402</v>
      </c>
      <c r="C1169" s="2" t="s">
        <v>100</v>
      </c>
      <c r="D1169" s="2" t="s">
        <v>50</v>
      </c>
      <c r="E1169" s="2" t="s">
        <v>60</v>
      </c>
      <c r="F1169" s="2" t="s">
        <v>18</v>
      </c>
      <c r="G1169" s="1">
        <v>0</v>
      </c>
      <c r="H1169" s="1">
        <v>588</v>
      </c>
      <c r="I1169" s="2" t="s">
        <v>37</v>
      </c>
      <c r="J1169" s="2" t="s">
        <v>26</v>
      </c>
      <c r="K1169" s="1">
        <v>522.12</v>
      </c>
      <c r="L1169" s="3">
        <v>45546</v>
      </c>
    </row>
    <row r="1170" spans="1:12" x14ac:dyDescent="0.25">
      <c r="A1170" s="1">
        <v>101059</v>
      </c>
      <c r="B1170" s="2" t="s">
        <v>444</v>
      </c>
      <c r="C1170" s="2" t="s">
        <v>52</v>
      </c>
      <c r="D1170" s="2" t="s">
        <v>64</v>
      </c>
      <c r="E1170" s="2" t="s">
        <v>81</v>
      </c>
      <c r="F1170" s="2" t="s">
        <v>83</v>
      </c>
      <c r="G1170" s="1">
        <v>0</v>
      </c>
      <c r="H1170" s="1">
        <v>688</v>
      </c>
      <c r="I1170" s="2" t="s">
        <v>37</v>
      </c>
      <c r="J1170" s="2" t="s">
        <v>20</v>
      </c>
      <c r="K1170" s="1">
        <v>489.05</v>
      </c>
      <c r="L1170" s="3">
        <v>45546</v>
      </c>
    </row>
    <row r="1171" spans="1:12" x14ac:dyDescent="0.25">
      <c r="A1171" s="1">
        <v>101084</v>
      </c>
      <c r="B1171" s="2" t="s">
        <v>241</v>
      </c>
      <c r="C1171" s="2" t="s">
        <v>58</v>
      </c>
      <c r="D1171" s="2" t="s">
        <v>16</v>
      </c>
      <c r="E1171" s="2" t="s">
        <v>60</v>
      </c>
      <c r="F1171" s="2" t="s">
        <v>18</v>
      </c>
      <c r="G1171" s="1">
        <v>0</v>
      </c>
      <c r="H1171" s="1">
        <v>468</v>
      </c>
      <c r="I1171" s="2" t="s">
        <v>56</v>
      </c>
      <c r="J1171" s="2" t="s">
        <v>33</v>
      </c>
      <c r="K1171" s="1">
        <v>464.64</v>
      </c>
      <c r="L1171" s="3">
        <v>45546</v>
      </c>
    </row>
    <row r="1172" spans="1:12" x14ac:dyDescent="0.25">
      <c r="A1172" s="1">
        <v>100549</v>
      </c>
      <c r="B1172" s="2" t="s">
        <v>396</v>
      </c>
      <c r="C1172" s="2" t="s">
        <v>103</v>
      </c>
      <c r="D1172" s="2" t="s">
        <v>50</v>
      </c>
      <c r="E1172" s="2" t="s">
        <v>81</v>
      </c>
      <c r="F1172" s="2" t="s">
        <v>18</v>
      </c>
      <c r="G1172" s="1">
        <v>0</v>
      </c>
      <c r="H1172" s="1">
        <v>437</v>
      </c>
      <c r="I1172" s="2" t="s">
        <v>19</v>
      </c>
      <c r="J1172" s="2" t="s">
        <v>33</v>
      </c>
      <c r="K1172" s="1">
        <v>461.31</v>
      </c>
      <c r="L1172" s="3">
        <v>45546</v>
      </c>
    </row>
    <row r="1173" spans="1:12" x14ac:dyDescent="0.25">
      <c r="A1173" s="1">
        <v>100528</v>
      </c>
      <c r="B1173" s="2" t="s">
        <v>68</v>
      </c>
      <c r="C1173" s="2" t="s">
        <v>52</v>
      </c>
      <c r="D1173" s="2" t="s">
        <v>50</v>
      </c>
      <c r="E1173" s="2" t="s">
        <v>81</v>
      </c>
      <c r="F1173" s="2" t="s">
        <v>18</v>
      </c>
      <c r="G1173" s="1">
        <v>0</v>
      </c>
      <c r="H1173" s="1">
        <v>309</v>
      </c>
      <c r="I1173" s="2" t="s">
        <v>56</v>
      </c>
      <c r="J1173" s="2" t="s">
        <v>26</v>
      </c>
      <c r="K1173" s="1">
        <v>386.03</v>
      </c>
      <c r="L1173" s="3">
        <v>45546</v>
      </c>
    </row>
    <row r="1174" spans="1:12" x14ac:dyDescent="0.25">
      <c r="A1174" s="1">
        <v>100221</v>
      </c>
      <c r="B1174" s="2" t="s">
        <v>463</v>
      </c>
      <c r="C1174" s="2" t="s">
        <v>126</v>
      </c>
      <c r="D1174" s="2" t="s">
        <v>50</v>
      </c>
      <c r="E1174" s="2" t="s">
        <v>55</v>
      </c>
      <c r="F1174" s="2" t="s">
        <v>83</v>
      </c>
      <c r="G1174" s="1">
        <v>0</v>
      </c>
      <c r="H1174" s="1">
        <v>765</v>
      </c>
      <c r="I1174" s="2" t="s">
        <v>56</v>
      </c>
      <c r="J1174" s="2" t="s">
        <v>33</v>
      </c>
      <c r="K1174" s="1">
        <v>180.41</v>
      </c>
      <c r="L1174" s="3">
        <v>45546</v>
      </c>
    </row>
    <row r="1175" spans="1:12" x14ac:dyDescent="0.25">
      <c r="A1175" s="1">
        <v>100649</v>
      </c>
      <c r="B1175" s="2" t="s">
        <v>592</v>
      </c>
      <c r="C1175" s="2" t="s">
        <v>47</v>
      </c>
      <c r="D1175" s="2" t="s">
        <v>106</v>
      </c>
      <c r="E1175" s="2" t="s">
        <v>55</v>
      </c>
      <c r="F1175" s="2" t="s">
        <v>18</v>
      </c>
      <c r="G1175" s="1">
        <v>0</v>
      </c>
      <c r="H1175" s="1">
        <v>332</v>
      </c>
      <c r="I1175" s="2" t="s">
        <v>35</v>
      </c>
      <c r="J1175" s="2" t="s">
        <v>26</v>
      </c>
      <c r="K1175" s="1">
        <v>909.6</v>
      </c>
      <c r="L1175" s="3">
        <v>45545</v>
      </c>
    </row>
    <row r="1176" spans="1:12" x14ac:dyDescent="0.25">
      <c r="A1176" s="1">
        <v>100251</v>
      </c>
      <c r="B1176" s="2" t="s">
        <v>832</v>
      </c>
      <c r="C1176" s="2" t="s">
        <v>134</v>
      </c>
      <c r="D1176" s="2" t="s">
        <v>106</v>
      </c>
      <c r="E1176" s="2" t="s">
        <v>78</v>
      </c>
      <c r="F1176" s="2" t="s">
        <v>18</v>
      </c>
      <c r="G1176" s="1">
        <v>0</v>
      </c>
      <c r="H1176" s="1">
        <v>641</v>
      </c>
      <c r="I1176" s="2" t="s">
        <v>45</v>
      </c>
      <c r="J1176" s="2" t="s">
        <v>26</v>
      </c>
      <c r="K1176" s="1">
        <v>669.3</v>
      </c>
      <c r="L1176" s="3">
        <v>45545</v>
      </c>
    </row>
    <row r="1177" spans="1:12" x14ac:dyDescent="0.25">
      <c r="A1177" s="1">
        <v>101162</v>
      </c>
      <c r="B1177" s="2" t="s">
        <v>61</v>
      </c>
      <c r="C1177" s="2" t="s">
        <v>62</v>
      </c>
      <c r="D1177" s="2" t="s">
        <v>64</v>
      </c>
      <c r="E1177" s="2" t="s">
        <v>60</v>
      </c>
      <c r="F1177" s="2" t="s">
        <v>83</v>
      </c>
      <c r="G1177" s="1">
        <v>0</v>
      </c>
      <c r="H1177" s="1">
        <v>542</v>
      </c>
      <c r="I1177" s="2" t="s">
        <v>35</v>
      </c>
      <c r="J1177" s="2" t="s">
        <v>26</v>
      </c>
      <c r="K1177" s="1">
        <v>506.6</v>
      </c>
      <c r="L1177" s="3">
        <v>45545</v>
      </c>
    </row>
    <row r="1178" spans="1:12" x14ac:dyDescent="0.25">
      <c r="A1178" s="1">
        <v>100144</v>
      </c>
      <c r="B1178" s="2" t="s">
        <v>131</v>
      </c>
      <c r="C1178" s="2" t="s">
        <v>39</v>
      </c>
      <c r="D1178" s="2" t="s">
        <v>64</v>
      </c>
      <c r="E1178" s="2" t="s">
        <v>70</v>
      </c>
      <c r="F1178" s="2" t="s">
        <v>25</v>
      </c>
      <c r="G1178" s="1">
        <v>28</v>
      </c>
      <c r="H1178" s="1">
        <v>867</v>
      </c>
      <c r="I1178" s="2" t="s">
        <v>19</v>
      </c>
      <c r="J1178" s="2" t="s">
        <v>26</v>
      </c>
      <c r="K1178" s="1">
        <v>176.35</v>
      </c>
      <c r="L1178" s="3">
        <v>45545</v>
      </c>
    </row>
    <row r="1179" spans="1:12" x14ac:dyDescent="0.25">
      <c r="A1179" s="1">
        <v>101243</v>
      </c>
      <c r="B1179" s="2" t="s">
        <v>121</v>
      </c>
      <c r="C1179" s="2" t="s">
        <v>122</v>
      </c>
      <c r="D1179" s="2" t="s">
        <v>64</v>
      </c>
      <c r="E1179" s="2" t="s">
        <v>81</v>
      </c>
      <c r="F1179" s="2" t="s">
        <v>18</v>
      </c>
      <c r="G1179" s="1">
        <v>0</v>
      </c>
      <c r="H1179" s="1">
        <v>823</v>
      </c>
      <c r="I1179" s="2" t="s">
        <v>32</v>
      </c>
      <c r="J1179" s="2" t="s">
        <v>26</v>
      </c>
      <c r="K1179" s="1">
        <v>776.95</v>
      </c>
      <c r="L1179" s="3">
        <v>45544</v>
      </c>
    </row>
    <row r="1180" spans="1:12" x14ac:dyDescent="0.25">
      <c r="A1180" s="1">
        <v>100130</v>
      </c>
      <c r="B1180" s="2" t="s">
        <v>225</v>
      </c>
      <c r="C1180" s="2" t="s">
        <v>142</v>
      </c>
      <c r="D1180" s="2" t="s">
        <v>41</v>
      </c>
      <c r="E1180" s="2" t="s">
        <v>17</v>
      </c>
      <c r="F1180" s="2" t="s">
        <v>18</v>
      </c>
      <c r="G1180" s="1">
        <v>0</v>
      </c>
      <c r="H1180" s="1">
        <v>741</v>
      </c>
      <c r="I1180" s="2" t="s">
        <v>37</v>
      </c>
      <c r="J1180" s="2" t="s">
        <v>20</v>
      </c>
      <c r="K1180" s="1">
        <v>629.46</v>
      </c>
      <c r="L1180" s="3">
        <v>45544</v>
      </c>
    </row>
    <row r="1181" spans="1:12" x14ac:dyDescent="0.25">
      <c r="A1181" s="1">
        <v>101259</v>
      </c>
      <c r="B1181" s="2" t="s">
        <v>682</v>
      </c>
      <c r="C1181" s="2" t="s">
        <v>152</v>
      </c>
      <c r="D1181" s="2" t="s">
        <v>50</v>
      </c>
      <c r="E1181" s="2" t="s">
        <v>17</v>
      </c>
      <c r="F1181" s="2" t="s">
        <v>83</v>
      </c>
      <c r="G1181" s="1">
        <v>0</v>
      </c>
      <c r="H1181" s="1">
        <v>863</v>
      </c>
      <c r="I1181" s="2" t="s">
        <v>37</v>
      </c>
      <c r="J1181" s="2" t="s">
        <v>33</v>
      </c>
      <c r="K1181" s="1">
        <v>333.04</v>
      </c>
      <c r="L1181" s="3">
        <v>45544</v>
      </c>
    </row>
    <row r="1182" spans="1:12" x14ac:dyDescent="0.25">
      <c r="A1182" s="1">
        <v>101067</v>
      </c>
      <c r="B1182" s="2" t="s">
        <v>102</v>
      </c>
      <c r="C1182" s="2" t="s">
        <v>103</v>
      </c>
      <c r="D1182" s="2" t="s">
        <v>64</v>
      </c>
      <c r="E1182" s="2" t="s">
        <v>31</v>
      </c>
      <c r="F1182" s="2" t="s">
        <v>83</v>
      </c>
      <c r="G1182" s="1">
        <v>0</v>
      </c>
      <c r="H1182" s="1">
        <v>733</v>
      </c>
      <c r="I1182" s="2" t="s">
        <v>56</v>
      </c>
      <c r="J1182" s="2" t="s">
        <v>20</v>
      </c>
      <c r="K1182" s="1">
        <v>310.3</v>
      </c>
      <c r="L1182" s="3">
        <v>45544</v>
      </c>
    </row>
    <row r="1183" spans="1:12" x14ac:dyDescent="0.25">
      <c r="A1183" s="1">
        <v>101769</v>
      </c>
      <c r="B1183" s="2" t="s">
        <v>286</v>
      </c>
      <c r="C1183" s="2" t="s">
        <v>168</v>
      </c>
      <c r="D1183" s="2" t="s">
        <v>16</v>
      </c>
      <c r="E1183" s="2" t="s">
        <v>78</v>
      </c>
      <c r="F1183" s="2" t="s">
        <v>83</v>
      </c>
      <c r="G1183" s="1">
        <v>0</v>
      </c>
      <c r="H1183" s="1">
        <v>434</v>
      </c>
      <c r="I1183" s="2" t="s">
        <v>19</v>
      </c>
      <c r="J1183" s="2" t="s">
        <v>33</v>
      </c>
      <c r="K1183" s="1">
        <v>1016.69</v>
      </c>
      <c r="L1183" s="3">
        <v>45542</v>
      </c>
    </row>
    <row r="1184" spans="1:12" x14ac:dyDescent="0.25">
      <c r="A1184" s="1">
        <v>102122</v>
      </c>
      <c r="B1184" s="2" t="s">
        <v>177</v>
      </c>
      <c r="C1184" s="2" t="s">
        <v>85</v>
      </c>
      <c r="D1184" s="2" t="s">
        <v>41</v>
      </c>
      <c r="E1184" s="2" t="s">
        <v>60</v>
      </c>
      <c r="F1184" s="2" t="s">
        <v>18</v>
      </c>
      <c r="G1184" s="1">
        <v>0</v>
      </c>
      <c r="H1184" s="1">
        <v>375</v>
      </c>
      <c r="I1184" s="2" t="s">
        <v>56</v>
      </c>
      <c r="J1184" s="2" t="s">
        <v>26</v>
      </c>
      <c r="K1184" s="1">
        <v>714.38</v>
      </c>
      <c r="L1184" s="3">
        <v>45542</v>
      </c>
    </row>
    <row r="1185" spans="1:12" x14ac:dyDescent="0.25">
      <c r="A1185" s="1">
        <v>101187</v>
      </c>
      <c r="B1185" s="2" t="s">
        <v>1663</v>
      </c>
      <c r="C1185" s="2" t="s">
        <v>100</v>
      </c>
      <c r="D1185" s="2" t="s">
        <v>41</v>
      </c>
      <c r="E1185" s="2" t="s">
        <v>55</v>
      </c>
      <c r="F1185" s="2" t="s">
        <v>42</v>
      </c>
      <c r="G1185" s="1">
        <v>60</v>
      </c>
      <c r="H1185" s="1">
        <v>452</v>
      </c>
      <c r="I1185" s="2" t="s">
        <v>37</v>
      </c>
      <c r="J1185" s="2" t="s">
        <v>20</v>
      </c>
      <c r="K1185" s="1">
        <v>530.13</v>
      </c>
      <c r="L1185" s="3">
        <v>45542</v>
      </c>
    </row>
    <row r="1186" spans="1:12" x14ac:dyDescent="0.25">
      <c r="A1186" s="1">
        <v>101701</v>
      </c>
      <c r="B1186" s="2" t="s">
        <v>460</v>
      </c>
      <c r="C1186" s="2" t="s">
        <v>95</v>
      </c>
      <c r="D1186" s="2" t="s">
        <v>50</v>
      </c>
      <c r="E1186" s="2" t="s">
        <v>31</v>
      </c>
      <c r="F1186" s="2" t="s">
        <v>18</v>
      </c>
      <c r="G1186" s="1">
        <v>0</v>
      </c>
      <c r="H1186" s="1">
        <v>716</v>
      </c>
      <c r="I1186" s="2" t="s">
        <v>56</v>
      </c>
      <c r="J1186" s="2" t="s">
        <v>33</v>
      </c>
      <c r="K1186" s="1">
        <v>110.955</v>
      </c>
      <c r="L1186" s="3">
        <v>45542</v>
      </c>
    </row>
    <row r="1187" spans="1:12" x14ac:dyDescent="0.25">
      <c r="A1187" s="1">
        <v>100911</v>
      </c>
      <c r="B1187" s="2" t="s">
        <v>232</v>
      </c>
      <c r="C1187" s="2" t="s">
        <v>152</v>
      </c>
      <c r="D1187" s="2" t="s">
        <v>16</v>
      </c>
      <c r="E1187" s="2" t="s">
        <v>55</v>
      </c>
      <c r="F1187" s="2" t="s">
        <v>25</v>
      </c>
      <c r="G1187" s="1">
        <v>15</v>
      </c>
      <c r="H1187" s="1">
        <v>781</v>
      </c>
      <c r="I1187" s="2" t="s">
        <v>19</v>
      </c>
      <c r="J1187" s="2" t="s">
        <v>26</v>
      </c>
      <c r="K1187" s="1">
        <v>603.33000000000004</v>
      </c>
      <c r="L1187" s="3">
        <v>45541</v>
      </c>
    </row>
    <row r="1188" spans="1:12" x14ac:dyDescent="0.25">
      <c r="A1188" s="1">
        <v>100698</v>
      </c>
      <c r="B1188" s="2" t="s">
        <v>292</v>
      </c>
      <c r="C1188" s="2" t="s">
        <v>149</v>
      </c>
      <c r="D1188" s="2" t="s">
        <v>50</v>
      </c>
      <c r="E1188" s="2" t="s">
        <v>31</v>
      </c>
      <c r="F1188" s="2" t="s">
        <v>18</v>
      </c>
      <c r="G1188" s="1">
        <v>0</v>
      </c>
      <c r="H1188" s="1">
        <v>466</v>
      </c>
      <c r="I1188" s="2" t="s">
        <v>45</v>
      </c>
      <c r="J1188" s="2" t="s">
        <v>33</v>
      </c>
      <c r="K1188" s="1">
        <v>216.7</v>
      </c>
      <c r="L1188" s="3">
        <v>45541</v>
      </c>
    </row>
    <row r="1189" spans="1:12" x14ac:dyDescent="0.25">
      <c r="A1189" s="1">
        <v>101117</v>
      </c>
      <c r="B1189" s="2" t="s">
        <v>599</v>
      </c>
      <c r="C1189" s="2" t="s">
        <v>52</v>
      </c>
      <c r="D1189" s="2" t="s">
        <v>16</v>
      </c>
      <c r="E1189" s="2" t="s">
        <v>60</v>
      </c>
      <c r="F1189" s="2" t="s">
        <v>18</v>
      </c>
      <c r="G1189" s="1">
        <v>0</v>
      </c>
      <c r="H1189" s="1">
        <v>552</v>
      </c>
      <c r="I1189" s="2" t="s">
        <v>37</v>
      </c>
      <c r="J1189" s="2" t="s">
        <v>20</v>
      </c>
      <c r="K1189" s="1">
        <v>184.08</v>
      </c>
      <c r="L1189" s="3">
        <v>45541</v>
      </c>
    </row>
    <row r="1190" spans="1:12" x14ac:dyDescent="0.25">
      <c r="A1190" s="1">
        <v>101511</v>
      </c>
      <c r="B1190" s="2" t="s">
        <v>364</v>
      </c>
      <c r="C1190" s="2" t="s">
        <v>103</v>
      </c>
      <c r="D1190" s="2" t="s">
        <v>64</v>
      </c>
      <c r="E1190" s="2" t="s">
        <v>78</v>
      </c>
      <c r="F1190" s="2" t="s">
        <v>18</v>
      </c>
      <c r="G1190" s="1">
        <v>0</v>
      </c>
      <c r="H1190" s="1">
        <v>351</v>
      </c>
      <c r="I1190" s="2" t="s">
        <v>32</v>
      </c>
      <c r="J1190" s="2" t="s">
        <v>20</v>
      </c>
      <c r="K1190" s="1">
        <v>95.99</v>
      </c>
      <c r="L1190" s="3">
        <v>45541</v>
      </c>
    </row>
    <row r="1191" spans="1:12" x14ac:dyDescent="0.25">
      <c r="A1191" s="1">
        <v>100129</v>
      </c>
      <c r="B1191" s="2" t="s">
        <v>1053</v>
      </c>
      <c r="C1191" s="2" t="s">
        <v>47</v>
      </c>
      <c r="D1191" s="2" t="s">
        <v>106</v>
      </c>
      <c r="E1191" s="2" t="s">
        <v>31</v>
      </c>
      <c r="F1191" s="2" t="s">
        <v>18</v>
      </c>
      <c r="G1191" s="1">
        <v>0</v>
      </c>
      <c r="H1191" s="1">
        <v>864</v>
      </c>
      <c r="I1191" s="2" t="s">
        <v>56</v>
      </c>
      <c r="J1191" s="2" t="s">
        <v>20</v>
      </c>
      <c r="K1191" s="1">
        <v>479.25</v>
      </c>
      <c r="L1191" s="3">
        <v>45540</v>
      </c>
    </row>
    <row r="1192" spans="1:12" x14ac:dyDescent="0.25">
      <c r="A1192" s="1">
        <v>101899</v>
      </c>
      <c r="B1192" s="2" t="s">
        <v>141</v>
      </c>
      <c r="C1192" s="2" t="s">
        <v>142</v>
      </c>
      <c r="D1192" s="2" t="s">
        <v>41</v>
      </c>
      <c r="E1192" s="2" t="s">
        <v>78</v>
      </c>
      <c r="F1192" s="2" t="s">
        <v>18</v>
      </c>
      <c r="G1192" s="1">
        <v>0</v>
      </c>
      <c r="H1192" s="1">
        <v>430</v>
      </c>
      <c r="I1192" s="2" t="s">
        <v>45</v>
      </c>
      <c r="J1192" s="2" t="s">
        <v>33</v>
      </c>
      <c r="K1192" s="1">
        <v>402.02</v>
      </c>
      <c r="L1192" s="3">
        <v>45540</v>
      </c>
    </row>
    <row r="1193" spans="1:12" x14ac:dyDescent="0.25">
      <c r="A1193" s="1">
        <v>101668</v>
      </c>
      <c r="B1193" s="2" t="s">
        <v>610</v>
      </c>
      <c r="C1193" s="2" t="s">
        <v>126</v>
      </c>
      <c r="D1193" s="2" t="s">
        <v>41</v>
      </c>
      <c r="E1193" s="2" t="s">
        <v>60</v>
      </c>
      <c r="F1193" s="2" t="s">
        <v>18</v>
      </c>
      <c r="G1193" s="1">
        <v>0</v>
      </c>
      <c r="H1193" s="1">
        <v>315</v>
      </c>
      <c r="I1193" s="2" t="s">
        <v>56</v>
      </c>
      <c r="J1193" s="2" t="s">
        <v>26</v>
      </c>
      <c r="K1193" s="1">
        <v>165.72</v>
      </c>
      <c r="L1193" s="3">
        <v>45540</v>
      </c>
    </row>
    <row r="1194" spans="1:12" x14ac:dyDescent="0.25">
      <c r="A1194" s="1">
        <v>100646</v>
      </c>
      <c r="B1194" s="2" t="s">
        <v>213</v>
      </c>
      <c r="C1194" s="2" t="s">
        <v>58</v>
      </c>
      <c r="D1194" s="2" t="s">
        <v>16</v>
      </c>
      <c r="E1194" s="2" t="s">
        <v>78</v>
      </c>
      <c r="F1194" s="2" t="s">
        <v>42</v>
      </c>
      <c r="G1194" s="1">
        <v>63</v>
      </c>
      <c r="H1194" s="1">
        <v>324</v>
      </c>
      <c r="I1194" s="2" t="s">
        <v>37</v>
      </c>
      <c r="J1194" s="2" t="s">
        <v>33</v>
      </c>
      <c r="K1194" s="1">
        <v>125.58</v>
      </c>
      <c r="L1194" s="3">
        <v>45540</v>
      </c>
    </row>
    <row r="1195" spans="1:12" x14ac:dyDescent="0.25">
      <c r="A1195" s="1">
        <v>101416</v>
      </c>
      <c r="B1195" s="2" t="s">
        <v>908</v>
      </c>
      <c r="C1195" s="2" t="s">
        <v>110</v>
      </c>
      <c r="D1195" s="2" t="s">
        <v>64</v>
      </c>
      <c r="E1195" s="2" t="s">
        <v>78</v>
      </c>
      <c r="F1195" s="2" t="s">
        <v>18</v>
      </c>
      <c r="G1195" s="1">
        <v>0</v>
      </c>
      <c r="H1195" s="1">
        <v>550</v>
      </c>
      <c r="I1195" s="2" t="s">
        <v>19</v>
      </c>
      <c r="J1195" s="2" t="s">
        <v>20</v>
      </c>
      <c r="K1195" s="1">
        <v>111.8</v>
      </c>
      <c r="L1195" s="3">
        <v>45540</v>
      </c>
    </row>
    <row r="1196" spans="1:12" x14ac:dyDescent="0.25">
      <c r="A1196" s="1">
        <v>100392</v>
      </c>
      <c r="B1196" s="2" t="s">
        <v>427</v>
      </c>
      <c r="C1196" s="2" t="s">
        <v>244</v>
      </c>
      <c r="D1196" s="2" t="s">
        <v>50</v>
      </c>
      <c r="E1196" s="2" t="s">
        <v>35</v>
      </c>
      <c r="F1196" s="2" t="s">
        <v>42</v>
      </c>
      <c r="G1196" s="1">
        <v>56</v>
      </c>
      <c r="H1196" s="1">
        <v>740</v>
      </c>
      <c r="I1196" s="2" t="s">
        <v>35</v>
      </c>
      <c r="J1196" s="2" t="s">
        <v>20</v>
      </c>
      <c r="K1196" s="1">
        <v>546.55999999999995</v>
      </c>
      <c r="L1196" s="3">
        <v>45539</v>
      </c>
    </row>
    <row r="1197" spans="1:12" x14ac:dyDescent="0.25">
      <c r="A1197" s="1">
        <v>100072</v>
      </c>
      <c r="B1197" s="2" t="s">
        <v>179</v>
      </c>
      <c r="C1197" s="2" t="s">
        <v>149</v>
      </c>
      <c r="D1197" s="2" t="s">
        <v>106</v>
      </c>
      <c r="E1197" s="2" t="s">
        <v>81</v>
      </c>
      <c r="F1197" s="2" t="s">
        <v>18</v>
      </c>
      <c r="G1197" s="1">
        <v>0</v>
      </c>
      <c r="H1197" s="1">
        <v>518</v>
      </c>
      <c r="I1197" s="2" t="s">
        <v>35</v>
      </c>
      <c r="J1197" s="2" t="s">
        <v>26</v>
      </c>
      <c r="K1197" s="1">
        <v>415.75</v>
      </c>
      <c r="L1197" s="3">
        <v>45539</v>
      </c>
    </row>
    <row r="1198" spans="1:12" x14ac:dyDescent="0.25">
      <c r="A1198" s="1">
        <v>100356</v>
      </c>
      <c r="B1198" s="2" t="s">
        <v>382</v>
      </c>
      <c r="C1198" s="2" t="s">
        <v>152</v>
      </c>
      <c r="D1198" s="2" t="s">
        <v>106</v>
      </c>
      <c r="E1198" s="2" t="s">
        <v>78</v>
      </c>
      <c r="F1198" s="2" t="s">
        <v>83</v>
      </c>
      <c r="G1198" s="1">
        <v>0</v>
      </c>
      <c r="H1198" s="1">
        <v>797</v>
      </c>
      <c r="I1198" s="2" t="s">
        <v>35</v>
      </c>
      <c r="J1198" s="2" t="s">
        <v>20</v>
      </c>
      <c r="K1198" s="1">
        <v>363.63</v>
      </c>
      <c r="L1198" s="3">
        <v>45539</v>
      </c>
    </row>
    <row r="1199" spans="1:12" x14ac:dyDescent="0.25">
      <c r="A1199" s="1">
        <v>101954</v>
      </c>
      <c r="B1199" s="2" t="s">
        <v>703</v>
      </c>
      <c r="C1199" s="2" t="s">
        <v>52</v>
      </c>
      <c r="D1199" s="2" t="s">
        <v>106</v>
      </c>
      <c r="E1199" s="2" t="s">
        <v>78</v>
      </c>
      <c r="F1199" s="2" t="s">
        <v>18</v>
      </c>
      <c r="G1199" s="1">
        <v>0</v>
      </c>
      <c r="H1199" s="1">
        <v>609</v>
      </c>
      <c r="I1199" s="2" t="s">
        <v>19</v>
      </c>
      <c r="J1199" s="2" t="s">
        <v>20</v>
      </c>
      <c r="K1199" s="1">
        <v>122.1</v>
      </c>
      <c r="L1199" s="3">
        <v>45539</v>
      </c>
    </row>
    <row r="1200" spans="1:12" x14ac:dyDescent="0.25">
      <c r="A1200" s="1">
        <v>100969</v>
      </c>
      <c r="B1200" s="2" t="s">
        <v>444</v>
      </c>
      <c r="C1200" s="2" t="s">
        <v>52</v>
      </c>
      <c r="D1200" s="2" t="s">
        <v>16</v>
      </c>
      <c r="E1200" s="2" t="s">
        <v>81</v>
      </c>
      <c r="F1200" s="2" t="s">
        <v>18</v>
      </c>
      <c r="G1200" s="1">
        <v>0</v>
      </c>
      <c r="H1200" s="1">
        <v>688</v>
      </c>
      <c r="I1200" s="2" t="s">
        <v>56</v>
      </c>
      <c r="J1200" s="2" t="s">
        <v>33</v>
      </c>
      <c r="K1200" s="1">
        <v>511.19</v>
      </c>
      <c r="L1200" s="3">
        <v>45538</v>
      </c>
    </row>
    <row r="1201" spans="1:12" x14ac:dyDescent="0.25">
      <c r="A1201" s="1">
        <v>102142</v>
      </c>
      <c r="B1201" s="2" t="s">
        <v>107</v>
      </c>
      <c r="C1201" s="2" t="s">
        <v>58</v>
      </c>
      <c r="D1201" s="2" t="s">
        <v>64</v>
      </c>
      <c r="E1201" s="2" t="s">
        <v>81</v>
      </c>
      <c r="F1201" s="2" t="s">
        <v>83</v>
      </c>
      <c r="G1201" s="1">
        <v>0</v>
      </c>
      <c r="H1201" s="1">
        <v>884</v>
      </c>
      <c r="I1201" s="2" t="s">
        <v>19</v>
      </c>
      <c r="J1201" s="2" t="s">
        <v>20</v>
      </c>
      <c r="K1201" s="1">
        <v>285.72000000000003</v>
      </c>
      <c r="L1201" s="3">
        <v>45538</v>
      </c>
    </row>
    <row r="1202" spans="1:12" x14ac:dyDescent="0.25">
      <c r="A1202" s="1">
        <v>100691</v>
      </c>
      <c r="B1202" s="2" t="s">
        <v>307</v>
      </c>
      <c r="C1202" s="2" t="s">
        <v>58</v>
      </c>
      <c r="D1202" s="2" t="s">
        <v>16</v>
      </c>
      <c r="E1202" s="2" t="s">
        <v>81</v>
      </c>
      <c r="F1202" s="2" t="s">
        <v>83</v>
      </c>
      <c r="G1202" s="1">
        <v>0</v>
      </c>
      <c r="H1202" s="1">
        <v>616</v>
      </c>
      <c r="I1202" s="2" t="s">
        <v>19</v>
      </c>
      <c r="J1202" s="2" t="s">
        <v>33</v>
      </c>
      <c r="K1202" s="1">
        <v>745.74</v>
      </c>
      <c r="L1202" s="3">
        <v>45537</v>
      </c>
    </row>
    <row r="1203" spans="1:12" x14ac:dyDescent="0.25">
      <c r="A1203" s="1">
        <v>101723</v>
      </c>
      <c r="B1203" s="2" t="s">
        <v>102</v>
      </c>
      <c r="C1203" s="2" t="s">
        <v>103</v>
      </c>
      <c r="D1203" s="2" t="s">
        <v>50</v>
      </c>
      <c r="E1203" s="2" t="s">
        <v>31</v>
      </c>
      <c r="F1203" s="2" t="s">
        <v>25</v>
      </c>
      <c r="G1203" s="1">
        <v>29</v>
      </c>
      <c r="H1203" s="1">
        <v>733</v>
      </c>
      <c r="I1203" s="2" t="s">
        <v>19</v>
      </c>
      <c r="J1203" s="2" t="s">
        <v>26</v>
      </c>
      <c r="K1203" s="1">
        <v>674.05</v>
      </c>
      <c r="L1203" s="3">
        <v>45537</v>
      </c>
    </row>
    <row r="1204" spans="1:12" x14ac:dyDescent="0.25">
      <c r="A1204" s="1">
        <v>100527</v>
      </c>
      <c r="B1204" s="2" t="s">
        <v>194</v>
      </c>
      <c r="C1204" s="2" t="s">
        <v>47</v>
      </c>
      <c r="D1204" s="2" t="s">
        <v>16</v>
      </c>
      <c r="E1204" s="2" t="s">
        <v>60</v>
      </c>
      <c r="F1204" s="2" t="s">
        <v>83</v>
      </c>
      <c r="G1204" s="1">
        <v>0</v>
      </c>
      <c r="H1204" s="1">
        <v>308</v>
      </c>
      <c r="I1204" s="2" t="s">
        <v>56</v>
      </c>
      <c r="J1204" s="2" t="s">
        <v>26</v>
      </c>
      <c r="K1204" s="1">
        <v>237.73</v>
      </c>
      <c r="L1204" s="3">
        <v>45537</v>
      </c>
    </row>
    <row r="1205" spans="1:12" x14ac:dyDescent="0.25">
      <c r="A1205" s="1">
        <v>101603</v>
      </c>
      <c r="B1205" s="2" t="s">
        <v>155</v>
      </c>
      <c r="C1205" s="2" t="s">
        <v>142</v>
      </c>
      <c r="D1205" s="2" t="s">
        <v>106</v>
      </c>
      <c r="E1205" s="2" t="s">
        <v>78</v>
      </c>
      <c r="F1205" s="2" t="s">
        <v>18</v>
      </c>
      <c r="G1205" s="1">
        <v>0</v>
      </c>
      <c r="H1205" s="1">
        <v>339</v>
      </c>
      <c r="I1205" s="2" t="s">
        <v>35</v>
      </c>
      <c r="J1205" s="2" t="s">
        <v>20</v>
      </c>
      <c r="K1205" s="1">
        <v>222.49</v>
      </c>
      <c r="L1205" s="3">
        <v>45537</v>
      </c>
    </row>
    <row r="1206" spans="1:12" x14ac:dyDescent="0.25">
      <c r="A1206" s="1">
        <v>100099</v>
      </c>
      <c r="B1206" s="2" t="s">
        <v>719</v>
      </c>
      <c r="C1206" s="2" t="s">
        <v>22</v>
      </c>
      <c r="D1206" s="2" t="s">
        <v>106</v>
      </c>
      <c r="E1206" s="2" t="s">
        <v>17</v>
      </c>
      <c r="F1206" s="2" t="s">
        <v>42</v>
      </c>
      <c r="G1206" s="1">
        <v>43</v>
      </c>
      <c r="H1206" s="1">
        <v>461</v>
      </c>
      <c r="I1206" s="2" t="s">
        <v>37</v>
      </c>
      <c r="J1206" s="2" t="s">
        <v>20</v>
      </c>
      <c r="K1206" s="1">
        <v>148.78</v>
      </c>
      <c r="L1206" s="3">
        <v>45537</v>
      </c>
    </row>
    <row r="1207" spans="1:12" x14ac:dyDescent="0.25">
      <c r="A1207" s="1">
        <v>100334</v>
      </c>
      <c r="B1207" s="2" t="s">
        <v>392</v>
      </c>
      <c r="C1207" s="2" t="s">
        <v>72</v>
      </c>
      <c r="D1207" s="2" t="s">
        <v>16</v>
      </c>
      <c r="E1207" s="2" t="s">
        <v>35</v>
      </c>
      <c r="F1207" s="2" t="s">
        <v>18</v>
      </c>
      <c r="G1207" s="1">
        <v>0</v>
      </c>
      <c r="H1207" s="1">
        <v>433</v>
      </c>
      <c r="I1207" s="2" t="s">
        <v>45</v>
      </c>
      <c r="J1207" s="2" t="s">
        <v>33</v>
      </c>
      <c r="K1207" s="1">
        <v>584.03</v>
      </c>
      <c r="L1207" s="3">
        <v>45536</v>
      </c>
    </row>
    <row r="1208" spans="1:12" x14ac:dyDescent="0.25">
      <c r="A1208" s="1">
        <v>100561</v>
      </c>
      <c r="B1208" s="2" t="s">
        <v>184</v>
      </c>
      <c r="C1208" s="2" t="s">
        <v>62</v>
      </c>
      <c r="D1208" s="2" t="s">
        <v>41</v>
      </c>
      <c r="E1208" s="2" t="s">
        <v>70</v>
      </c>
      <c r="F1208" s="2" t="s">
        <v>25</v>
      </c>
      <c r="G1208" s="1">
        <v>16</v>
      </c>
      <c r="H1208" s="1">
        <v>571</v>
      </c>
      <c r="I1208" s="2" t="s">
        <v>32</v>
      </c>
      <c r="J1208" s="2" t="s">
        <v>33</v>
      </c>
      <c r="K1208" s="1">
        <v>22.93</v>
      </c>
      <c r="L1208" s="3">
        <v>45536</v>
      </c>
    </row>
    <row r="1209" spans="1:12" x14ac:dyDescent="0.25">
      <c r="A1209" s="1">
        <v>100158</v>
      </c>
      <c r="B1209" s="2" t="s">
        <v>89</v>
      </c>
      <c r="C1209" s="2" t="s">
        <v>72</v>
      </c>
      <c r="D1209" s="2" t="s">
        <v>64</v>
      </c>
      <c r="E1209" s="2" t="s">
        <v>81</v>
      </c>
      <c r="F1209" s="2" t="s">
        <v>83</v>
      </c>
      <c r="G1209" s="1">
        <v>0</v>
      </c>
      <c r="H1209" s="1">
        <v>358</v>
      </c>
      <c r="I1209" s="2" t="s">
        <v>45</v>
      </c>
      <c r="J1209" s="2" t="s">
        <v>20</v>
      </c>
      <c r="K1209" s="1">
        <v>3.08</v>
      </c>
      <c r="L1209" s="3">
        <v>45536</v>
      </c>
    </row>
    <row r="1210" spans="1:12" x14ac:dyDescent="0.25">
      <c r="A1210" s="1">
        <v>100313</v>
      </c>
      <c r="B1210" s="2" t="s">
        <v>151</v>
      </c>
      <c r="C1210" s="2" t="s">
        <v>152</v>
      </c>
      <c r="D1210" s="2" t="s">
        <v>64</v>
      </c>
      <c r="E1210" s="2" t="s">
        <v>78</v>
      </c>
      <c r="F1210" s="2" t="s">
        <v>18</v>
      </c>
      <c r="G1210" s="1">
        <v>0</v>
      </c>
      <c r="H1210" s="1">
        <v>534</v>
      </c>
      <c r="I1210" s="2" t="s">
        <v>37</v>
      </c>
      <c r="J1210" s="2" t="s">
        <v>26</v>
      </c>
      <c r="K1210" s="1">
        <v>173.89500000000001</v>
      </c>
      <c r="L1210" s="3">
        <v>45535</v>
      </c>
    </row>
    <row r="1211" spans="1:12" x14ac:dyDescent="0.25">
      <c r="A1211" s="1">
        <v>100846</v>
      </c>
      <c r="B1211" s="2" t="s">
        <v>798</v>
      </c>
      <c r="C1211" s="2" t="s">
        <v>149</v>
      </c>
      <c r="D1211" s="2" t="s">
        <v>16</v>
      </c>
      <c r="E1211" s="2" t="s">
        <v>78</v>
      </c>
      <c r="F1211" s="2" t="s">
        <v>25</v>
      </c>
      <c r="G1211" s="1">
        <v>28</v>
      </c>
      <c r="H1211" s="1">
        <v>555</v>
      </c>
      <c r="I1211" s="2" t="s">
        <v>19</v>
      </c>
      <c r="J1211" s="2" t="s">
        <v>20</v>
      </c>
      <c r="K1211" s="1">
        <v>1439.48</v>
      </c>
      <c r="L1211" s="3">
        <v>45534</v>
      </c>
    </row>
    <row r="1212" spans="1:12" x14ac:dyDescent="0.25">
      <c r="A1212" s="1">
        <v>101439</v>
      </c>
      <c r="B1212" s="2" t="s">
        <v>553</v>
      </c>
      <c r="C1212" s="2" t="s">
        <v>72</v>
      </c>
      <c r="D1212" s="2" t="s">
        <v>64</v>
      </c>
      <c r="E1212" s="2" t="s">
        <v>78</v>
      </c>
      <c r="F1212" s="2" t="s">
        <v>83</v>
      </c>
      <c r="G1212" s="1">
        <v>0</v>
      </c>
      <c r="H1212" s="1">
        <v>638</v>
      </c>
      <c r="I1212" s="2" t="s">
        <v>45</v>
      </c>
      <c r="J1212" s="2" t="s">
        <v>33</v>
      </c>
      <c r="K1212" s="1">
        <v>735.67</v>
      </c>
      <c r="L1212" s="3">
        <v>45534</v>
      </c>
    </row>
    <row r="1213" spans="1:12" x14ac:dyDescent="0.25">
      <c r="A1213" s="1">
        <v>101898</v>
      </c>
      <c r="B1213" s="2" t="s">
        <v>767</v>
      </c>
      <c r="C1213" s="2" t="s">
        <v>35</v>
      </c>
      <c r="D1213" s="2" t="s">
        <v>106</v>
      </c>
      <c r="E1213" s="2" t="s">
        <v>78</v>
      </c>
      <c r="F1213" s="2" t="s">
        <v>83</v>
      </c>
      <c r="G1213" s="1">
        <v>0</v>
      </c>
      <c r="H1213" s="1">
        <v>543</v>
      </c>
      <c r="I1213" s="2" t="s">
        <v>32</v>
      </c>
      <c r="J1213" s="2" t="s">
        <v>26</v>
      </c>
      <c r="K1213" s="1">
        <v>449.7</v>
      </c>
      <c r="L1213" s="3">
        <v>45534</v>
      </c>
    </row>
    <row r="1214" spans="1:12" x14ac:dyDescent="0.25">
      <c r="A1214" s="1">
        <v>100465</v>
      </c>
      <c r="B1214" s="2" t="s">
        <v>429</v>
      </c>
      <c r="C1214" s="2" t="s">
        <v>52</v>
      </c>
      <c r="D1214" s="2" t="s">
        <v>41</v>
      </c>
      <c r="E1214" s="2" t="s">
        <v>31</v>
      </c>
      <c r="F1214" s="2" t="s">
        <v>18</v>
      </c>
      <c r="G1214" s="1">
        <v>0</v>
      </c>
      <c r="H1214" s="1">
        <v>568</v>
      </c>
      <c r="I1214" s="2" t="s">
        <v>37</v>
      </c>
      <c r="J1214" s="2" t="s">
        <v>26</v>
      </c>
      <c r="K1214" s="1">
        <v>386.69</v>
      </c>
      <c r="L1214" s="3">
        <v>45534</v>
      </c>
    </row>
    <row r="1215" spans="1:12" x14ac:dyDescent="0.25">
      <c r="A1215" s="1">
        <v>101049</v>
      </c>
      <c r="B1215" s="2" t="s">
        <v>742</v>
      </c>
      <c r="C1215" s="2" t="s">
        <v>100</v>
      </c>
      <c r="D1215" s="2" t="s">
        <v>106</v>
      </c>
      <c r="E1215" s="2" t="s">
        <v>78</v>
      </c>
      <c r="F1215" s="2" t="s">
        <v>25</v>
      </c>
      <c r="G1215" s="1">
        <v>11</v>
      </c>
      <c r="H1215" s="1">
        <v>571</v>
      </c>
      <c r="I1215" s="2" t="s">
        <v>32</v>
      </c>
      <c r="J1215" s="2" t="s">
        <v>20</v>
      </c>
      <c r="K1215" s="1">
        <v>244.76</v>
      </c>
      <c r="L1215" s="3">
        <v>45534</v>
      </c>
    </row>
    <row r="1216" spans="1:12" x14ac:dyDescent="0.25">
      <c r="A1216" s="1">
        <v>100409</v>
      </c>
      <c r="B1216" s="2" t="s">
        <v>303</v>
      </c>
      <c r="C1216" s="2" t="s">
        <v>187</v>
      </c>
      <c r="D1216" s="2" t="s">
        <v>16</v>
      </c>
      <c r="E1216" s="2" t="s">
        <v>31</v>
      </c>
      <c r="F1216" s="2" t="s">
        <v>83</v>
      </c>
      <c r="G1216" s="1" t="s">
        <v>35</v>
      </c>
      <c r="H1216" s="1">
        <v>800</v>
      </c>
      <c r="I1216" s="2" t="s">
        <v>45</v>
      </c>
      <c r="J1216" s="2" t="s">
        <v>20</v>
      </c>
      <c r="K1216" s="1">
        <v>949.71</v>
      </c>
      <c r="L1216" s="3">
        <v>45533</v>
      </c>
    </row>
    <row r="1217" spans="1:12" x14ac:dyDescent="0.25">
      <c r="A1217" s="1">
        <v>102170</v>
      </c>
      <c r="B1217" s="2" t="s">
        <v>487</v>
      </c>
      <c r="C1217" s="2" t="s">
        <v>22</v>
      </c>
      <c r="D1217" s="2" t="s">
        <v>64</v>
      </c>
      <c r="E1217" s="2" t="s">
        <v>17</v>
      </c>
      <c r="F1217" s="2" t="s">
        <v>18</v>
      </c>
      <c r="G1217" s="1">
        <v>0</v>
      </c>
      <c r="H1217" s="1">
        <v>647</v>
      </c>
      <c r="I1217" s="2" t="s">
        <v>45</v>
      </c>
      <c r="J1217" s="2" t="s">
        <v>33</v>
      </c>
      <c r="K1217" s="1">
        <v>489.69</v>
      </c>
      <c r="L1217" s="3">
        <v>45533</v>
      </c>
    </row>
    <row r="1218" spans="1:12" x14ac:dyDescent="0.25">
      <c r="A1218" s="1">
        <v>100412</v>
      </c>
      <c r="B1218" s="2" t="s">
        <v>908</v>
      </c>
      <c r="C1218" s="2" t="s">
        <v>35</v>
      </c>
      <c r="D1218" s="2" t="s">
        <v>106</v>
      </c>
      <c r="E1218" s="2" t="s">
        <v>17</v>
      </c>
      <c r="F1218" s="2" t="s">
        <v>25</v>
      </c>
      <c r="G1218" s="1">
        <v>7</v>
      </c>
      <c r="H1218" s="1">
        <v>550</v>
      </c>
      <c r="I1218" s="2" t="s">
        <v>45</v>
      </c>
      <c r="J1218" s="2" t="s">
        <v>20</v>
      </c>
      <c r="K1218" s="1">
        <v>364.88</v>
      </c>
      <c r="L1218" s="3">
        <v>45533</v>
      </c>
    </row>
    <row r="1219" spans="1:12" x14ac:dyDescent="0.25">
      <c r="A1219" s="1">
        <v>101220</v>
      </c>
      <c r="B1219" s="2" t="s">
        <v>259</v>
      </c>
      <c r="C1219" s="2" t="s">
        <v>218</v>
      </c>
      <c r="D1219" s="2" t="s">
        <v>41</v>
      </c>
      <c r="E1219" s="2" t="s">
        <v>17</v>
      </c>
      <c r="F1219" s="2" t="s">
        <v>18</v>
      </c>
      <c r="G1219" s="1">
        <v>0</v>
      </c>
      <c r="H1219" s="1">
        <v>732</v>
      </c>
      <c r="I1219" s="2" t="s">
        <v>37</v>
      </c>
      <c r="J1219" s="2" t="s">
        <v>26</v>
      </c>
      <c r="K1219" s="1">
        <v>241.11</v>
      </c>
      <c r="L1219" s="3">
        <v>45533</v>
      </c>
    </row>
    <row r="1220" spans="1:12" x14ac:dyDescent="0.25">
      <c r="A1220" s="1">
        <v>101168</v>
      </c>
      <c r="B1220" s="2" t="s">
        <v>179</v>
      </c>
      <c r="C1220" s="2" t="s">
        <v>149</v>
      </c>
      <c r="D1220" s="2" t="s">
        <v>41</v>
      </c>
      <c r="E1220" s="2" t="s">
        <v>31</v>
      </c>
      <c r="F1220" s="2" t="s">
        <v>42</v>
      </c>
      <c r="G1220" s="1">
        <v>93</v>
      </c>
      <c r="H1220" s="1">
        <v>518</v>
      </c>
      <c r="I1220" s="2" t="s">
        <v>32</v>
      </c>
      <c r="J1220" s="2" t="s">
        <v>20</v>
      </c>
      <c r="K1220" s="1"/>
      <c r="L1220" s="3">
        <v>45533</v>
      </c>
    </row>
    <row r="1221" spans="1:12" x14ac:dyDescent="0.25">
      <c r="A1221" s="1">
        <v>101399</v>
      </c>
      <c r="B1221" s="2" t="s">
        <v>592</v>
      </c>
      <c r="C1221" s="2" t="s">
        <v>47</v>
      </c>
      <c r="D1221" s="2" t="s">
        <v>64</v>
      </c>
      <c r="E1221" s="2" t="s">
        <v>60</v>
      </c>
      <c r="F1221" s="2" t="s">
        <v>83</v>
      </c>
      <c r="G1221" s="1">
        <v>0</v>
      </c>
      <c r="H1221" s="1">
        <v>332</v>
      </c>
      <c r="I1221" s="2" t="s">
        <v>45</v>
      </c>
      <c r="J1221" s="2" t="s">
        <v>33</v>
      </c>
      <c r="K1221" s="1">
        <v>468.98</v>
      </c>
      <c r="L1221" s="3">
        <v>45532</v>
      </c>
    </row>
    <row r="1222" spans="1:12" x14ac:dyDescent="0.25">
      <c r="A1222" s="1">
        <v>101665</v>
      </c>
      <c r="B1222" s="2" t="s">
        <v>202</v>
      </c>
      <c r="C1222" s="2" t="s">
        <v>95</v>
      </c>
      <c r="D1222" s="2" t="s">
        <v>16</v>
      </c>
      <c r="E1222" s="2" t="s">
        <v>60</v>
      </c>
      <c r="F1222" s="2" t="s">
        <v>18</v>
      </c>
      <c r="G1222" s="1">
        <v>0</v>
      </c>
      <c r="H1222" s="1">
        <v>570</v>
      </c>
      <c r="I1222" s="2" t="s">
        <v>45</v>
      </c>
      <c r="J1222" s="2" t="s">
        <v>26</v>
      </c>
      <c r="K1222" s="1">
        <v>425.07</v>
      </c>
      <c r="L1222" s="3">
        <v>45532</v>
      </c>
    </row>
    <row r="1223" spans="1:12" x14ac:dyDescent="0.25">
      <c r="A1223" s="1">
        <v>101647</v>
      </c>
      <c r="B1223" s="2" t="s">
        <v>636</v>
      </c>
      <c r="C1223" s="2" t="s">
        <v>244</v>
      </c>
      <c r="D1223" s="2" t="s">
        <v>50</v>
      </c>
      <c r="E1223" s="2" t="s">
        <v>17</v>
      </c>
      <c r="F1223" s="2" t="s">
        <v>18</v>
      </c>
      <c r="G1223" s="1">
        <v>0</v>
      </c>
      <c r="H1223" s="1">
        <v>303</v>
      </c>
      <c r="I1223" s="2" t="s">
        <v>32</v>
      </c>
      <c r="J1223" s="2" t="s">
        <v>20</v>
      </c>
      <c r="K1223" s="1">
        <v>221.98</v>
      </c>
      <c r="L1223" s="3">
        <v>45532</v>
      </c>
    </row>
    <row r="1224" spans="1:12" x14ac:dyDescent="0.25">
      <c r="A1224" s="1">
        <v>100808</v>
      </c>
      <c r="B1224" s="2" t="s">
        <v>162</v>
      </c>
      <c r="C1224" s="2" t="s">
        <v>13</v>
      </c>
      <c r="D1224" s="2" t="s">
        <v>64</v>
      </c>
      <c r="E1224" s="2" t="s">
        <v>55</v>
      </c>
      <c r="F1224" s="2" t="s">
        <v>83</v>
      </c>
      <c r="G1224" s="1">
        <v>0</v>
      </c>
      <c r="H1224" s="1">
        <v>410</v>
      </c>
      <c r="I1224" s="2" t="s">
        <v>37</v>
      </c>
      <c r="J1224" s="2" t="s">
        <v>33</v>
      </c>
      <c r="K1224" s="1">
        <v>47.31</v>
      </c>
      <c r="L1224" s="3">
        <v>45532</v>
      </c>
    </row>
    <row r="1225" spans="1:12" x14ac:dyDescent="0.25">
      <c r="A1225" s="1">
        <v>101138</v>
      </c>
      <c r="B1225" s="2" t="s">
        <v>1053</v>
      </c>
      <c r="C1225" s="2" t="s">
        <v>47</v>
      </c>
      <c r="D1225" s="2" t="s">
        <v>50</v>
      </c>
      <c r="E1225" s="2" t="s">
        <v>81</v>
      </c>
      <c r="F1225" s="2" t="s">
        <v>83</v>
      </c>
      <c r="G1225" s="1">
        <v>0</v>
      </c>
      <c r="H1225" s="1">
        <v>864</v>
      </c>
      <c r="I1225" s="2" t="s">
        <v>19</v>
      </c>
      <c r="J1225" s="2" t="s">
        <v>35</v>
      </c>
      <c r="K1225" s="1">
        <v>225.73</v>
      </c>
      <c r="L1225" s="3">
        <v>45531</v>
      </c>
    </row>
    <row r="1226" spans="1:12" x14ac:dyDescent="0.25">
      <c r="A1226" s="1">
        <v>100296</v>
      </c>
      <c r="B1226" s="2" t="s">
        <v>145</v>
      </c>
      <c r="C1226" s="2" t="s">
        <v>52</v>
      </c>
      <c r="D1226" s="2" t="s">
        <v>16</v>
      </c>
      <c r="E1226" s="2" t="s">
        <v>31</v>
      </c>
      <c r="F1226" s="2" t="s">
        <v>25</v>
      </c>
      <c r="G1226" s="1">
        <v>22</v>
      </c>
      <c r="H1226" s="1">
        <v>435</v>
      </c>
      <c r="I1226" s="2" t="s">
        <v>32</v>
      </c>
      <c r="J1226" s="2" t="s">
        <v>20</v>
      </c>
      <c r="K1226" s="1">
        <v>200.05</v>
      </c>
      <c r="L1226" s="3">
        <v>45531</v>
      </c>
    </row>
    <row r="1227" spans="1:12" x14ac:dyDescent="0.25">
      <c r="A1227" s="1">
        <v>100454</v>
      </c>
      <c r="B1227" s="2" t="s">
        <v>812</v>
      </c>
      <c r="C1227" s="2" t="s">
        <v>134</v>
      </c>
      <c r="D1227" s="2" t="s">
        <v>16</v>
      </c>
      <c r="E1227" s="2" t="s">
        <v>55</v>
      </c>
      <c r="F1227" s="2" t="s">
        <v>18</v>
      </c>
      <c r="G1227" s="1">
        <v>0</v>
      </c>
      <c r="H1227" s="1">
        <v>567</v>
      </c>
      <c r="I1227" s="2" t="s">
        <v>32</v>
      </c>
      <c r="J1227" s="2" t="s">
        <v>33</v>
      </c>
      <c r="K1227" s="1">
        <v>134.1</v>
      </c>
      <c r="L1227" s="3">
        <v>45531</v>
      </c>
    </row>
    <row r="1228" spans="1:12" x14ac:dyDescent="0.25">
      <c r="A1228" s="1">
        <v>100704</v>
      </c>
      <c r="B1228" s="2" t="s">
        <v>364</v>
      </c>
      <c r="C1228" s="2" t="s">
        <v>103</v>
      </c>
      <c r="D1228" s="2" t="s">
        <v>64</v>
      </c>
      <c r="E1228" s="2" t="s">
        <v>17</v>
      </c>
      <c r="F1228" s="2" t="s">
        <v>83</v>
      </c>
      <c r="G1228" s="1">
        <v>0</v>
      </c>
      <c r="H1228" s="1">
        <v>351</v>
      </c>
      <c r="I1228" s="2" t="s">
        <v>56</v>
      </c>
      <c r="J1228" s="2" t="s">
        <v>33</v>
      </c>
      <c r="K1228" s="1">
        <v>212.29</v>
      </c>
      <c r="L1228" s="3">
        <v>45530</v>
      </c>
    </row>
    <row r="1229" spans="1:12" x14ac:dyDescent="0.25">
      <c r="A1229" s="1">
        <v>101196</v>
      </c>
      <c r="B1229" s="2" t="s">
        <v>358</v>
      </c>
      <c r="C1229" s="2" t="s">
        <v>110</v>
      </c>
      <c r="D1229" s="2" t="s">
        <v>16</v>
      </c>
      <c r="E1229" s="2" t="s">
        <v>17</v>
      </c>
      <c r="F1229" s="2" t="s">
        <v>42</v>
      </c>
      <c r="G1229" s="1">
        <v>68</v>
      </c>
      <c r="H1229" s="1">
        <v>481</v>
      </c>
      <c r="I1229" s="2" t="s">
        <v>19</v>
      </c>
      <c r="J1229" s="2" t="s">
        <v>20</v>
      </c>
      <c r="K1229" s="1">
        <v>170.66</v>
      </c>
      <c r="L1229" s="3">
        <v>45530</v>
      </c>
    </row>
    <row r="1230" spans="1:12" x14ac:dyDescent="0.25">
      <c r="A1230" s="1">
        <v>101353</v>
      </c>
      <c r="B1230" s="2" t="s">
        <v>462</v>
      </c>
      <c r="C1230" s="2" t="s">
        <v>168</v>
      </c>
      <c r="D1230" s="2" t="s">
        <v>106</v>
      </c>
      <c r="E1230" s="2" t="s">
        <v>78</v>
      </c>
      <c r="F1230" s="2" t="s">
        <v>18</v>
      </c>
      <c r="G1230" s="1">
        <v>0</v>
      </c>
      <c r="H1230" s="1">
        <v>716</v>
      </c>
      <c r="I1230" s="2" t="s">
        <v>32</v>
      </c>
      <c r="J1230" s="2" t="s">
        <v>20</v>
      </c>
      <c r="K1230" s="1">
        <v>82.6</v>
      </c>
      <c r="L1230" s="3">
        <v>45530</v>
      </c>
    </row>
    <row r="1231" spans="1:12" x14ac:dyDescent="0.25">
      <c r="A1231" s="1">
        <v>102018</v>
      </c>
      <c r="B1231" s="2" t="s">
        <v>179</v>
      </c>
      <c r="C1231" s="2" t="s">
        <v>149</v>
      </c>
      <c r="D1231" s="2" t="s">
        <v>50</v>
      </c>
      <c r="E1231" s="2" t="s">
        <v>31</v>
      </c>
      <c r="F1231" s="2" t="s">
        <v>25</v>
      </c>
      <c r="G1231" s="1">
        <v>9</v>
      </c>
      <c r="H1231" s="1">
        <v>518</v>
      </c>
      <c r="I1231" s="2" t="s">
        <v>37</v>
      </c>
      <c r="J1231" s="2" t="s">
        <v>26</v>
      </c>
      <c r="K1231" s="1">
        <v>435.47</v>
      </c>
      <c r="L1231" s="3">
        <v>45529</v>
      </c>
    </row>
    <row r="1232" spans="1:12" x14ac:dyDescent="0.25">
      <c r="A1232" s="1">
        <v>101494</v>
      </c>
      <c r="B1232" s="2" t="s">
        <v>1155</v>
      </c>
      <c r="C1232" s="2" t="s">
        <v>218</v>
      </c>
      <c r="D1232" s="2" t="s">
        <v>16</v>
      </c>
      <c r="E1232" s="2" t="s">
        <v>81</v>
      </c>
      <c r="F1232" s="2" t="s">
        <v>18</v>
      </c>
      <c r="G1232" s="1">
        <v>0</v>
      </c>
      <c r="H1232" s="1">
        <v>557</v>
      </c>
      <c r="I1232" s="2" t="s">
        <v>56</v>
      </c>
      <c r="J1232" s="2" t="s">
        <v>33</v>
      </c>
      <c r="K1232" s="1">
        <v>425.32</v>
      </c>
      <c r="L1232" s="3">
        <v>45529</v>
      </c>
    </row>
    <row r="1233" spans="1:12" x14ac:dyDescent="0.25">
      <c r="A1233" s="1">
        <v>101771</v>
      </c>
      <c r="B1233" s="2" t="s">
        <v>217</v>
      </c>
      <c r="C1233" s="2" t="s">
        <v>218</v>
      </c>
      <c r="D1233" s="2" t="s">
        <v>50</v>
      </c>
      <c r="E1233" s="2" t="s">
        <v>78</v>
      </c>
      <c r="F1233" s="2" t="s">
        <v>18</v>
      </c>
      <c r="G1233" s="1">
        <v>0</v>
      </c>
      <c r="H1233" s="1">
        <v>894</v>
      </c>
      <c r="I1233" s="2" t="s">
        <v>45</v>
      </c>
      <c r="J1233" s="2" t="s">
        <v>20</v>
      </c>
      <c r="K1233" s="1">
        <v>205.84</v>
      </c>
      <c r="L1233" s="3">
        <v>45529</v>
      </c>
    </row>
    <row r="1234" spans="1:12" x14ac:dyDescent="0.25">
      <c r="A1234" s="1">
        <v>101014</v>
      </c>
      <c r="B1234" s="2" t="s">
        <v>1303</v>
      </c>
      <c r="C1234" s="2" t="s">
        <v>126</v>
      </c>
      <c r="D1234" s="2" t="s">
        <v>64</v>
      </c>
      <c r="E1234" s="2" t="s">
        <v>60</v>
      </c>
      <c r="F1234" s="2" t="s">
        <v>18</v>
      </c>
      <c r="G1234" s="1">
        <v>0</v>
      </c>
      <c r="H1234" s="1">
        <v>788</v>
      </c>
      <c r="I1234" s="2" t="s">
        <v>45</v>
      </c>
      <c r="J1234" s="2" t="s">
        <v>33</v>
      </c>
      <c r="K1234" s="1">
        <v>190.16</v>
      </c>
      <c r="L1234" s="3">
        <v>45529</v>
      </c>
    </row>
    <row r="1235" spans="1:12" x14ac:dyDescent="0.25">
      <c r="A1235" s="1">
        <v>101419</v>
      </c>
      <c r="B1235" s="2" t="s">
        <v>57</v>
      </c>
      <c r="C1235" s="2" t="s">
        <v>58</v>
      </c>
      <c r="D1235" s="2" t="s">
        <v>16</v>
      </c>
      <c r="E1235" s="2" t="s">
        <v>31</v>
      </c>
      <c r="F1235" s="2" t="s">
        <v>42</v>
      </c>
      <c r="G1235" s="1">
        <v>176</v>
      </c>
      <c r="H1235" s="1">
        <v>798</v>
      </c>
      <c r="I1235" s="2" t="s">
        <v>56</v>
      </c>
      <c r="J1235" s="2" t="s">
        <v>26</v>
      </c>
      <c r="K1235" s="1">
        <v>98.32</v>
      </c>
      <c r="L1235" s="3">
        <v>45529</v>
      </c>
    </row>
    <row r="1236" spans="1:12" x14ac:dyDescent="0.25">
      <c r="A1236" s="1">
        <v>100305</v>
      </c>
      <c r="B1236" s="2" t="s">
        <v>396</v>
      </c>
      <c r="C1236" s="2" t="s">
        <v>103</v>
      </c>
      <c r="D1236" s="2" t="s">
        <v>41</v>
      </c>
      <c r="E1236" s="2" t="s">
        <v>78</v>
      </c>
      <c r="F1236" s="2" t="s">
        <v>18</v>
      </c>
      <c r="G1236" s="1">
        <v>0</v>
      </c>
      <c r="H1236" s="1">
        <v>437</v>
      </c>
      <c r="I1236" s="2" t="s">
        <v>35</v>
      </c>
      <c r="J1236" s="2" t="s">
        <v>20</v>
      </c>
      <c r="K1236" s="1">
        <v>556.73</v>
      </c>
      <c r="L1236" s="3">
        <v>45528</v>
      </c>
    </row>
    <row r="1237" spans="1:12" x14ac:dyDescent="0.25">
      <c r="A1237" s="1">
        <v>102177</v>
      </c>
      <c r="B1237" s="2" t="s">
        <v>840</v>
      </c>
      <c r="C1237" s="2" t="s">
        <v>187</v>
      </c>
      <c r="D1237" s="2" t="s">
        <v>106</v>
      </c>
      <c r="E1237" s="2" t="s">
        <v>31</v>
      </c>
      <c r="F1237" s="2" t="s">
        <v>83</v>
      </c>
      <c r="G1237" s="1">
        <v>0</v>
      </c>
      <c r="H1237" s="1">
        <v>519</v>
      </c>
      <c r="I1237" s="2" t="s">
        <v>37</v>
      </c>
      <c r="J1237" s="2" t="s">
        <v>33</v>
      </c>
      <c r="K1237" s="1">
        <v>529.67999999999995</v>
      </c>
      <c r="L1237" s="3">
        <v>45528</v>
      </c>
    </row>
    <row r="1238" spans="1:12" x14ac:dyDescent="0.25">
      <c r="A1238" s="1">
        <v>101656</v>
      </c>
      <c r="B1238" s="2" t="s">
        <v>61</v>
      </c>
      <c r="C1238" s="2" t="s">
        <v>62</v>
      </c>
      <c r="D1238" s="2" t="s">
        <v>64</v>
      </c>
      <c r="E1238" s="2" t="s">
        <v>70</v>
      </c>
      <c r="F1238" s="2" t="s">
        <v>42</v>
      </c>
      <c r="G1238" s="1">
        <v>38</v>
      </c>
      <c r="H1238" s="1">
        <v>542</v>
      </c>
      <c r="I1238" s="2" t="s">
        <v>32</v>
      </c>
      <c r="J1238" s="2" t="s">
        <v>20</v>
      </c>
      <c r="K1238" s="1">
        <v>387.57</v>
      </c>
      <c r="L1238" s="3">
        <v>45528</v>
      </c>
    </row>
    <row r="1239" spans="1:12" x14ac:dyDescent="0.25">
      <c r="A1239" s="1">
        <v>102008</v>
      </c>
      <c r="B1239" s="2" t="s">
        <v>1091</v>
      </c>
      <c r="C1239" s="2" t="s">
        <v>270</v>
      </c>
      <c r="D1239" s="2" t="s">
        <v>64</v>
      </c>
      <c r="E1239" s="2" t="s">
        <v>17</v>
      </c>
      <c r="F1239" s="2" t="s">
        <v>83</v>
      </c>
      <c r="G1239" s="1">
        <v>0</v>
      </c>
      <c r="H1239" s="1">
        <v>817</v>
      </c>
      <c r="I1239" s="2" t="s">
        <v>45</v>
      </c>
      <c r="J1239" s="2" t="s">
        <v>33</v>
      </c>
      <c r="K1239" s="1">
        <v>270.85000000000002</v>
      </c>
      <c r="L1239" s="3">
        <v>45528</v>
      </c>
    </row>
    <row r="1240" spans="1:12" x14ac:dyDescent="0.25">
      <c r="A1240" s="1">
        <v>101215</v>
      </c>
      <c r="B1240" s="2" t="s">
        <v>734</v>
      </c>
      <c r="C1240" s="2" t="s">
        <v>218</v>
      </c>
      <c r="D1240" s="2" t="s">
        <v>16</v>
      </c>
      <c r="E1240" s="2" t="s">
        <v>55</v>
      </c>
      <c r="F1240" s="2" t="s">
        <v>18</v>
      </c>
      <c r="G1240" s="1">
        <v>0</v>
      </c>
      <c r="H1240" s="1">
        <v>865</v>
      </c>
      <c r="I1240" s="2" t="s">
        <v>56</v>
      </c>
      <c r="J1240" s="2" t="s">
        <v>20</v>
      </c>
      <c r="K1240" s="1">
        <v>255.54</v>
      </c>
      <c r="L1240" s="3">
        <v>45528</v>
      </c>
    </row>
    <row r="1241" spans="1:12" x14ac:dyDescent="0.25">
      <c r="A1241" s="1">
        <v>101562</v>
      </c>
      <c r="B1241" s="2" t="s">
        <v>280</v>
      </c>
      <c r="C1241" s="2" t="s">
        <v>187</v>
      </c>
      <c r="D1241" s="2" t="s">
        <v>106</v>
      </c>
      <c r="E1241" s="2" t="s">
        <v>81</v>
      </c>
      <c r="F1241" s="2" t="s">
        <v>42</v>
      </c>
      <c r="G1241" s="1">
        <v>159</v>
      </c>
      <c r="H1241" s="1">
        <v>621</v>
      </c>
      <c r="I1241" s="2" t="s">
        <v>19</v>
      </c>
      <c r="J1241" s="2" t="s">
        <v>33</v>
      </c>
      <c r="K1241" s="1">
        <v>144.62</v>
      </c>
      <c r="L1241" s="3">
        <v>45528</v>
      </c>
    </row>
    <row r="1242" spans="1:12" x14ac:dyDescent="0.25">
      <c r="A1242" s="1">
        <v>100680</v>
      </c>
      <c r="B1242" s="2" t="s">
        <v>392</v>
      </c>
      <c r="C1242" s="2" t="s">
        <v>72</v>
      </c>
      <c r="D1242" s="2" t="s">
        <v>16</v>
      </c>
      <c r="E1242" s="2" t="s">
        <v>60</v>
      </c>
      <c r="F1242" s="2" t="s">
        <v>18</v>
      </c>
      <c r="G1242" s="1">
        <v>0</v>
      </c>
      <c r="H1242" s="1">
        <v>433</v>
      </c>
      <c r="I1242" s="2" t="s">
        <v>32</v>
      </c>
      <c r="J1242" s="2" t="s">
        <v>20</v>
      </c>
      <c r="K1242" s="1">
        <v>103.12</v>
      </c>
      <c r="L1242" s="3">
        <v>45528</v>
      </c>
    </row>
    <row r="1243" spans="1:12" x14ac:dyDescent="0.25">
      <c r="A1243" s="1">
        <v>100120</v>
      </c>
      <c r="B1243" s="2" t="s">
        <v>478</v>
      </c>
      <c r="C1243" s="2" t="s">
        <v>218</v>
      </c>
      <c r="D1243" s="2" t="s">
        <v>64</v>
      </c>
      <c r="E1243" s="2" t="s">
        <v>60</v>
      </c>
      <c r="F1243" s="2" t="s">
        <v>42</v>
      </c>
      <c r="G1243" s="1">
        <v>69</v>
      </c>
      <c r="H1243" s="1">
        <v>712</v>
      </c>
      <c r="I1243" s="2" t="s">
        <v>19</v>
      </c>
      <c r="J1243" s="2" t="s">
        <v>20</v>
      </c>
      <c r="K1243" s="1">
        <v>56.66</v>
      </c>
      <c r="L1243" s="3">
        <v>45528</v>
      </c>
    </row>
    <row r="1244" spans="1:12" x14ac:dyDescent="0.25">
      <c r="A1244" s="1">
        <v>101344</v>
      </c>
      <c r="B1244" s="2" t="s">
        <v>138</v>
      </c>
      <c r="C1244" s="2" t="s">
        <v>85</v>
      </c>
      <c r="D1244" s="2" t="s">
        <v>50</v>
      </c>
      <c r="E1244" s="2" t="s">
        <v>78</v>
      </c>
      <c r="F1244" s="2" t="s">
        <v>18</v>
      </c>
      <c r="G1244" s="1">
        <v>0</v>
      </c>
      <c r="H1244" s="1">
        <v>623</v>
      </c>
      <c r="I1244" s="2" t="s">
        <v>19</v>
      </c>
      <c r="J1244" s="2" t="s">
        <v>20</v>
      </c>
      <c r="K1244" s="1">
        <v>584.15</v>
      </c>
      <c r="L1244" s="3">
        <v>45527</v>
      </c>
    </row>
    <row r="1245" spans="1:12" x14ac:dyDescent="0.25">
      <c r="A1245" s="1">
        <v>101109</v>
      </c>
      <c r="B1245" s="2" t="s">
        <v>481</v>
      </c>
      <c r="C1245" s="2" t="s">
        <v>168</v>
      </c>
      <c r="D1245" s="2" t="s">
        <v>106</v>
      </c>
      <c r="E1245" s="2" t="s">
        <v>60</v>
      </c>
      <c r="F1245" s="2" t="s">
        <v>18</v>
      </c>
      <c r="G1245" s="1">
        <v>0</v>
      </c>
      <c r="H1245" s="1">
        <v>548</v>
      </c>
      <c r="I1245" s="2" t="s">
        <v>19</v>
      </c>
      <c r="J1245" s="2" t="s">
        <v>20</v>
      </c>
      <c r="K1245" s="1">
        <v>478.64</v>
      </c>
      <c r="L1245" s="3">
        <v>45527</v>
      </c>
    </row>
    <row r="1246" spans="1:12" x14ac:dyDescent="0.25">
      <c r="A1246" s="1">
        <v>102076</v>
      </c>
      <c r="B1246" s="2" t="s">
        <v>107</v>
      </c>
      <c r="C1246" s="2" t="s">
        <v>58</v>
      </c>
      <c r="D1246" s="2" t="s">
        <v>41</v>
      </c>
      <c r="E1246" s="2" t="s">
        <v>60</v>
      </c>
      <c r="F1246" s="2" t="s">
        <v>18</v>
      </c>
      <c r="G1246" s="1">
        <v>0</v>
      </c>
      <c r="H1246" s="1">
        <v>884</v>
      </c>
      <c r="I1246" s="2" t="s">
        <v>45</v>
      </c>
      <c r="J1246" s="2" t="s">
        <v>33</v>
      </c>
      <c r="K1246" s="1">
        <v>381.83</v>
      </c>
      <c r="L1246" s="3">
        <v>45527</v>
      </c>
    </row>
    <row r="1247" spans="1:12" x14ac:dyDescent="0.25">
      <c r="A1247" s="1">
        <v>100363</v>
      </c>
      <c r="B1247" s="2" t="s">
        <v>207</v>
      </c>
      <c r="C1247" s="2" t="s">
        <v>103</v>
      </c>
      <c r="D1247" s="2" t="s">
        <v>50</v>
      </c>
      <c r="E1247" s="2" t="s">
        <v>55</v>
      </c>
      <c r="F1247" s="2" t="s">
        <v>83</v>
      </c>
      <c r="G1247" s="1">
        <v>0</v>
      </c>
      <c r="H1247" s="1">
        <v>360</v>
      </c>
      <c r="I1247" s="2" t="s">
        <v>32</v>
      </c>
      <c r="J1247" s="2" t="s">
        <v>20</v>
      </c>
      <c r="K1247" s="1">
        <v>306.01</v>
      </c>
      <c r="L1247" s="3">
        <v>45527</v>
      </c>
    </row>
    <row r="1248" spans="1:12" x14ac:dyDescent="0.25">
      <c r="A1248" s="1">
        <v>102184</v>
      </c>
      <c r="B1248" s="2" t="s">
        <v>706</v>
      </c>
      <c r="C1248" s="2" t="s">
        <v>72</v>
      </c>
      <c r="D1248" s="2" t="s">
        <v>41</v>
      </c>
      <c r="E1248" s="2" t="s">
        <v>60</v>
      </c>
      <c r="F1248" s="2" t="s">
        <v>18</v>
      </c>
      <c r="G1248" s="1">
        <v>0</v>
      </c>
      <c r="H1248" s="1">
        <v>382</v>
      </c>
      <c r="I1248" s="2" t="s">
        <v>32</v>
      </c>
      <c r="J1248" s="2" t="s">
        <v>26</v>
      </c>
      <c r="K1248" s="1"/>
      <c r="L1248" s="3">
        <v>45527</v>
      </c>
    </row>
    <row r="1249" spans="1:12" x14ac:dyDescent="0.25">
      <c r="A1249" s="1">
        <v>100973</v>
      </c>
      <c r="B1249" s="2" t="s">
        <v>460</v>
      </c>
      <c r="C1249" s="2" t="s">
        <v>35</v>
      </c>
      <c r="D1249" s="2" t="s">
        <v>50</v>
      </c>
      <c r="E1249" s="2" t="s">
        <v>55</v>
      </c>
      <c r="F1249" s="2" t="s">
        <v>18</v>
      </c>
      <c r="G1249" s="1">
        <v>0</v>
      </c>
      <c r="H1249" s="1">
        <v>716</v>
      </c>
      <c r="I1249" s="2" t="s">
        <v>32</v>
      </c>
      <c r="J1249" s="2" t="s">
        <v>33</v>
      </c>
      <c r="K1249" s="1">
        <v>1021.1</v>
      </c>
      <c r="L1249" s="3">
        <v>45526</v>
      </c>
    </row>
    <row r="1250" spans="1:12" x14ac:dyDescent="0.25">
      <c r="A1250" s="1">
        <v>101070</v>
      </c>
      <c r="B1250" s="2" t="s">
        <v>625</v>
      </c>
      <c r="C1250" s="2" t="s">
        <v>152</v>
      </c>
      <c r="D1250" s="2" t="s">
        <v>50</v>
      </c>
      <c r="E1250" s="2" t="s">
        <v>78</v>
      </c>
      <c r="F1250" s="2" t="s">
        <v>18</v>
      </c>
      <c r="G1250" s="1">
        <v>0</v>
      </c>
      <c r="H1250" s="1">
        <v>678</v>
      </c>
      <c r="I1250" s="2" t="s">
        <v>19</v>
      </c>
      <c r="J1250" s="2" t="s">
        <v>20</v>
      </c>
      <c r="K1250" s="1">
        <v>372.39</v>
      </c>
      <c r="L1250" s="3">
        <v>45526</v>
      </c>
    </row>
    <row r="1251" spans="1:12" x14ac:dyDescent="0.25">
      <c r="A1251" s="1">
        <v>101508</v>
      </c>
      <c r="B1251" s="2" t="s">
        <v>315</v>
      </c>
      <c r="C1251" s="2" t="s">
        <v>22</v>
      </c>
      <c r="D1251" s="2" t="s">
        <v>16</v>
      </c>
      <c r="E1251" s="2" t="s">
        <v>55</v>
      </c>
      <c r="F1251" s="2" t="s">
        <v>25</v>
      </c>
      <c r="G1251" s="1">
        <v>10</v>
      </c>
      <c r="H1251" s="1">
        <v>509</v>
      </c>
      <c r="I1251" s="2" t="s">
        <v>56</v>
      </c>
      <c r="J1251" s="2" t="s">
        <v>20</v>
      </c>
      <c r="K1251" s="1">
        <v>256.77999999999997</v>
      </c>
      <c r="L1251" s="3">
        <v>45526</v>
      </c>
    </row>
    <row r="1252" spans="1:12" x14ac:dyDescent="0.25">
      <c r="A1252" s="1">
        <v>100809</v>
      </c>
      <c r="B1252" s="2" t="s">
        <v>497</v>
      </c>
      <c r="C1252" s="2" t="s">
        <v>142</v>
      </c>
      <c r="D1252" s="2" t="s">
        <v>41</v>
      </c>
      <c r="E1252" s="2" t="s">
        <v>70</v>
      </c>
      <c r="F1252" s="2" t="s">
        <v>18</v>
      </c>
      <c r="G1252" s="1">
        <v>0</v>
      </c>
      <c r="H1252" s="1">
        <v>465</v>
      </c>
      <c r="I1252" s="2" t="s">
        <v>37</v>
      </c>
      <c r="J1252" s="2" t="s">
        <v>20</v>
      </c>
      <c r="K1252" s="1">
        <v>284.47000000000003</v>
      </c>
      <c r="L1252" s="3">
        <v>45525</v>
      </c>
    </row>
    <row r="1253" spans="1:12" x14ac:dyDescent="0.25">
      <c r="A1253" s="1">
        <v>100755</v>
      </c>
      <c r="B1253" s="2" t="s">
        <v>506</v>
      </c>
      <c r="C1253" s="2" t="s">
        <v>58</v>
      </c>
      <c r="D1253" s="2" t="s">
        <v>16</v>
      </c>
      <c r="E1253" s="2" t="s">
        <v>55</v>
      </c>
      <c r="F1253" s="2" t="s">
        <v>18</v>
      </c>
      <c r="G1253" s="1" t="s">
        <v>35</v>
      </c>
      <c r="H1253" s="1">
        <v>394</v>
      </c>
      <c r="I1253" s="2" t="s">
        <v>45</v>
      </c>
      <c r="J1253" s="2" t="s">
        <v>33</v>
      </c>
      <c r="K1253" s="1">
        <v>259.73</v>
      </c>
      <c r="L1253" s="3">
        <v>45525</v>
      </c>
    </row>
    <row r="1254" spans="1:12" x14ac:dyDescent="0.25">
      <c r="A1254" s="1">
        <v>101940</v>
      </c>
      <c r="B1254" s="2" t="s">
        <v>282</v>
      </c>
      <c r="C1254" s="2" t="s">
        <v>152</v>
      </c>
      <c r="D1254" s="2" t="s">
        <v>106</v>
      </c>
      <c r="E1254" s="2" t="s">
        <v>17</v>
      </c>
      <c r="F1254" s="2" t="s">
        <v>18</v>
      </c>
      <c r="G1254" s="1">
        <v>0</v>
      </c>
      <c r="H1254" s="1">
        <v>301</v>
      </c>
      <c r="I1254" s="2" t="s">
        <v>32</v>
      </c>
      <c r="J1254" s="2" t="s">
        <v>33</v>
      </c>
      <c r="K1254" s="1">
        <v>174.375</v>
      </c>
      <c r="L1254" s="3">
        <v>45525</v>
      </c>
    </row>
    <row r="1255" spans="1:12" x14ac:dyDescent="0.25">
      <c r="A1255" s="1">
        <v>101417</v>
      </c>
      <c r="B1255" s="2" t="s">
        <v>1091</v>
      </c>
      <c r="C1255" s="2" t="s">
        <v>270</v>
      </c>
      <c r="D1255" s="2" t="s">
        <v>50</v>
      </c>
      <c r="E1255" s="2" t="s">
        <v>81</v>
      </c>
      <c r="F1255" s="2" t="s">
        <v>25</v>
      </c>
      <c r="G1255" s="1">
        <v>28</v>
      </c>
      <c r="H1255" s="1">
        <v>817</v>
      </c>
      <c r="I1255" s="2" t="s">
        <v>32</v>
      </c>
      <c r="J1255" s="2" t="s">
        <v>20</v>
      </c>
      <c r="K1255" s="1">
        <v>1355.86</v>
      </c>
      <c r="L1255" s="3">
        <v>45524</v>
      </c>
    </row>
    <row r="1256" spans="1:12" x14ac:dyDescent="0.25">
      <c r="A1256" s="1">
        <v>100186</v>
      </c>
      <c r="B1256" s="2" t="s">
        <v>703</v>
      </c>
      <c r="C1256" s="2" t="s">
        <v>52</v>
      </c>
      <c r="D1256" s="2" t="s">
        <v>41</v>
      </c>
      <c r="E1256" s="2" t="s">
        <v>70</v>
      </c>
      <c r="F1256" s="2" t="s">
        <v>18</v>
      </c>
      <c r="G1256" s="1">
        <v>0</v>
      </c>
      <c r="H1256" s="1">
        <v>609</v>
      </c>
      <c r="I1256" s="2" t="s">
        <v>56</v>
      </c>
      <c r="J1256" s="2" t="s">
        <v>26</v>
      </c>
      <c r="K1256" s="1">
        <v>770.17</v>
      </c>
      <c r="L1256" s="3">
        <v>45524</v>
      </c>
    </row>
    <row r="1257" spans="1:12" x14ac:dyDescent="0.25">
      <c r="A1257" s="1">
        <v>101794</v>
      </c>
      <c r="B1257" s="2" t="s">
        <v>534</v>
      </c>
      <c r="C1257" s="2" t="s">
        <v>39</v>
      </c>
      <c r="D1257" s="2" t="s">
        <v>16</v>
      </c>
      <c r="E1257" s="2" t="s">
        <v>70</v>
      </c>
      <c r="F1257" s="2" t="s">
        <v>18</v>
      </c>
      <c r="G1257" s="1">
        <v>0</v>
      </c>
      <c r="H1257" s="1">
        <v>592</v>
      </c>
      <c r="I1257" s="2" t="s">
        <v>37</v>
      </c>
      <c r="J1257" s="2" t="s">
        <v>26</v>
      </c>
      <c r="K1257" s="1">
        <v>649.64</v>
      </c>
      <c r="L1257" s="3">
        <v>45524</v>
      </c>
    </row>
    <row r="1258" spans="1:12" x14ac:dyDescent="0.25">
      <c r="A1258" s="1">
        <v>102132</v>
      </c>
      <c r="B1258" s="2" t="s">
        <v>160</v>
      </c>
      <c r="C1258" s="2" t="s">
        <v>72</v>
      </c>
      <c r="D1258" s="2" t="s">
        <v>106</v>
      </c>
      <c r="E1258" s="2" t="s">
        <v>81</v>
      </c>
      <c r="F1258" s="2" t="s">
        <v>25</v>
      </c>
      <c r="G1258" s="1">
        <v>5</v>
      </c>
      <c r="H1258" s="1">
        <v>585</v>
      </c>
      <c r="I1258" s="2" t="s">
        <v>32</v>
      </c>
      <c r="J1258" s="2" t="s">
        <v>20</v>
      </c>
      <c r="K1258" s="1">
        <v>583.61</v>
      </c>
      <c r="L1258" s="3">
        <v>45524</v>
      </c>
    </row>
    <row r="1259" spans="1:12" x14ac:dyDescent="0.25">
      <c r="A1259" s="1">
        <v>101492</v>
      </c>
      <c r="B1259" s="2" t="s">
        <v>895</v>
      </c>
      <c r="C1259" s="2" t="s">
        <v>72</v>
      </c>
      <c r="D1259" s="2" t="s">
        <v>50</v>
      </c>
      <c r="E1259" s="2" t="s">
        <v>78</v>
      </c>
      <c r="F1259" s="2" t="s">
        <v>25</v>
      </c>
      <c r="G1259" s="1">
        <v>28</v>
      </c>
      <c r="H1259" s="1">
        <v>470</v>
      </c>
      <c r="I1259" s="2" t="s">
        <v>19</v>
      </c>
      <c r="J1259" s="2" t="s">
        <v>20</v>
      </c>
      <c r="K1259" s="1">
        <v>532.22</v>
      </c>
      <c r="L1259" s="3">
        <v>45524</v>
      </c>
    </row>
    <row r="1260" spans="1:12" x14ac:dyDescent="0.25">
      <c r="A1260" s="1">
        <v>101332</v>
      </c>
      <c r="B1260" s="2" t="s">
        <v>125</v>
      </c>
      <c r="C1260" s="2" t="s">
        <v>126</v>
      </c>
      <c r="D1260" s="2" t="s">
        <v>64</v>
      </c>
      <c r="E1260" s="2" t="s">
        <v>70</v>
      </c>
      <c r="F1260" s="2" t="s">
        <v>18</v>
      </c>
      <c r="G1260" s="1" t="s">
        <v>35</v>
      </c>
      <c r="H1260" s="1">
        <v>461</v>
      </c>
      <c r="I1260" s="2" t="s">
        <v>19</v>
      </c>
      <c r="J1260" s="2" t="s">
        <v>26</v>
      </c>
      <c r="K1260" s="1">
        <v>324.18</v>
      </c>
      <c r="L1260" s="3">
        <v>45524</v>
      </c>
    </row>
    <row r="1261" spans="1:12" x14ac:dyDescent="0.25">
      <c r="A1261" s="1">
        <v>100302</v>
      </c>
      <c r="B1261" s="2" t="s">
        <v>1300</v>
      </c>
      <c r="C1261" s="2" t="s">
        <v>103</v>
      </c>
      <c r="D1261" s="2" t="s">
        <v>41</v>
      </c>
      <c r="E1261" s="2" t="s">
        <v>81</v>
      </c>
      <c r="F1261" s="2" t="s">
        <v>18</v>
      </c>
      <c r="G1261" s="1">
        <v>0</v>
      </c>
      <c r="H1261" s="1">
        <v>374</v>
      </c>
      <c r="I1261" s="2" t="s">
        <v>45</v>
      </c>
      <c r="J1261" s="2" t="s">
        <v>20</v>
      </c>
      <c r="K1261" s="1">
        <v>213.18</v>
      </c>
      <c r="L1261" s="3">
        <v>45524</v>
      </c>
    </row>
    <row r="1262" spans="1:12" x14ac:dyDescent="0.25">
      <c r="A1262" s="1">
        <v>100834</v>
      </c>
      <c r="B1262" s="2" t="s">
        <v>385</v>
      </c>
      <c r="C1262" s="2" t="s">
        <v>85</v>
      </c>
      <c r="D1262" s="2" t="s">
        <v>106</v>
      </c>
      <c r="E1262" s="2" t="s">
        <v>17</v>
      </c>
      <c r="F1262" s="2" t="s">
        <v>83</v>
      </c>
      <c r="G1262" s="1">
        <v>0</v>
      </c>
      <c r="H1262" s="1">
        <v>490</v>
      </c>
      <c r="I1262" s="2" t="s">
        <v>35</v>
      </c>
      <c r="J1262" s="2" t="s">
        <v>33</v>
      </c>
      <c r="K1262" s="1">
        <v>207.24</v>
      </c>
      <c r="L1262" s="3">
        <v>45524</v>
      </c>
    </row>
    <row r="1263" spans="1:12" x14ac:dyDescent="0.25">
      <c r="A1263" s="1">
        <v>100033</v>
      </c>
      <c r="B1263" s="2" t="s">
        <v>292</v>
      </c>
      <c r="C1263" s="2" t="s">
        <v>149</v>
      </c>
      <c r="D1263" s="2" t="s">
        <v>16</v>
      </c>
      <c r="E1263" s="2" t="s">
        <v>60</v>
      </c>
      <c r="F1263" s="2" t="s">
        <v>18</v>
      </c>
      <c r="G1263" s="1">
        <v>0</v>
      </c>
      <c r="H1263" s="1">
        <v>466</v>
      </c>
      <c r="I1263" s="2" t="s">
        <v>56</v>
      </c>
      <c r="J1263" s="2" t="s">
        <v>20</v>
      </c>
      <c r="K1263" s="1">
        <v>195.51</v>
      </c>
      <c r="L1263" s="3">
        <v>45524</v>
      </c>
    </row>
    <row r="1264" spans="1:12" x14ac:dyDescent="0.25">
      <c r="A1264" s="1">
        <v>101799</v>
      </c>
      <c r="B1264" s="2" t="s">
        <v>232</v>
      </c>
      <c r="C1264" s="2" t="s">
        <v>152</v>
      </c>
      <c r="D1264" s="2" t="s">
        <v>16</v>
      </c>
      <c r="E1264" s="2" t="s">
        <v>70</v>
      </c>
      <c r="F1264" s="2" t="s">
        <v>83</v>
      </c>
      <c r="G1264" s="1">
        <v>0</v>
      </c>
      <c r="H1264" s="1">
        <v>781</v>
      </c>
      <c r="I1264" s="2" t="s">
        <v>37</v>
      </c>
      <c r="J1264" s="2" t="s">
        <v>20</v>
      </c>
      <c r="K1264" s="1">
        <v>669.41</v>
      </c>
      <c r="L1264" s="3">
        <v>45523</v>
      </c>
    </row>
    <row r="1265" spans="1:12" x14ac:dyDescent="0.25">
      <c r="A1265" s="1">
        <v>101996</v>
      </c>
      <c r="B1265" s="2" t="s">
        <v>43</v>
      </c>
      <c r="C1265" s="2" t="s">
        <v>22</v>
      </c>
      <c r="D1265" s="2" t="s">
        <v>41</v>
      </c>
      <c r="E1265" s="2" t="s">
        <v>31</v>
      </c>
      <c r="F1265" s="2" t="s">
        <v>25</v>
      </c>
      <c r="G1265" s="1">
        <v>7</v>
      </c>
      <c r="H1265" s="1">
        <v>396</v>
      </c>
      <c r="I1265" s="2" t="s">
        <v>45</v>
      </c>
      <c r="J1265" s="2" t="s">
        <v>26</v>
      </c>
      <c r="K1265" s="1">
        <v>649.52</v>
      </c>
      <c r="L1265" s="3">
        <v>45523</v>
      </c>
    </row>
    <row r="1266" spans="1:12" x14ac:dyDescent="0.25">
      <c r="A1266" s="1">
        <v>101828</v>
      </c>
      <c r="B1266" s="2" t="s">
        <v>995</v>
      </c>
      <c r="C1266" s="2" t="s">
        <v>134</v>
      </c>
      <c r="D1266" s="2" t="s">
        <v>41</v>
      </c>
      <c r="E1266" s="2" t="s">
        <v>17</v>
      </c>
      <c r="F1266" s="2" t="s">
        <v>18</v>
      </c>
      <c r="G1266" s="1">
        <v>0</v>
      </c>
      <c r="H1266" s="1">
        <v>866</v>
      </c>
      <c r="I1266" s="2" t="s">
        <v>56</v>
      </c>
      <c r="J1266" s="2" t="s">
        <v>33</v>
      </c>
      <c r="K1266" s="1">
        <v>426.17</v>
      </c>
      <c r="L1266" s="3">
        <v>45523</v>
      </c>
    </row>
    <row r="1267" spans="1:12" x14ac:dyDescent="0.25">
      <c r="A1267" s="1">
        <v>101363</v>
      </c>
      <c r="B1267" s="2" t="s">
        <v>251</v>
      </c>
      <c r="C1267" s="2" t="s">
        <v>72</v>
      </c>
      <c r="D1267" s="2" t="s">
        <v>50</v>
      </c>
      <c r="E1267" s="2" t="s">
        <v>17</v>
      </c>
      <c r="F1267" s="2" t="s">
        <v>42</v>
      </c>
      <c r="G1267" s="1">
        <v>103</v>
      </c>
      <c r="H1267" s="1">
        <v>673</v>
      </c>
      <c r="I1267" s="2" t="s">
        <v>32</v>
      </c>
      <c r="J1267" s="2" t="s">
        <v>20</v>
      </c>
      <c r="K1267" s="1">
        <v>226.86</v>
      </c>
      <c r="L1267" s="3">
        <v>45523</v>
      </c>
    </row>
    <row r="1268" spans="1:12" x14ac:dyDescent="0.25">
      <c r="A1268" s="1">
        <v>100051</v>
      </c>
      <c r="B1268" s="2" t="s">
        <v>631</v>
      </c>
      <c r="C1268" s="2" t="s">
        <v>13</v>
      </c>
      <c r="D1268" s="2" t="s">
        <v>41</v>
      </c>
      <c r="E1268" s="2" t="s">
        <v>81</v>
      </c>
      <c r="F1268" s="2" t="s">
        <v>25</v>
      </c>
      <c r="G1268" s="1">
        <v>28</v>
      </c>
      <c r="H1268" s="1">
        <v>544</v>
      </c>
      <c r="I1268" s="2" t="s">
        <v>37</v>
      </c>
      <c r="J1268" s="2" t="s">
        <v>20</v>
      </c>
      <c r="K1268" s="1">
        <v>173.81</v>
      </c>
      <c r="L1268" s="3">
        <v>45523</v>
      </c>
    </row>
    <row r="1269" spans="1:12" x14ac:dyDescent="0.25">
      <c r="A1269" s="1">
        <v>100020</v>
      </c>
      <c r="B1269" s="2" t="s">
        <v>204</v>
      </c>
      <c r="C1269" s="2" t="s">
        <v>152</v>
      </c>
      <c r="D1269" s="2" t="s">
        <v>41</v>
      </c>
      <c r="E1269" s="2" t="s">
        <v>31</v>
      </c>
      <c r="F1269" s="2" t="s">
        <v>42</v>
      </c>
      <c r="G1269" s="1">
        <v>146</v>
      </c>
      <c r="H1269" s="1">
        <v>362</v>
      </c>
      <c r="I1269" s="2" t="s">
        <v>56</v>
      </c>
      <c r="J1269" s="2" t="s">
        <v>33</v>
      </c>
      <c r="K1269" s="1">
        <v>137.22999999999999</v>
      </c>
      <c r="L1269" s="3">
        <v>45523</v>
      </c>
    </row>
    <row r="1270" spans="1:12" x14ac:dyDescent="0.25">
      <c r="A1270" s="1">
        <v>100114</v>
      </c>
      <c r="B1270" s="2" t="s">
        <v>358</v>
      </c>
      <c r="C1270" s="2" t="s">
        <v>110</v>
      </c>
      <c r="D1270" s="2" t="s">
        <v>64</v>
      </c>
      <c r="E1270" s="2" t="s">
        <v>55</v>
      </c>
      <c r="F1270" s="2" t="s">
        <v>18</v>
      </c>
      <c r="G1270" s="1">
        <v>0</v>
      </c>
      <c r="H1270" s="1">
        <v>481</v>
      </c>
      <c r="I1270" s="2" t="s">
        <v>45</v>
      </c>
      <c r="J1270" s="2" t="s">
        <v>26</v>
      </c>
      <c r="K1270" s="1">
        <v>543.96</v>
      </c>
      <c r="L1270" s="3">
        <v>45522</v>
      </c>
    </row>
    <row r="1271" spans="1:12" x14ac:dyDescent="0.25">
      <c r="A1271" s="1">
        <v>101221</v>
      </c>
      <c r="B1271" s="2" t="s">
        <v>425</v>
      </c>
      <c r="C1271" s="2" t="s">
        <v>149</v>
      </c>
      <c r="D1271" s="2" t="s">
        <v>50</v>
      </c>
      <c r="E1271" s="2" t="s">
        <v>60</v>
      </c>
      <c r="F1271" s="2" t="s">
        <v>25</v>
      </c>
      <c r="G1271" s="1">
        <v>12</v>
      </c>
      <c r="H1271" s="1">
        <v>720</v>
      </c>
      <c r="I1271" s="2" t="s">
        <v>19</v>
      </c>
      <c r="J1271" s="2" t="s">
        <v>33</v>
      </c>
      <c r="K1271" s="1">
        <v>502.52</v>
      </c>
      <c r="L1271" s="3">
        <v>45522</v>
      </c>
    </row>
    <row r="1272" spans="1:12" x14ac:dyDescent="0.25">
      <c r="A1272" s="1">
        <v>100181</v>
      </c>
      <c r="B1272" s="2" t="s">
        <v>167</v>
      </c>
      <c r="C1272" s="2" t="s">
        <v>168</v>
      </c>
      <c r="D1272" s="2" t="s">
        <v>16</v>
      </c>
      <c r="E1272" s="2" t="s">
        <v>31</v>
      </c>
      <c r="F1272" s="2" t="s">
        <v>18</v>
      </c>
      <c r="G1272" s="1" t="s">
        <v>35</v>
      </c>
      <c r="H1272" s="1">
        <v>658</v>
      </c>
      <c r="I1272" s="2" t="s">
        <v>56</v>
      </c>
      <c r="J1272" s="2" t="s">
        <v>20</v>
      </c>
      <c r="K1272" s="1">
        <v>365.69</v>
      </c>
      <c r="L1272" s="3">
        <v>45522</v>
      </c>
    </row>
    <row r="1273" spans="1:12" x14ac:dyDescent="0.25">
      <c r="A1273" s="1">
        <v>100028</v>
      </c>
      <c r="B1273" s="2" t="s">
        <v>338</v>
      </c>
      <c r="C1273" s="2" t="s">
        <v>22</v>
      </c>
      <c r="D1273" s="2" t="s">
        <v>50</v>
      </c>
      <c r="E1273" s="2" t="s">
        <v>55</v>
      </c>
      <c r="F1273" s="2" t="s">
        <v>25</v>
      </c>
      <c r="G1273" s="1">
        <v>15</v>
      </c>
      <c r="H1273" s="1">
        <v>832</v>
      </c>
      <c r="I1273" s="2" t="s">
        <v>19</v>
      </c>
      <c r="J1273" s="2" t="s">
        <v>20</v>
      </c>
      <c r="K1273" s="1">
        <v>267.26</v>
      </c>
      <c r="L1273" s="3">
        <v>45522</v>
      </c>
    </row>
    <row r="1274" spans="1:12" x14ac:dyDescent="0.25">
      <c r="A1274" s="1">
        <v>102134</v>
      </c>
      <c r="B1274" s="2" t="s">
        <v>530</v>
      </c>
      <c r="C1274" s="2" t="s">
        <v>142</v>
      </c>
      <c r="D1274" s="2" t="s">
        <v>50</v>
      </c>
      <c r="E1274" s="2" t="s">
        <v>78</v>
      </c>
      <c r="F1274" s="2" t="s">
        <v>83</v>
      </c>
      <c r="G1274" s="1">
        <v>0</v>
      </c>
      <c r="H1274" s="1">
        <v>819</v>
      </c>
      <c r="I1274" s="2" t="s">
        <v>45</v>
      </c>
      <c r="J1274" s="2" t="s">
        <v>20</v>
      </c>
      <c r="K1274" s="1">
        <v>92.42</v>
      </c>
      <c r="L1274" s="3">
        <v>45521</v>
      </c>
    </row>
    <row r="1275" spans="1:12" x14ac:dyDescent="0.25">
      <c r="A1275" s="1">
        <v>101331</v>
      </c>
      <c r="B1275" s="2" t="s">
        <v>986</v>
      </c>
      <c r="C1275" s="2" t="s">
        <v>28</v>
      </c>
      <c r="D1275" s="2" t="s">
        <v>106</v>
      </c>
      <c r="E1275" s="2" t="s">
        <v>31</v>
      </c>
      <c r="F1275" s="2" t="s">
        <v>42</v>
      </c>
      <c r="G1275" s="1">
        <v>166</v>
      </c>
      <c r="H1275" s="1">
        <v>459</v>
      </c>
      <c r="I1275" s="2" t="s">
        <v>45</v>
      </c>
      <c r="J1275" s="2" t="s">
        <v>20</v>
      </c>
      <c r="K1275" s="1">
        <v>427.84</v>
      </c>
      <c r="L1275" s="3">
        <v>45520</v>
      </c>
    </row>
    <row r="1276" spans="1:12" x14ac:dyDescent="0.25">
      <c r="A1276" s="1">
        <v>101803</v>
      </c>
      <c r="B1276" s="2" t="s">
        <v>537</v>
      </c>
      <c r="C1276" s="2" t="s">
        <v>187</v>
      </c>
      <c r="D1276" s="2" t="s">
        <v>106</v>
      </c>
      <c r="E1276" s="2" t="s">
        <v>60</v>
      </c>
      <c r="F1276" s="2" t="s">
        <v>25</v>
      </c>
      <c r="G1276" s="1">
        <v>11</v>
      </c>
      <c r="H1276" s="1">
        <v>874</v>
      </c>
      <c r="I1276" s="2" t="s">
        <v>37</v>
      </c>
      <c r="J1276" s="2" t="s">
        <v>33</v>
      </c>
      <c r="K1276" s="1">
        <v>414.79</v>
      </c>
      <c r="L1276" s="3">
        <v>45520</v>
      </c>
    </row>
    <row r="1277" spans="1:12" x14ac:dyDescent="0.25">
      <c r="A1277" s="1">
        <v>100217</v>
      </c>
      <c r="B1277" s="2" t="s">
        <v>94</v>
      </c>
      <c r="C1277" s="2" t="s">
        <v>95</v>
      </c>
      <c r="D1277" s="2" t="s">
        <v>50</v>
      </c>
      <c r="E1277" s="2" t="s">
        <v>70</v>
      </c>
      <c r="F1277" s="2" t="s">
        <v>18</v>
      </c>
      <c r="G1277" s="1">
        <v>0</v>
      </c>
      <c r="H1277" s="1">
        <v>360</v>
      </c>
      <c r="I1277" s="2" t="s">
        <v>32</v>
      </c>
      <c r="J1277" s="2" t="s">
        <v>26</v>
      </c>
      <c r="K1277" s="1">
        <v>339.11</v>
      </c>
      <c r="L1277" s="3">
        <v>45520</v>
      </c>
    </row>
    <row r="1278" spans="1:12" x14ac:dyDescent="0.25">
      <c r="A1278" s="1">
        <v>101004</v>
      </c>
      <c r="B1278" s="2" t="s">
        <v>65</v>
      </c>
      <c r="C1278" s="2" t="s">
        <v>62</v>
      </c>
      <c r="D1278" s="2" t="s">
        <v>16</v>
      </c>
      <c r="E1278" s="2" t="s">
        <v>60</v>
      </c>
      <c r="F1278" s="2" t="s">
        <v>25</v>
      </c>
      <c r="G1278" s="1">
        <v>25</v>
      </c>
      <c r="H1278" s="1">
        <v>542</v>
      </c>
      <c r="I1278" s="2" t="s">
        <v>45</v>
      </c>
      <c r="J1278" s="2" t="s">
        <v>26</v>
      </c>
      <c r="K1278" s="1">
        <v>315.97000000000003</v>
      </c>
      <c r="L1278" s="3">
        <v>45520</v>
      </c>
    </row>
    <row r="1279" spans="1:12" x14ac:dyDescent="0.25">
      <c r="A1279" s="1">
        <v>101472</v>
      </c>
      <c r="B1279" s="2" t="s">
        <v>131</v>
      </c>
      <c r="C1279" s="2" t="s">
        <v>39</v>
      </c>
      <c r="D1279" s="2" t="s">
        <v>41</v>
      </c>
      <c r="E1279" s="2" t="s">
        <v>70</v>
      </c>
      <c r="F1279" s="2" t="s">
        <v>18</v>
      </c>
      <c r="G1279" s="1">
        <v>0</v>
      </c>
      <c r="H1279" s="1">
        <v>867</v>
      </c>
      <c r="I1279" s="2" t="s">
        <v>37</v>
      </c>
      <c r="J1279" s="2" t="s">
        <v>33</v>
      </c>
      <c r="K1279" s="1">
        <v>167.68</v>
      </c>
      <c r="L1279" s="3">
        <v>45520</v>
      </c>
    </row>
    <row r="1280" spans="1:12" x14ac:dyDescent="0.25">
      <c r="A1280" s="1">
        <v>100990</v>
      </c>
      <c r="B1280" s="2" t="s">
        <v>138</v>
      </c>
      <c r="C1280" s="2" t="s">
        <v>85</v>
      </c>
      <c r="D1280" s="2" t="s">
        <v>41</v>
      </c>
      <c r="E1280" s="2" t="s">
        <v>60</v>
      </c>
      <c r="F1280" s="2" t="s">
        <v>18</v>
      </c>
      <c r="G1280" s="1">
        <v>0</v>
      </c>
      <c r="H1280" s="1">
        <v>623</v>
      </c>
      <c r="I1280" s="2" t="s">
        <v>19</v>
      </c>
      <c r="J1280" s="2" t="s">
        <v>20</v>
      </c>
      <c r="K1280" s="1">
        <v>478.05</v>
      </c>
      <c r="L1280" s="3">
        <v>45519</v>
      </c>
    </row>
    <row r="1281" spans="1:12" x14ac:dyDescent="0.25">
      <c r="A1281" s="1">
        <v>100472</v>
      </c>
      <c r="B1281" s="2" t="s">
        <v>376</v>
      </c>
      <c r="C1281" s="2" t="s">
        <v>22</v>
      </c>
      <c r="D1281" s="2" t="s">
        <v>106</v>
      </c>
      <c r="E1281" s="2" t="s">
        <v>17</v>
      </c>
      <c r="F1281" s="2" t="s">
        <v>25</v>
      </c>
      <c r="G1281" s="1">
        <v>16</v>
      </c>
      <c r="H1281" s="1">
        <v>340</v>
      </c>
      <c r="I1281" s="2" t="s">
        <v>32</v>
      </c>
      <c r="J1281" s="2" t="s">
        <v>20</v>
      </c>
      <c r="K1281" s="1">
        <v>237.92</v>
      </c>
      <c r="L1281" s="3">
        <v>45518</v>
      </c>
    </row>
    <row r="1282" spans="1:12" x14ac:dyDescent="0.25">
      <c r="A1282" s="1">
        <v>102030</v>
      </c>
      <c r="B1282" s="2" t="s">
        <v>510</v>
      </c>
      <c r="C1282" s="2" t="s">
        <v>244</v>
      </c>
      <c r="D1282" s="2" t="s">
        <v>64</v>
      </c>
      <c r="E1282" s="2" t="s">
        <v>78</v>
      </c>
      <c r="F1282" s="2" t="s">
        <v>25</v>
      </c>
      <c r="G1282" s="1">
        <v>2</v>
      </c>
      <c r="H1282" s="1">
        <v>411</v>
      </c>
      <c r="I1282" s="2" t="s">
        <v>45</v>
      </c>
      <c r="J1282" s="2" t="s">
        <v>33</v>
      </c>
      <c r="K1282" s="1">
        <v>186.87</v>
      </c>
      <c r="L1282" s="3">
        <v>45518</v>
      </c>
    </row>
    <row r="1283" spans="1:12" x14ac:dyDescent="0.25">
      <c r="A1283" s="1">
        <v>101801</v>
      </c>
      <c r="B1283" s="2" t="s">
        <v>125</v>
      </c>
      <c r="C1283" s="2" t="s">
        <v>126</v>
      </c>
      <c r="D1283" s="2" t="s">
        <v>16</v>
      </c>
      <c r="E1283" s="2" t="s">
        <v>55</v>
      </c>
      <c r="F1283" s="2" t="s">
        <v>25</v>
      </c>
      <c r="G1283" s="1">
        <v>26</v>
      </c>
      <c r="H1283" s="1">
        <v>461</v>
      </c>
      <c r="I1283" s="2" t="s">
        <v>37</v>
      </c>
      <c r="J1283" s="2" t="s">
        <v>20</v>
      </c>
      <c r="K1283" s="1">
        <v>186.03</v>
      </c>
      <c r="L1283" s="3">
        <v>45518</v>
      </c>
    </row>
    <row r="1284" spans="1:12" x14ac:dyDescent="0.25">
      <c r="A1284" s="1">
        <v>101688</v>
      </c>
      <c r="B1284" s="2" t="s">
        <v>1402</v>
      </c>
      <c r="C1284" s="2" t="s">
        <v>100</v>
      </c>
      <c r="D1284" s="2" t="s">
        <v>64</v>
      </c>
      <c r="E1284" s="2" t="s">
        <v>60</v>
      </c>
      <c r="F1284" s="2" t="s">
        <v>18</v>
      </c>
      <c r="G1284" s="1">
        <v>0</v>
      </c>
      <c r="H1284" s="1">
        <v>588</v>
      </c>
      <c r="I1284" s="2" t="s">
        <v>19</v>
      </c>
      <c r="J1284" s="2" t="s">
        <v>20</v>
      </c>
      <c r="K1284" s="1">
        <v>150.5</v>
      </c>
      <c r="L1284" s="3">
        <v>45518</v>
      </c>
    </row>
    <row r="1285" spans="1:12" x14ac:dyDescent="0.25">
      <c r="A1285" s="1">
        <v>100908</v>
      </c>
      <c r="B1285" s="2" t="s">
        <v>1168</v>
      </c>
      <c r="C1285" s="2" t="s">
        <v>218</v>
      </c>
      <c r="D1285" s="2" t="s">
        <v>106</v>
      </c>
      <c r="E1285" s="2" t="s">
        <v>35</v>
      </c>
      <c r="F1285" s="2" t="s">
        <v>25</v>
      </c>
      <c r="G1285" s="1">
        <v>4</v>
      </c>
      <c r="H1285" s="1">
        <v>606</v>
      </c>
      <c r="I1285" s="2" t="s">
        <v>19</v>
      </c>
      <c r="J1285" s="2" t="s">
        <v>20</v>
      </c>
      <c r="K1285" s="1">
        <v>914.85</v>
      </c>
      <c r="L1285" s="3">
        <v>45517</v>
      </c>
    </row>
    <row r="1286" spans="1:12" x14ac:dyDescent="0.25">
      <c r="A1286" s="1">
        <v>101881</v>
      </c>
      <c r="B1286" s="2" t="s">
        <v>307</v>
      </c>
      <c r="C1286" s="2" t="s">
        <v>58</v>
      </c>
      <c r="D1286" s="2" t="s">
        <v>50</v>
      </c>
      <c r="E1286" s="2" t="s">
        <v>78</v>
      </c>
      <c r="F1286" s="2" t="s">
        <v>18</v>
      </c>
      <c r="G1286" s="1">
        <v>0</v>
      </c>
      <c r="H1286" s="1">
        <v>616</v>
      </c>
      <c r="I1286" s="2" t="s">
        <v>32</v>
      </c>
      <c r="J1286" s="2" t="s">
        <v>33</v>
      </c>
      <c r="K1286" s="1">
        <v>318.13</v>
      </c>
      <c r="L1286" s="3">
        <v>45517</v>
      </c>
    </row>
    <row r="1287" spans="1:12" x14ac:dyDescent="0.25">
      <c r="A1287" s="1">
        <v>101886</v>
      </c>
      <c r="B1287" s="2" t="s">
        <v>133</v>
      </c>
      <c r="C1287" s="2" t="s">
        <v>134</v>
      </c>
      <c r="D1287" s="2" t="s">
        <v>64</v>
      </c>
      <c r="E1287" s="2" t="s">
        <v>81</v>
      </c>
      <c r="F1287" s="2" t="s">
        <v>83</v>
      </c>
      <c r="G1287" s="1">
        <v>0</v>
      </c>
      <c r="H1287" s="1">
        <v>345</v>
      </c>
      <c r="I1287" s="2" t="s">
        <v>37</v>
      </c>
      <c r="J1287" s="2" t="s">
        <v>26</v>
      </c>
      <c r="K1287" s="1">
        <v>246.04</v>
      </c>
      <c r="L1287" s="3">
        <v>45517</v>
      </c>
    </row>
    <row r="1288" spans="1:12" x14ac:dyDescent="0.25">
      <c r="A1288" s="1">
        <v>101608</v>
      </c>
      <c r="B1288" s="2" t="s">
        <v>75</v>
      </c>
      <c r="C1288" s="2" t="s">
        <v>39</v>
      </c>
      <c r="D1288" s="2" t="s">
        <v>16</v>
      </c>
      <c r="E1288" s="2" t="s">
        <v>70</v>
      </c>
      <c r="F1288" s="2" t="s">
        <v>83</v>
      </c>
      <c r="G1288" s="1">
        <v>0</v>
      </c>
      <c r="H1288" s="1">
        <v>554</v>
      </c>
      <c r="I1288" s="2" t="s">
        <v>56</v>
      </c>
      <c r="J1288" s="2" t="s">
        <v>26</v>
      </c>
      <c r="K1288" s="1">
        <v>39.9</v>
      </c>
      <c r="L1288" s="3">
        <v>45517</v>
      </c>
    </row>
    <row r="1289" spans="1:12" x14ac:dyDescent="0.25">
      <c r="A1289" s="1">
        <v>100694</v>
      </c>
      <c r="B1289" s="2" t="s">
        <v>303</v>
      </c>
      <c r="C1289" s="2" t="s">
        <v>187</v>
      </c>
      <c r="D1289" s="2" t="s">
        <v>41</v>
      </c>
      <c r="E1289" s="2" t="s">
        <v>55</v>
      </c>
      <c r="F1289" s="2" t="s">
        <v>18</v>
      </c>
      <c r="G1289" s="1">
        <v>0</v>
      </c>
      <c r="H1289" s="1">
        <v>800</v>
      </c>
      <c r="I1289" s="2" t="s">
        <v>32</v>
      </c>
      <c r="J1289" s="2" t="s">
        <v>26</v>
      </c>
      <c r="K1289" s="1">
        <v>517.21</v>
      </c>
      <c r="L1289" s="3">
        <v>45516</v>
      </c>
    </row>
    <row r="1290" spans="1:12" x14ac:dyDescent="0.25">
      <c r="A1290" s="1">
        <v>102055</v>
      </c>
      <c r="B1290" s="2" t="s">
        <v>155</v>
      </c>
      <c r="C1290" s="2" t="s">
        <v>142</v>
      </c>
      <c r="D1290" s="2" t="s">
        <v>50</v>
      </c>
      <c r="E1290" s="2" t="s">
        <v>78</v>
      </c>
      <c r="F1290" s="2" t="s">
        <v>83</v>
      </c>
      <c r="G1290" s="1" t="s">
        <v>35</v>
      </c>
      <c r="H1290" s="1">
        <v>339</v>
      </c>
      <c r="I1290" s="2" t="s">
        <v>56</v>
      </c>
      <c r="J1290" s="2" t="s">
        <v>33</v>
      </c>
      <c r="K1290" s="1">
        <v>451.45</v>
      </c>
      <c r="L1290" s="3">
        <v>45516</v>
      </c>
    </row>
    <row r="1291" spans="1:12" x14ac:dyDescent="0.25">
      <c r="A1291" s="1">
        <v>100583</v>
      </c>
      <c r="B1291" s="2" t="s">
        <v>225</v>
      </c>
      <c r="C1291" s="2" t="s">
        <v>142</v>
      </c>
      <c r="D1291" s="2" t="s">
        <v>64</v>
      </c>
      <c r="E1291" s="2" t="s">
        <v>81</v>
      </c>
      <c r="F1291" s="2" t="s">
        <v>83</v>
      </c>
      <c r="G1291" s="1">
        <v>0</v>
      </c>
      <c r="H1291" s="1">
        <v>741</v>
      </c>
      <c r="I1291" s="2" t="s">
        <v>45</v>
      </c>
      <c r="J1291" s="2" t="s">
        <v>33</v>
      </c>
      <c r="K1291" s="1">
        <v>386.98</v>
      </c>
      <c r="L1291" s="3">
        <v>45516</v>
      </c>
    </row>
    <row r="1292" spans="1:12" x14ac:dyDescent="0.25">
      <c r="A1292" s="1">
        <v>100108</v>
      </c>
      <c r="B1292" s="2" t="s">
        <v>847</v>
      </c>
      <c r="C1292" s="2" t="s">
        <v>22</v>
      </c>
      <c r="D1292" s="2" t="s">
        <v>106</v>
      </c>
      <c r="E1292" s="2" t="s">
        <v>35</v>
      </c>
      <c r="F1292" s="2" t="s">
        <v>83</v>
      </c>
      <c r="G1292" s="1">
        <v>0</v>
      </c>
      <c r="H1292" s="1">
        <v>612</v>
      </c>
      <c r="I1292" s="2" t="s">
        <v>19</v>
      </c>
      <c r="J1292" s="2" t="s">
        <v>26</v>
      </c>
      <c r="K1292" s="1">
        <v>835.21</v>
      </c>
      <c r="L1292" s="3">
        <v>45515</v>
      </c>
    </row>
    <row r="1293" spans="1:12" x14ac:dyDescent="0.25">
      <c r="A1293" s="1">
        <v>100388</v>
      </c>
      <c r="B1293" s="2" t="s">
        <v>1357</v>
      </c>
      <c r="C1293" s="2" t="s">
        <v>100</v>
      </c>
      <c r="D1293" s="2" t="s">
        <v>50</v>
      </c>
      <c r="E1293" s="2" t="s">
        <v>70</v>
      </c>
      <c r="F1293" s="2" t="s">
        <v>18</v>
      </c>
      <c r="G1293" s="1">
        <v>0</v>
      </c>
      <c r="H1293" s="1">
        <v>522</v>
      </c>
      <c r="I1293" s="2" t="s">
        <v>37</v>
      </c>
      <c r="J1293" s="2" t="s">
        <v>20</v>
      </c>
      <c r="K1293" s="1">
        <v>95.11</v>
      </c>
      <c r="L1293" s="3">
        <v>45515</v>
      </c>
    </row>
    <row r="1294" spans="1:12" x14ac:dyDescent="0.25">
      <c r="A1294" s="1">
        <v>100222</v>
      </c>
      <c r="B1294" s="2" t="s">
        <v>170</v>
      </c>
      <c r="C1294" s="2" t="s">
        <v>85</v>
      </c>
      <c r="D1294" s="2" t="s">
        <v>41</v>
      </c>
      <c r="E1294" s="2" t="s">
        <v>70</v>
      </c>
      <c r="F1294" s="2" t="s">
        <v>25</v>
      </c>
      <c r="G1294" s="1">
        <v>7</v>
      </c>
      <c r="H1294" s="1">
        <v>869</v>
      </c>
      <c r="I1294" s="2" t="s">
        <v>37</v>
      </c>
      <c r="J1294" s="2" t="s">
        <v>33</v>
      </c>
      <c r="K1294" s="1">
        <v>1213.48</v>
      </c>
      <c r="L1294" s="3">
        <v>45514</v>
      </c>
    </row>
    <row r="1295" spans="1:12" x14ac:dyDescent="0.25">
      <c r="A1295" s="1">
        <v>102046</v>
      </c>
      <c r="B1295" s="2" t="s">
        <v>164</v>
      </c>
      <c r="C1295" s="2" t="s">
        <v>126</v>
      </c>
      <c r="D1295" s="2" t="s">
        <v>41</v>
      </c>
      <c r="E1295" s="2" t="s">
        <v>17</v>
      </c>
      <c r="F1295" s="2" t="s">
        <v>18</v>
      </c>
      <c r="G1295" s="1">
        <v>0</v>
      </c>
      <c r="H1295" s="1">
        <v>722</v>
      </c>
      <c r="I1295" s="2" t="s">
        <v>32</v>
      </c>
      <c r="J1295" s="2" t="s">
        <v>35</v>
      </c>
      <c r="K1295" s="1">
        <v>587.62</v>
      </c>
      <c r="L1295" s="3">
        <v>45514</v>
      </c>
    </row>
    <row r="1296" spans="1:12" x14ac:dyDescent="0.25">
      <c r="A1296" s="1">
        <v>100261</v>
      </c>
      <c r="B1296" s="2" t="s">
        <v>225</v>
      </c>
      <c r="C1296" s="2" t="s">
        <v>142</v>
      </c>
      <c r="D1296" s="2" t="s">
        <v>64</v>
      </c>
      <c r="E1296" s="2" t="s">
        <v>60</v>
      </c>
      <c r="F1296" s="2" t="s">
        <v>42</v>
      </c>
      <c r="G1296" s="1">
        <v>77</v>
      </c>
      <c r="H1296" s="1">
        <v>741</v>
      </c>
      <c r="I1296" s="2" t="s">
        <v>37</v>
      </c>
      <c r="J1296" s="2" t="s">
        <v>33</v>
      </c>
      <c r="K1296" s="1">
        <v>434.46</v>
      </c>
      <c r="L1296" s="3">
        <v>45514</v>
      </c>
    </row>
    <row r="1297" spans="1:12" x14ac:dyDescent="0.25">
      <c r="A1297" s="1">
        <v>101774</v>
      </c>
      <c r="B1297" s="2" t="s">
        <v>94</v>
      </c>
      <c r="C1297" s="2" t="s">
        <v>95</v>
      </c>
      <c r="D1297" s="2" t="s">
        <v>16</v>
      </c>
      <c r="E1297" s="2" t="s">
        <v>31</v>
      </c>
      <c r="F1297" s="2" t="s">
        <v>25</v>
      </c>
      <c r="G1297" s="1">
        <v>18</v>
      </c>
      <c r="H1297" s="1">
        <v>360</v>
      </c>
      <c r="I1297" s="2" t="s">
        <v>19</v>
      </c>
      <c r="J1297" s="2" t="s">
        <v>33</v>
      </c>
      <c r="K1297" s="1">
        <v>383.63</v>
      </c>
      <c r="L1297" s="3">
        <v>45514</v>
      </c>
    </row>
    <row r="1298" spans="1:12" x14ac:dyDescent="0.25">
      <c r="A1298" s="1">
        <v>101737</v>
      </c>
      <c r="B1298" s="2" t="s">
        <v>276</v>
      </c>
      <c r="C1298" s="2" t="s">
        <v>52</v>
      </c>
      <c r="D1298" s="2" t="s">
        <v>106</v>
      </c>
      <c r="E1298" s="2" t="s">
        <v>60</v>
      </c>
      <c r="F1298" s="2" t="s">
        <v>18</v>
      </c>
      <c r="G1298" s="1">
        <v>0</v>
      </c>
      <c r="H1298" s="1">
        <v>638</v>
      </c>
      <c r="I1298" s="2" t="s">
        <v>56</v>
      </c>
      <c r="J1298" s="2" t="s">
        <v>26</v>
      </c>
      <c r="K1298" s="1">
        <v>326.83999999999997</v>
      </c>
      <c r="L1298" s="3">
        <v>45514</v>
      </c>
    </row>
    <row r="1299" spans="1:12" x14ac:dyDescent="0.25">
      <c r="A1299" s="1">
        <v>101355</v>
      </c>
      <c r="B1299" s="2" t="s">
        <v>259</v>
      </c>
      <c r="C1299" s="2" t="s">
        <v>218</v>
      </c>
      <c r="D1299" s="2" t="s">
        <v>50</v>
      </c>
      <c r="E1299" s="2" t="s">
        <v>70</v>
      </c>
      <c r="F1299" s="2" t="s">
        <v>25</v>
      </c>
      <c r="G1299" s="1">
        <v>13</v>
      </c>
      <c r="H1299" s="1">
        <v>732</v>
      </c>
      <c r="I1299" s="2" t="s">
        <v>45</v>
      </c>
      <c r="J1299" s="2" t="s">
        <v>26</v>
      </c>
      <c r="K1299" s="1">
        <v>695.29</v>
      </c>
      <c r="L1299" s="3">
        <v>45513</v>
      </c>
    </row>
    <row r="1300" spans="1:12" x14ac:dyDescent="0.25">
      <c r="A1300" s="1">
        <v>100506</v>
      </c>
      <c r="B1300" s="2" t="s">
        <v>347</v>
      </c>
      <c r="C1300" s="2" t="s">
        <v>95</v>
      </c>
      <c r="D1300" s="2" t="s">
        <v>64</v>
      </c>
      <c r="E1300" s="2" t="s">
        <v>17</v>
      </c>
      <c r="F1300" s="2" t="s">
        <v>83</v>
      </c>
      <c r="G1300" s="1" t="s">
        <v>35</v>
      </c>
      <c r="H1300" s="1">
        <v>699</v>
      </c>
      <c r="I1300" s="2" t="s">
        <v>37</v>
      </c>
      <c r="J1300" s="2" t="s">
        <v>20</v>
      </c>
      <c r="K1300" s="1">
        <v>221.62</v>
      </c>
      <c r="L1300" s="3">
        <v>45513</v>
      </c>
    </row>
    <row r="1301" spans="1:12" x14ac:dyDescent="0.25">
      <c r="A1301" s="1">
        <v>101707</v>
      </c>
      <c r="B1301" s="2" t="s">
        <v>607</v>
      </c>
      <c r="C1301" s="2" t="s">
        <v>134</v>
      </c>
      <c r="D1301" s="2" t="s">
        <v>16</v>
      </c>
      <c r="E1301" s="2" t="s">
        <v>60</v>
      </c>
      <c r="F1301" s="2" t="s">
        <v>25</v>
      </c>
      <c r="G1301" s="1">
        <v>28</v>
      </c>
      <c r="H1301" s="1">
        <v>458</v>
      </c>
      <c r="I1301" s="2" t="s">
        <v>19</v>
      </c>
      <c r="J1301" s="2" t="s">
        <v>20</v>
      </c>
      <c r="K1301" s="1">
        <v>918.3</v>
      </c>
      <c r="L1301" s="3">
        <v>45512</v>
      </c>
    </row>
    <row r="1302" spans="1:12" x14ac:dyDescent="0.25">
      <c r="A1302" s="1">
        <v>102089</v>
      </c>
      <c r="B1302" s="2" t="s">
        <v>1206</v>
      </c>
      <c r="C1302" s="2" t="s">
        <v>22</v>
      </c>
      <c r="D1302" s="2" t="s">
        <v>16</v>
      </c>
      <c r="E1302" s="2" t="s">
        <v>31</v>
      </c>
      <c r="F1302" s="2" t="s">
        <v>83</v>
      </c>
      <c r="G1302" s="1" t="s">
        <v>35</v>
      </c>
      <c r="H1302" s="1">
        <v>607</v>
      </c>
      <c r="I1302" s="2" t="s">
        <v>45</v>
      </c>
      <c r="J1302" s="2" t="s">
        <v>20</v>
      </c>
      <c r="K1302" s="1">
        <v>527.41</v>
      </c>
      <c r="L1302" s="3">
        <v>45512</v>
      </c>
    </row>
    <row r="1303" spans="1:12" x14ac:dyDescent="0.25">
      <c r="A1303" s="1">
        <v>101292</v>
      </c>
      <c r="B1303" s="2" t="s">
        <v>540</v>
      </c>
      <c r="C1303" s="2" t="s">
        <v>35</v>
      </c>
      <c r="D1303" s="2" t="s">
        <v>106</v>
      </c>
      <c r="E1303" s="2" t="s">
        <v>60</v>
      </c>
      <c r="F1303" s="2" t="s">
        <v>18</v>
      </c>
      <c r="G1303" s="1">
        <v>0</v>
      </c>
      <c r="H1303" s="1">
        <v>487</v>
      </c>
      <c r="I1303" s="2" t="s">
        <v>56</v>
      </c>
      <c r="J1303" s="2" t="s">
        <v>20</v>
      </c>
      <c r="K1303" s="1">
        <v>999.09</v>
      </c>
      <c r="L1303" s="3">
        <v>45511</v>
      </c>
    </row>
    <row r="1304" spans="1:12" x14ac:dyDescent="0.25">
      <c r="A1304" s="1">
        <v>102105</v>
      </c>
      <c r="B1304" s="2" t="s">
        <v>141</v>
      </c>
      <c r="C1304" s="2" t="s">
        <v>142</v>
      </c>
      <c r="D1304" s="2" t="s">
        <v>16</v>
      </c>
      <c r="E1304" s="2" t="s">
        <v>31</v>
      </c>
      <c r="F1304" s="2" t="s">
        <v>42</v>
      </c>
      <c r="G1304" s="1">
        <v>126</v>
      </c>
      <c r="H1304" s="1">
        <v>430</v>
      </c>
      <c r="I1304" s="2" t="s">
        <v>56</v>
      </c>
      <c r="J1304" s="2" t="s">
        <v>26</v>
      </c>
      <c r="K1304" s="1">
        <v>337.94</v>
      </c>
      <c r="L1304" s="3">
        <v>45511</v>
      </c>
    </row>
    <row r="1305" spans="1:12" x14ac:dyDescent="0.25">
      <c r="A1305" s="1">
        <v>101518</v>
      </c>
      <c r="B1305" s="2" t="s">
        <v>322</v>
      </c>
      <c r="C1305" s="2" t="s">
        <v>13</v>
      </c>
      <c r="D1305" s="2" t="s">
        <v>64</v>
      </c>
      <c r="E1305" s="2" t="s">
        <v>17</v>
      </c>
      <c r="F1305" s="2" t="s">
        <v>83</v>
      </c>
      <c r="G1305" s="1">
        <v>0</v>
      </c>
      <c r="H1305" s="1">
        <v>623</v>
      </c>
      <c r="I1305" s="2" t="s">
        <v>45</v>
      </c>
      <c r="J1305" s="2" t="s">
        <v>33</v>
      </c>
      <c r="K1305" s="1">
        <v>336.91</v>
      </c>
      <c r="L1305" s="3">
        <v>45511</v>
      </c>
    </row>
    <row r="1306" spans="1:12" x14ac:dyDescent="0.25">
      <c r="A1306" s="1">
        <v>100542</v>
      </c>
      <c r="B1306" s="2" t="s">
        <v>136</v>
      </c>
      <c r="C1306" s="2" t="s">
        <v>58</v>
      </c>
      <c r="D1306" s="2" t="s">
        <v>16</v>
      </c>
      <c r="E1306" s="2" t="s">
        <v>55</v>
      </c>
      <c r="F1306" s="2" t="s">
        <v>18</v>
      </c>
      <c r="G1306" s="1">
        <v>0</v>
      </c>
      <c r="H1306" s="1">
        <v>540</v>
      </c>
      <c r="I1306" s="2" t="s">
        <v>19</v>
      </c>
      <c r="J1306" s="2" t="s">
        <v>26</v>
      </c>
      <c r="K1306" s="1">
        <v>312.2</v>
      </c>
      <c r="L1306" s="3">
        <v>45511</v>
      </c>
    </row>
    <row r="1307" spans="1:12" x14ac:dyDescent="0.25">
      <c r="A1307" s="1">
        <v>102017</v>
      </c>
      <c r="B1307" s="2" t="s">
        <v>1206</v>
      </c>
      <c r="C1307" s="2" t="s">
        <v>22</v>
      </c>
      <c r="D1307" s="2" t="s">
        <v>41</v>
      </c>
      <c r="E1307" s="2" t="s">
        <v>31</v>
      </c>
      <c r="F1307" s="2" t="s">
        <v>25</v>
      </c>
      <c r="G1307" s="1">
        <v>13</v>
      </c>
      <c r="H1307" s="1">
        <v>607</v>
      </c>
      <c r="I1307" s="2" t="s">
        <v>45</v>
      </c>
      <c r="J1307" s="2" t="s">
        <v>33</v>
      </c>
      <c r="K1307" s="1">
        <v>259.31</v>
      </c>
      <c r="L1307" s="3">
        <v>45511</v>
      </c>
    </row>
    <row r="1308" spans="1:12" x14ac:dyDescent="0.25">
      <c r="A1308" s="1">
        <v>101062</v>
      </c>
      <c r="B1308" s="2" t="s">
        <v>1022</v>
      </c>
      <c r="C1308" s="2" t="s">
        <v>270</v>
      </c>
      <c r="D1308" s="2" t="s">
        <v>16</v>
      </c>
      <c r="E1308" s="2" t="s">
        <v>55</v>
      </c>
      <c r="F1308" s="2" t="s">
        <v>25</v>
      </c>
      <c r="G1308" s="1">
        <v>5</v>
      </c>
      <c r="H1308" s="1">
        <v>383</v>
      </c>
      <c r="I1308" s="2" t="s">
        <v>37</v>
      </c>
      <c r="J1308" s="2" t="s">
        <v>26</v>
      </c>
      <c r="K1308" s="1">
        <v>252.97</v>
      </c>
      <c r="L1308" s="3">
        <v>45511</v>
      </c>
    </row>
    <row r="1309" spans="1:12" x14ac:dyDescent="0.25">
      <c r="A1309" s="1">
        <v>102157</v>
      </c>
      <c r="B1309" s="2" t="s">
        <v>94</v>
      </c>
      <c r="C1309" s="2" t="s">
        <v>95</v>
      </c>
      <c r="D1309" s="2" t="s">
        <v>50</v>
      </c>
      <c r="E1309" s="2" t="s">
        <v>70</v>
      </c>
      <c r="F1309" s="2" t="s">
        <v>25</v>
      </c>
      <c r="G1309" s="1">
        <v>25</v>
      </c>
      <c r="H1309" s="1">
        <v>360</v>
      </c>
      <c r="I1309" s="2" t="s">
        <v>37</v>
      </c>
      <c r="J1309" s="2" t="s">
        <v>20</v>
      </c>
      <c r="K1309" s="1">
        <v>248.31</v>
      </c>
      <c r="L1309" s="3">
        <v>45511</v>
      </c>
    </row>
    <row r="1310" spans="1:12" x14ac:dyDescent="0.25">
      <c r="A1310" s="1">
        <v>102052</v>
      </c>
      <c r="B1310" s="2" t="s">
        <v>576</v>
      </c>
      <c r="C1310" s="2" t="s">
        <v>22</v>
      </c>
      <c r="D1310" s="2" t="s">
        <v>16</v>
      </c>
      <c r="E1310" s="2" t="s">
        <v>17</v>
      </c>
      <c r="F1310" s="2" t="s">
        <v>42</v>
      </c>
      <c r="G1310" s="1">
        <v>153</v>
      </c>
      <c r="H1310" s="1">
        <v>418</v>
      </c>
      <c r="I1310" s="2" t="s">
        <v>19</v>
      </c>
      <c r="J1310" s="2" t="s">
        <v>20</v>
      </c>
      <c r="K1310" s="1">
        <v>834.8</v>
      </c>
      <c r="L1310" s="3">
        <v>45510</v>
      </c>
    </row>
    <row r="1311" spans="1:12" x14ac:dyDescent="0.25">
      <c r="A1311" s="1">
        <v>100153</v>
      </c>
      <c r="B1311" s="2" t="s">
        <v>866</v>
      </c>
      <c r="C1311" s="2" t="s">
        <v>168</v>
      </c>
      <c r="D1311" s="2" t="s">
        <v>106</v>
      </c>
      <c r="E1311" s="2" t="s">
        <v>55</v>
      </c>
      <c r="F1311" s="2" t="s">
        <v>18</v>
      </c>
      <c r="G1311" s="1">
        <v>0</v>
      </c>
      <c r="H1311" s="1">
        <v>458</v>
      </c>
      <c r="I1311" s="2" t="s">
        <v>56</v>
      </c>
      <c r="J1311" s="2" t="s">
        <v>26</v>
      </c>
      <c r="K1311" s="1">
        <v>659.24</v>
      </c>
      <c r="L1311" s="3">
        <v>45510</v>
      </c>
    </row>
    <row r="1312" spans="1:12" x14ac:dyDescent="0.25">
      <c r="A1312" s="1">
        <v>101403</v>
      </c>
      <c r="B1312" s="2" t="s">
        <v>596</v>
      </c>
      <c r="C1312" s="2" t="s">
        <v>22</v>
      </c>
      <c r="D1312" s="2" t="s">
        <v>64</v>
      </c>
      <c r="E1312" s="2" t="s">
        <v>31</v>
      </c>
      <c r="F1312" s="2" t="s">
        <v>18</v>
      </c>
      <c r="G1312" s="1" t="s">
        <v>35</v>
      </c>
      <c r="H1312" s="1">
        <v>603</v>
      </c>
      <c r="I1312" s="2" t="s">
        <v>32</v>
      </c>
      <c r="J1312" s="2" t="s">
        <v>20</v>
      </c>
      <c r="K1312" s="1">
        <v>282.60000000000002</v>
      </c>
      <c r="L1312" s="3">
        <v>45510</v>
      </c>
    </row>
    <row r="1313" spans="1:12" x14ac:dyDescent="0.25">
      <c r="A1313" s="1">
        <v>102189</v>
      </c>
      <c r="B1313" s="2" t="s">
        <v>1026</v>
      </c>
      <c r="C1313" s="2" t="s">
        <v>244</v>
      </c>
      <c r="D1313" s="2" t="s">
        <v>50</v>
      </c>
      <c r="E1313" s="2" t="s">
        <v>55</v>
      </c>
      <c r="F1313" s="2" t="s">
        <v>42</v>
      </c>
      <c r="G1313" s="1">
        <v>109</v>
      </c>
      <c r="H1313" s="1">
        <v>560</v>
      </c>
      <c r="I1313" s="2" t="s">
        <v>32</v>
      </c>
      <c r="J1313" s="2" t="s">
        <v>20</v>
      </c>
      <c r="K1313" s="1">
        <v>212.48</v>
      </c>
      <c r="L1313" s="3">
        <v>45510</v>
      </c>
    </row>
    <row r="1314" spans="1:12" x14ac:dyDescent="0.25">
      <c r="A1314" s="1">
        <v>101480</v>
      </c>
      <c r="B1314" s="2" t="s">
        <v>355</v>
      </c>
      <c r="C1314" s="2" t="s">
        <v>244</v>
      </c>
      <c r="D1314" s="2" t="s">
        <v>16</v>
      </c>
      <c r="E1314" s="2" t="s">
        <v>17</v>
      </c>
      <c r="F1314" s="2" t="s">
        <v>25</v>
      </c>
      <c r="G1314" s="1">
        <v>12</v>
      </c>
      <c r="H1314" s="1">
        <v>746</v>
      </c>
      <c r="I1314" s="2" t="s">
        <v>19</v>
      </c>
      <c r="J1314" s="2" t="s">
        <v>20</v>
      </c>
      <c r="K1314" s="1">
        <v>190.03</v>
      </c>
      <c r="L1314" s="3">
        <v>45510</v>
      </c>
    </row>
    <row r="1315" spans="1:12" x14ac:dyDescent="0.25">
      <c r="A1315" s="1">
        <v>102012</v>
      </c>
      <c r="B1315" s="2" t="s">
        <v>728</v>
      </c>
      <c r="C1315" s="2" t="s">
        <v>85</v>
      </c>
      <c r="D1315" s="2" t="s">
        <v>41</v>
      </c>
      <c r="E1315" s="2" t="s">
        <v>55</v>
      </c>
      <c r="F1315" s="2" t="s">
        <v>18</v>
      </c>
      <c r="G1315" s="1">
        <v>0</v>
      </c>
      <c r="H1315" s="1">
        <v>653</v>
      </c>
      <c r="I1315" s="2" t="s">
        <v>56</v>
      </c>
      <c r="J1315" s="2" t="s">
        <v>26</v>
      </c>
      <c r="K1315" s="1">
        <v>152.63999999999999</v>
      </c>
      <c r="L1315" s="3">
        <v>45510</v>
      </c>
    </row>
    <row r="1316" spans="1:12" x14ac:dyDescent="0.25">
      <c r="A1316" s="1">
        <v>100949</v>
      </c>
      <c r="B1316" s="2" t="s">
        <v>1022</v>
      </c>
      <c r="C1316" s="2" t="s">
        <v>270</v>
      </c>
      <c r="D1316" s="2" t="s">
        <v>106</v>
      </c>
      <c r="E1316" s="2" t="s">
        <v>78</v>
      </c>
      <c r="F1316" s="2" t="s">
        <v>25</v>
      </c>
      <c r="G1316" s="1">
        <v>7</v>
      </c>
      <c r="H1316" s="1">
        <v>383</v>
      </c>
      <c r="I1316" s="2" t="s">
        <v>35</v>
      </c>
      <c r="J1316" s="2" t="s">
        <v>26</v>
      </c>
      <c r="K1316" s="1">
        <v>720.89</v>
      </c>
      <c r="L1316" s="3">
        <v>45509</v>
      </c>
    </row>
    <row r="1317" spans="1:12" x14ac:dyDescent="0.25">
      <c r="A1317" s="1">
        <v>101557</v>
      </c>
      <c r="B1317" s="2" t="s">
        <v>820</v>
      </c>
      <c r="C1317" s="2" t="s">
        <v>22</v>
      </c>
      <c r="D1317" s="2" t="s">
        <v>41</v>
      </c>
      <c r="E1317" s="2" t="s">
        <v>60</v>
      </c>
      <c r="F1317" s="2" t="s">
        <v>18</v>
      </c>
      <c r="G1317" s="1">
        <v>0</v>
      </c>
      <c r="H1317" s="1">
        <v>621</v>
      </c>
      <c r="I1317" s="2" t="s">
        <v>37</v>
      </c>
      <c r="J1317" s="2" t="s">
        <v>35</v>
      </c>
      <c r="K1317" s="1">
        <v>328.33</v>
      </c>
      <c r="L1317" s="3">
        <v>45509</v>
      </c>
    </row>
    <row r="1318" spans="1:12" x14ac:dyDescent="0.25">
      <c r="A1318" s="1">
        <v>100664</v>
      </c>
      <c r="B1318" s="2" t="s">
        <v>243</v>
      </c>
      <c r="C1318" s="2" t="s">
        <v>244</v>
      </c>
      <c r="D1318" s="2" t="s">
        <v>64</v>
      </c>
      <c r="E1318" s="2" t="s">
        <v>55</v>
      </c>
      <c r="F1318" s="2" t="s">
        <v>83</v>
      </c>
      <c r="G1318" s="1">
        <v>0</v>
      </c>
      <c r="H1318" s="1">
        <v>729</v>
      </c>
      <c r="I1318" s="2" t="s">
        <v>56</v>
      </c>
      <c r="J1318" s="2" t="s">
        <v>20</v>
      </c>
      <c r="K1318" s="1">
        <v>262.27999999999997</v>
      </c>
      <c r="L1318" s="3">
        <v>45509</v>
      </c>
    </row>
    <row r="1319" spans="1:12" x14ac:dyDescent="0.25">
      <c r="A1319" s="1">
        <v>101681</v>
      </c>
      <c r="B1319" s="2" t="s">
        <v>786</v>
      </c>
      <c r="C1319" s="2" t="s">
        <v>95</v>
      </c>
      <c r="D1319" s="2" t="s">
        <v>50</v>
      </c>
      <c r="E1319" s="2" t="s">
        <v>60</v>
      </c>
      <c r="F1319" s="2" t="s">
        <v>25</v>
      </c>
      <c r="G1319" s="1">
        <v>10</v>
      </c>
      <c r="H1319" s="1">
        <v>835</v>
      </c>
      <c r="I1319" s="2" t="s">
        <v>37</v>
      </c>
      <c r="J1319" s="2" t="s">
        <v>26</v>
      </c>
      <c r="K1319" s="1">
        <v>249.22</v>
      </c>
      <c r="L1319" s="3">
        <v>45509</v>
      </c>
    </row>
    <row r="1320" spans="1:12" x14ac:dyDescent="0.25">
      <c r="A1320" s="1">
        <v>100732</v>
      </c>
      <c r="B1320" s="2" t="s">
        <v>129</v>
      </c>
      <c r="C1320" s="2" t="s">
        <v>13</v>
      </c>
      <c r="D1320" s="2" t="s">
        <v>64</v>
      </c>
      <c r="E1320" s="2" t="s">
        <v>70</v>
      </c>
      <c r="F1320" s="2" t="s">
        <v>25</v>
      </c>
      <c r="G1320" s="1">
        <v>14</v>
      </c>
      <c r="H1320" s="1">
        <v>336</v>
      </c>
      <c r="I1320" s="2" t="s">
        <v>19</v>
      </c>
      <c r="J1320" s="2" t="s">
        <v>33</v>
      </c>
      <c r="K1320" s="1">
        <v>1397.6</v>
      </c>
      <c r="L1320" s="3">
        <v>45508</v>
      </c>
    </row>
    <row r="1321" spans="1:12" x14ac:dyDescent="0.25">
      <c r="A1321" s="1">
        <v>101191</v>
      </c>
      <c r="B1321" s="2" t="s">
        <v>625</v>
      </c>
      <c r="C1321" s="2" t="s">
        <v>152</v>
      </c>
      <c r="D1321" s="2" t="s">
        <v>16</v>
      </c>
      <c r="E1321" s="2" t="s">
        <v>31</v>
      </c>
      <c r="F1321" s="2" t="s">
        <v>83</v>
      </c>
      <c r="G1321" s="1">
        <v>0</v>
      </c>
      <c r="H1321" s="1">
        <v>678</v>
      </c>
      <c r="I1321" s="2" t="s">
        <v>56</v>
      </c>
      <c r="J1321" s="2" t="s">
        <v>26</v>
      </c>
      <c r="K1321" s="1">
        <v>378.17</v>
      </c>
      <c r="L1321" s="3">
        <v>45508</v>
      </c>
    </row>
    <row r="1322" spans="1:12" x14ac:dyDescent="0.25">
      <c r="A1322" s="1">
        <v>100668</v>
      </c>
      <c r="B1322" s="2" t="s">
        <v>21</v>
      </c>
      <c r="C1322" s="2" t="s">
        <v>22</v>
      </c>
      <c r="D1322" s="2" t="s">
        <v>64</v>
      </c>
      <c r="E1322" s="2" t="s">
        <v>31</v>
      </c>
      <c r="F1322" s="2" t="s">
        <v>18</v>
      </c>
      <c r="G1322" s="1">
        <v>0</v>
      </c>
      <c r="H1322" s="1">
        <v>771</v>
      </c>
      <c r="I1322" s="2" t="s">
        <v>32</v>
      </c>
      <c r="J1322" s="2" t="s">
        <v>20</v>
      </c>
      <c r="K1322" s="1">
        <v>494.63</v>
      </c>
      <c r="L1322" s="3">
        <v>45507</v>
      </c>
    </row>
    <row r="1323" spans="1:12" x14ac:dyDescent="0.25">
      <c r="A1323" s="1">
        <v>100536</v>
      </c>
      <c r="B1323" s="2" t="s">
        <v>1026</v>
      </c>
      <c r="C1323" s="2" t="s">
        <v>244</v>
      </c>
      <c r="D1323" s="2" t="s">
        <v>41</v>
      </c>
      <c r="E1323" s="2" t="s">
        <v>31</v>
      </c>
      <c r="F1323" s="2" t="s">
        <v>42</v>
      </c>
      <c r="G1323" s="1">
        <v>44</v>
      </c>
      <c r="H1323" s="1">
        <v>560</v>
      </c>
      <c r="I1323" s="2" t="s">
        <v>45</v>
      </c>
      <c r="J1323" s="2" t="s">
        <v>26</v>
      </c>
      <c r="K1323" s="1">
        <v>33.47</v>
      </c>
      <c r="L1323" s="3">
        <v>45507</v>
      </c>
    </row>
    <row r="1324" spans="1:12" x14ac:dyDescent="0.25">
      <c r="A1324" s="1">
        <v>100325</v>
      </c>
      <c r="B1324" s="2" t="s">
        <v>294</v>
      </c>
      <c r="C1324" s="2" t="s">
        <v>100</v>
      </c>
      <c r="D1324" s="2" t="s">
        <v>16</v>
      </c>
      <c r="E1324" s="2" t="s">
        <v>78</v>
      </c>
      <c r="F1324" s="2" t="s">
        <v>18</v>
      </c>
      <c r="G1324" s="1">
        <v>0</v>
      </c>
      <c r="H1324" s="1">
        <v>377</v>
      </c>
      <c r="I1324" s="2" t="s">
        <v>45</v>
      </c>
      <c r="J1324" s="2" t="s">
        <v>20</v>
      </c>
      <c r="K1324" s="1">
        <v>244.55</v>
      </c>
      <c r="L1324" s="3">
        <v>45506</v>
      </c>
    </row>
    <row r="1325" spans="1:12" x14ac:dyDescent="0.25">
      <c r="A1325" s="1">
        <v>100781</v>
      </c>
      <c r="B1325" s="2" t="s">
        <v>388</v>
      </c>
      <c r="C1325" s="2" t="s">
        <v>142</v>
      </c>
      <c r="D1325" s="2" t="s">
        <v>41</v>
      </c>
      <c r="E1325" s="2" t="s">
        <v>17</v>
      </c>
      <c r="F1325" s="2" t="s">
        <v>18</v>
      </c>
      <c r="G1325" s="1">
        <v>0</v>
      </c>
      <c r="H1325" s="1">
        <v>662</v>
      </c>
      <c r="I1325" s="2" t="s">
        <v>32</v>
      </c>
      <c r="J1325" s="2" t="s">
        <v>26</v>
      </c>
      <c r="K1325" s="1">
        <v>229.73</v>
      </c>
      <c r="L1325" s="3">
        <v>45506</v>
      </c>
    </row>
    <row r="1326" spans="1:12" x14ac:dyDescent="0.25">
      <c r="A1326" s="1">
        <v>101924</v>
      </c>
      <c r="B1326" s="2" t="s">
        <v>497</v>
      </c>
      <c r="C1326" s="2" t="s">
        <v>142</v>
      </c>
      <c r="D1326" s="2" t="s">
        <v>64</v>
      </c>
      <c r="E1326" s="2" t="s">
        <v>60</v>
      </c>
      <c r="F1326" s="2" t="s">
        <v>18</v>
      </c>
      <c r="G1326" s="1">
        <v>0</v>
      </c>
      <c r="H1326" s="1">
        <v>465</v>
      </c>
      <c r="I1326" s="2" t="s">
        <v>56</v>
      </c>
      <c r="J1326" s="2" t="s">
        <v>20</v>
      </c>
      <c r="K1326" s="1">
        <v>136.84</v>
      </c>
      <c r="L1326" s="3">
        <v>45506</v>
      </c>
    </row>
    <row r="1327" spans="1:12" x14ac:dyDescent="0.25">
      <c r="A1327" s="1">
        <v>101457</v>
      </c>
      <c r="B1327" s="2" t="s">
        <v>61</v>
      </c>
      <c r="C1327" s="2" t="s">
        <v>62</v>
      </c>
      <c r="D1327" s="2" t="s">
        <v>50</v>
      </c>
      <c r="E1327" s="2" t="s">
        <v>70</v>
      </c>
      <c r="F1327" s="2" t="s">
        <v>18</v>
      </c>
      <c r="G1327" s="1">
        <v>0</v>
      </c>
      <c r="H1327" s="1">
        <v>542</v>
      </c>
      <c r="I1327" s="2" t="s">
        <v>32</v>
      </c>
      <c r="J1327" s="2" t="s">
        <v>20</v>
      </c>
      <c r="K1327" s="1">
        <v>126.69</v>
      </c>
      <c r="L1327" s="3">
        <v>45506</v>
      </c>
    </row>
    <row r="1328" spans="1:12" x14ac:dyDescent="0.25">
      <c r="A1328" s="1">
        <v>100431</v>
      </c>
      <c r="B1328" s="2" t="s">
        <v>601</v>
      </c>
      <c r="C1328" s="2" t="s">
        <v>100</v>
      </c>
      <c r="D1328" s="2" t="s">
        <v>64</v>
      </c>
      <c r="E1328" s="2" t="s">
        <v>78</v>
      </c>
      <c r="F1328" s="2" t="s">
        <v>18</v>
      </c>
      <c r="G1328" s="1">
        <v>0</v>
      </c>
      <c r="H1328" s="1">
        <v>849</v>
      </c>
      <c r="I1328" s="2" t="s">
        <v>56</v>
      </c>
      <c r="J1328" s="2" t="s">
        <v>26</v>
      </c>
      <c r="K1328" s="1">
        <v>95.2</v>
      </c>
      <c r="L1328" s="3">
        <v>45505</v>
      </c>
    </row>
    <row r="1329" spans="1:12" x14ac:dyDescent="0.25">
      <c r="A1329" s="1">
        <v>102175</v>
      </c>
      <c r="B1329" s="2" t="s">
        <v>325</v>
      </c>
      <c r="C1329" s="2" t="s">
        <v>126</v>
      </c>
      <c r="D1329" s="2" t="s">
        <v>41</v>
      </c>
      <c r="E1329" s="2" t="s">
        <v>31</v>
      </c>
      <c r="F1329" s="2" t="s">
        <v>25</v>
      </c>
      <c r="G1329" s="1">
        <v>16</v>
      </c>
      <c r="H1329" s="1">
        <v>570</v>
      </c>
      <c r="I1329" s="2" t="s">
        <v>56</v>
      </c>
      <c r="J1329" s="2" t="s">
        <v>20</v>
      </c>
      <c r="K1329" s="1">
        <v>631.82000000000005</v>
      </c>
      <c r="L1329" s="3">
        <v>45504</v>
      </c>
    </row>
    <row r="1330" spans="1:12" x14ac:dyDescent="0.25">
      <c r="A1330" s="1">
        <v>100318</v>
      </c>
      <c r="B1330" s="2" t="s">
        <v>225</v>
      </c>
      <c r="C1330" s="2" t="s">
        <v>142</v>
      </c>
      <c r="D1330" s="2" t="s">
        <v>41</v>
      </c>
      <c r="E1330" s="2" t="s">
        <v>17</v>
      </c>
      <c r="F1330" s="2" t="s">
        <v>42</v>
      </c>
      <c r="G1330" s="1">
        <v>136</v>
      </c>
      <c r="H1330" s="1">
        <v>741</v>
      </c>
      <c r="I1330" s="2" t="s">
        <v>19</v>
      </c>
      <c r="J1330" s="2" t="s">
        <v>33</v>
      </c>
      <c r="K1330" s="1">
        <v>498.84</v>
      </c>
      <c r="L1330" s="3">
        <v>45504</v>
      </c>
    </row>
    <row r="1331" spans="1:12" x14ac:dyDescent="0.25">
      <c r="A1331" s="1">
        <v>102013</v>
      </c>
      <c r="B1331" s="2" t="s">
        <v>347</v>
      </c>
      <c r="C1331" s="2" t="s">
        <v>95</v>
      </c>
      <c r="D1331" s="2" t="s">
        <v>50</v>
      </c>
      <c r="E1331" s="2" t="s">
        <v>31</v>
      </c>
      <c r="F1331" s="2" t="s">
        <v>18</v>
      </c>
      <c r="G1331" s="1">
        <v>0</v>
      </c>
      <c r="H1331" s="1">
        <v>699</v>
      </c>
      <c r="I1331" s="2" t="s">
        <v>56</v>
      </c>
      <c r="J1331" s="2" t="s">
        <v>33</v>
      </c>
      <c r="K1331" s="1">
        <v>81.48</v>
      </c>
      <c r="L1331" s="3">
        <v>45504</v>
      </c>
    </row>
    <row r="1332" spans="1:12" x14ac:dyDescent="0.25">
      <c r="A1332" s="1">
        <v>100867</v>
      </c>
      <c r="B1332" s="2" t="s">
        <v>431</v>
      </c>
      <c r="C1332" s="2" t="s">
        <v>28</v>
      </c>
      <c r="D1332" s="2" t="s">
        <v>64</v>
      </c>
      <c r="E1332" s="2" t="s">
        <v>70</v>
      </c>
      <c r="F1332" s="2" t="s">
        <v>83</v>
      </c>
      <c r="G1332" s="1">
        <v>0</v>
      </c>
      <c r="H1332" s="1">
        <v>691</v>
      </c>
      <c r="I1332" s="2" t="s">
        <v>45</v>
      </c>
      <c r="J1332" s="2" t="s">
        <v>20</v>
      </c>
      <c r="K1332" s="1">
        <v>76.62</v>
      </c>
      <c r="L1332" s="3">
        <v>45504</v>
      </c>
    </row>
    <row r="1333" spans="1:12" x14ac:dyDescent="0.25">
      <c r="A1333" s="1">
        <v>100499</v>
      </c>
      <c r="B1333" s="2" t="s">
        <v>21</v>
      </c>
      <c r="C1333" s="2" t="s">
        <v>22</v>
      </c>
      <c r="D1333" s="2" t="s">
        <v>106</v>
      </c>
      <c r="E1333" s="2" t="s">
        <v>78</v>
      </c>
      <c r="F1333" s="2" t="s">
        <v>18</v>
      </c>
      <c r="G1333" s="1">
        <v>0</v>
      </c>
      <c r="H1333" s="1">
        <v>771</v>
      </c>
      <c r="I1333" s="2" t="s">
        <v>45</v>
      </c>
      <c r="J1333" s="2" t="s">
        <v>33</v>
      </c>
      <c r="K1333" s="1">
        <v>294.33999999999997</v>
      </c>
      <c r="L1333" s="3">
        <v>45503</v>
      </c>
    </row>
    <row r="1334" spans="1:12" x14ac:dyDescent="0.25">
      <c r="A1334" s="1">
        <v>101602</v>
      </c>
      <c r="B1334" s="2" t="s">
        <v>315</v>
      </c>
      <c r="C1334" s="2" t="s">
        <v>22</v>
      </c>
      <c r="D1334" s="2" t="s">
        <v>16</v>
      </c>
      <c r="E1334" s="2" t="s">
        <v>31</v>
      </c>
      <c r="F1334" s="2" t="s">
        <v>18</v>
      </c>
      <c r="G1334" s="1">
        <v>0</v>
      </c>
      <c r="H1334" s="1">
        <v>509</v>
      </c>
      <c r="I1334" s="2" t="s">
        <v>56</v>
      </c>
      <c r="J1334" s="2" t="s">
        <v>20</v>
      </c>
      <c r="K1334" s="1">
        <v>227.48</v>
      </c>
      <c r="L1334" s="3">
        <v>45503</v>
      </c>
    </row>
    <row r="1335" spans="1:12" x14ac:dyDescent="0.25">
      <c r="A1335" s="1">
        <v>102153</v>
      </c>
      <c r="B1335" s="2" t="s">
        <v>282</v>
      </c>
      <c r="C1335" s="2" t="s">
        <v>152</v>
      </c>
      <c r="D1335" s="2" t="s">
        <v>64</v>
      </c>
      <c r="E1335" s="2" t="s">
        <v>81</v>
      </c>
      <c r="F1335" s="2" t="s">
        <v>18</v>
      </c>
      <c r="G1335" s="1">
        <v>0</v>
      </c>
      <c r="H1335" s="1">
        <v>301</v>
      </c>
      <c r="I1335" s="2" t="s">
        <v>45</v>
      </c>
      <c r="J1335" s="2" t="s">
        <v>20</v>
      </c>
      <c r="K1335" s="1">
        <v>161.16</v>
      </c>
      <c r="L1335" s="3">
        <v>45503</v>
      </c>
    </row>
    <row r="1336" spans="1:12" x14ac:dyDescent="0.25">
      <c r="A1336" s="1">
        <v>100451</v>
      </c>
      <c r="B1336" s="2" t="s">
        <v>805</v>
      </c>
      <c r="C1336" s="2" t="s">
        <v>62</v>
      </c>
      <c r="D1336" s="2" t="s">
        <v>16</v>
      </c>
      <c r="E1336" s="2" t="s">
        <v>78</v>
      </c>
      <c r="F1336" s="2" t="s">
        <v>42</v>
      </c>
      <c r="G1336" s="1">
        <v>119</v>
      </c>
      <c r="H1336" s="1">
        <v>352</v>
      </c>
      <c r="I1336" s="2" t="s">
        <v>56</v>
      </c>
      <c r="J1336" s="2" t="s">
        <v>20</v>
      </c>
      <c r="K1336" s="1">
        <v>462.05</v>
      </c>
      <c r="L1336" s="3">
        <v>45502</v>
      </c>
    </row>
    <row r="1337" spans="1:12" x14ac:dyDescent="0.25">
      <c r="A1337" s="1">
        <v>101137</v>
      </c>
      <c r="B1337" s="2" t="s">
        <v>329</v>
      </c>
      <c r="C1337" s="2" t="s">
        <v>270</v>
      </c>
      <c r="D1337" s="2" t="s">
        <v>16</v>
      </c>
      <c r="E1337" s="2" t="s">
        <v>81</v>
      </c>
      <c r="F1337" s="2" t="s">
        <v>18</v>
      </c>
      <c r="G1337" s="1">
        <v>0</v>
      </c>
      <c r="H1337" s="1">
        <v>328</v>
      </c>
      <c r="I1337" s="2" t="s">
        <v>19</v>
      </c>
      <c r="J1337" s="2" t="s">
        <v>20</v>
      </c>
      <c r="K1337" s="1">
        <v>442.04</v>
      </c>
      <c r="L1337" s="3">
        <v>45502</v>
      </c>
    </row>
    <row r="1338" spans="1:12" x14ac:dyDescent="0.25">
      <c r="A1338" s="1">
        <v>101200</v>
      </c>
      <c r="B1338" s="2" t="s">
        <v>678</v>
      </c>
      <c r="C1338" s="2" t="s">
        <v>270</v>
      </c>
      <c r="D1338" s="2" t="s">
        <v>16</v>
      </c>
      <c r="E1338" s="2" t="s">
        <v>78</v>
      </c>
      <c r="F1338" s="2" t="s">
        <v>25</v>
      </c>
      <c r="G1338" s="1">
        <v>23</v>
      </c>
      <c r="H1338" s="1">
        <v>883</v>
      </c>
      <c r="I1338" s="2" t="s">
        <v>32</v>
      </c>
      <c r="J1338" s="2" t="s">
        <v>26</v>
      </c>
      <c r="K1338" s="1">
        <v>395.99</v>
      </c>
      <c r="L1338" s="3">
        <v>45502</v>
      </c>
    </row>
    <row r="1339" spans="1:12" x14ac:dyDescent="0.25">
      <c r="A1339" s="1">
        <v>100628</v>
      </c>
      <c r="B1339" s="2" t="s">
        <v>282</v>
      </c>
      <c r="C1339" s="2" t="s">
        <v>152</v>
      </c>
      <c r="D1339" s="2" t="s">
        <v>41</v>
      </c>
      <c r="E1339" s="2" t="s">
        <v>31</v>
      </c>
      <c r="F1339" s="2" t="s">
        <v>83</v>
      </c>
      <c r="G1339" s="1" t="s">
        <v>35</v>
      </c>
      <c r="H1339" s="1">
        <v>301</v>
      </c>
      <c r="I1339" s="2" t="s">
        <v>35</v>
      </c>
      <c r="J1339" s="2" t="s">
        <v>26</v>
      </c>
      <c r="K1339" s="1">
        <v>326.93</v>
      </c>
      <c r="L1339" s="3">
        <v>45502</v>
      </c>
    </row>
    <row r="1340" spans="1:12" x14ac:dyDescent="0.25">
      <c r="A1340" s="1">
        <v>100835</v>
      </c>
      <c r="B1340" s="2" t="s">
        <v>38</v>
      </c>
      <c r="C1340" s="2" t="s">
        <v>39</v>
      </c>
      <c r="D1340" s="2" t="s">
        <v>16</v>
      </c>
      <c r="E1340" s="2" t="s">
        <v>81</v>
      </c>
      <c r="F1340" s="2" t="s">
        <v>18</v>
      </c>
      <c r="G1340" s="1">
        <v>0</v>
      </c>
      <c r="H1340" s="1">
        <v>533</v>
      </c>
      <c r="I1340" s="2" t="s">
        <v>45</v>
      </c>
      <c r="J1340" s="2" t="s">
        <v>20</v>
      </c>
      <c r="K1340" s="1">
        <v>177.58</v>
      </c>
      <c r="L1340" s="3">
        <v>45502</v>
      </c>
    </row>
    <row r="1341" spans="1:12" x14ac:dyDescent="0.25">
      <c r="A1341" s="1">
        <v>100515</v>
      </c>
      <c r="B1341" s="2" t="s">
        <v>592</v>
      </c>
      <c r="C1341" s="2" t="s">
        <v>47</v>
      </c>
      <c r="D1341" s="2" t="s">
        <v>50</v>
      </c>
      <c r="E1341" s="2" t="s">
        <v>78</v>
      </c>
      <c r="F1341" s="2" t="s">
        <v>18</v>
      </c>
      <c r="G1341" s="1">
        <v>0</v>
      </c>
      <c r="H1341" s="1">
        <v>332</v>
      </c>
      <c r="I1341" s="2" t="s">
        <v>37</v>
      </c>
      <c r="J1341" s="2" t="s">
        <v>20</v>
      </c>
      <c r="K1341" s="1">
        <v>296.55</v>
      </c>
      <c r="L1341" s="3">
        <v>45501</v>
      </c>
    </row>
    <row r="1342" spans="1:12" x14ac:dyDescent="0.25">
      <c r="A1342" s="1">
        <v>101474</v>
      </c>
      <c r="B1342" s="2" t="s">
        <v>131</v>
      </c>
      <c r="C1342" s="2" t="s">
        <v>39</v>
      </c>
      <c r="D1342" s="2" t="s">
        <v>50</v>
      </c>
      <c r="E1342" s="2" t="s">
        <v>31</v>
      </c>
      <c r="F1342" s="2" t="s">
        <v>83</v>
      </c>
      <c r="G1342" s="1">
        <v>0</v>
      </c>
      <c r="H1342" s="1">
        <v>867</v>
      </c>
      <c r="I1342" s="2" t="s">
        <v>56</v>
      </c>
      <c r="J1342" s="2" t="s">
        <v>26</v>
      </c>
      <c r="K1342" s="1">
        <v>252.87</v>
      </c>
      <c r="L1342" s="3">
        <v>45501</v>
      </c>
    </row>
    <row r="1343" spans="1:12" x14ac:dyDescent="0.25">
      <c r="A1343" s="1">
        <v>101582</v>
      </c>
      <c r="B1343" s="2" t="s">
        <v>204</v>
      </c>
      <c r="C1343" s="2" t="s">
        <v>152</v>
      </c>
      <c r="D1343" s="2" t="s">
        <v>50</v>
      </c>
      <c r="E1343" s="2" t="s">
        <v>55</v>
      </c>
      <c r="F1343" s="2" t="s">
        <v>18</v>
      </c>
      <c r="G1343" s="1">
        <v>0</v>
      </c>
      <c r="H1343" s="1">
        <v>362</v>
      </c>
      <c r="I1343" s="2" t="s">
        <v>45</v>
      </c>
      <c r="J1343" s="2" t="s">
        <v>26</v>
      </c>
      <c r="K1343" s="1">
        <v>392.18</v>
      </c>
      <c r="L1343" s="3">
        <v>45500</v>
      </c>
    </row>
    <row r="1344" spans="1:12" x14ac:dyDescent="0.25">
      <c r="A1344" s="1">
        <v>102144</v>
      </c>
      <c r="B1344" s="2" t="s">
        <v>534</v>
      </c>
      <c r="C1344" s="2" t="s">
        <v>39</v>
      </c>
      <c r="D1344" s="2" t="s">
        <v>50</v>
      </c>
      <c r="E1344" s="2" t="s">
        <v>70</v>
      </c>
      <c r="F1344" s="2" t="s">
        <v>18</v>
      </c>
      <c r="G1344" s="1">
        <v>0</v>
      </c>
      <c r="H1344" s="1">
        <v>592</v>
      </c>
      <c r="I1344" s="2" t="s">
        <v>37</v>
      </c>
      <c r="J1344" s="2" t="s">
        <v>33</v>
      </c>
      <c r="K1344" s="1">
        <v>928.8</v>
      </c>
      <c r="L1344" s="3">
        <v>45499</v>
      </c>
    </row>
    <row r="1345" spans="1:12" x14ac:dyDescent="0.25">
      <c r="A1345" s="1">
        <v>101869</v>
      </c>
      <c r="B1345" s="2" t="s">
        <v>504</v>
      </c>
      <c r="C1345" s="2" t="s">
        <v>187</v>
      </c>
      <c r="D1345" s="2" t="s">
        <v>64</v>
      </c>
      <c r="E1345" s="2" t="s">
        <v>17</v>
      </c>
      <c r="F1345" s="2" t="s">
        <v>25</v>
      </c>
      <c r="G1345" s="1">
        <v>6</v>
      </c>
      <c r="H1345" s="1">
        <v>494</v>
      </c>
      <c r="I1345" s="2" t="s">
        <v>56</v>
      </c>
      <c r="J1345" s="2" t="s">
        <v>20</v>
      </c>
      <c r="K1345" s="1">
        <v>444.43</v>
      </c>
      <c r="L1345" s="3">
        <v>45499</v>
      </c>
    </row>
    <row r="1346" spans="1:12" x14ac:dyDescent="0.25">
      <c r="A1346" s="1">
        <v>100405</v>
      </c>
      <c r="B1346" s="2" t="s">
        <v>525</v>
      </c>
      <c r="C1346" s="2" t="s">
        <v>58</v>
      </c>
      <c r="D1346" s="2" t="s">
        <v>50</v>
      </c>
      <c r="E1346" s="2" t="s">
        <v>31</v>
      </c>
      <c r="F1346" s="2" t="s">
        <v>18</v>
      </c>
      <c r="G1346" s="1" t="s">
        <v>35</v>
      </c>
      <c r="H1346" s="1">
        <v>501</v>
      </c>
      <c r="I1346" s="2" t="s">
        <v>19</v>
      </c>
      <c r="J1346" s="2" t="s">
        <v>20</v>
      </c>
      <c r="K1346" s="1">
        <v>665.64</v>
      </c>
      <c r="L1346" s="3">
        <v>45498</v>
      </c>
    </row>
    <row r="1347" spans="1:12" x14ac:dyDescent="0.25">
      <c r="A1347" s="1">
        <v>100482</v>
      </c>
      <c r="B1347" s="2" t="s">
        <v>625</v>
      </c>
      <c r="C1347" s="2" t="s">
        <v>152</v>
      </c>
      <c r="D1347" s="2" t="s">
        <v>16</v>
      </c>
      <c r="E1347" s="2" t="s">
        <v>78</v>
      </c>
      <c r="F1347" s="2" t="s">
        <v>18</v>
      </c>
      <c r="G1347" s="1">
        <v>0</v>
      </c>
      <c r="H1347" s="1">
        <v>678</v>
      </c>
      <c r="I1347" s="2" t="s">
        <v>32</v>
      </c>
      <c r="J1347" s="2" t="s">
        <v>20</v>
      </c>
      <c r="K1347" s="1">
        <v>439.09</v>
      </c>
      <c r="L1347" s="3">
        <v>45498</v>
      </c>
    </row>
    <row r="1348" spans="1:12" x14ac:dyDescent="0.25">
      <c r="A1348" s="1">
        <v>100827</v>
      </c>
      <c r="B1348" s="2" t="s">
        <v>118</v>
      </c>
      <c r="C1348" s="2" t="s">
        <v>62</v>
      </c>
      <c r="D1348" s="2" t="s">
        <v>16</v>
      </c>
      <c r="E1348" s="2" t="s">
        <v>31</v>
      </c>
      <c r="F1348" s="2" t="s">
        <v>25</v>
      </c>
      <c r="G1348" s="1">
        <v>18</v>
      </c>
      <c r="H1348" s="1">
        <v>463</v>
      </c>
      <c r="I1348" s="2" t="s">
        <v>56</v>
      </c>
      <c r="J1348" s="2" t="s">
        <v>20</v>
      </c>
      <c r="K1348" s="1">
        <v>303.08999999999997</v>
      </c>
      <c r="L1348" s="3">
        <v>45498</v>
      </c>
    </row>
    <row r="1349" spans="1:12" x14ac:dyDescent="0.25">
      <c r="A1349" s="1">
        <v>101606</v>
      </c>
      <c r="B1349" s="2" t="s">
        <v>786</v>
      </c>
      <c r="C1349" s="2" t="s">
        <v>95</v>
      </c>
      <c r="D1349" s="2" t="s">
        <v>50</v>
      </c>
      <c r="E1349" s="2" t="s">
        <v>17</v>
      </c>
      <c r="F1349" s="2" t="s">
        <v>25</v>
      </c>
      <c r="G1349" s="1">
        <v>3</v>
      </c>
      <c r="H1349" s="1">
        <v>835</v>
      </c>
      <c r="I1349" s="2" t="s">
        <v>19</v>
      </c>
      <c r="J1349" s="2" t="s">
        <v>20</v>
      </c>
      <c r="K1349" s="1">
        <v>477.14</v>
      </c>
      <c r="L1349" s="3">
        <v>45497</v>
      </c>
    </row>
    <row r="1350" spans="1:12" x14ac:dyDescent="0.25">
      <c r="A1350" s="1">
        <v>100408</v>
      </c>
      <c r="B1350" s="2" t="s">
        <v>121</v>
      </c>
      <c r="C1350" s="2" t="s">
        <v>122</v>
      </c>
      <c r="D1350" s="2" t="s">
        <v>16</v>
      </c>
      <c r="E1350" s="2" t="s">
        <v>60</v>
      </c>
      <c r="F1350" s="2" t="s">
        <v>25</v>
      </c>
      <c r="G1350" s="1">
        <v>15</v>
      </c>
      <c r="H1350" s="1">
        <v>823</v>
      </c>
      <c r="I1350" s="2" t="s">
        <v>45</v>
      </c>
      <c r="J1350" s="2" t="s">
        <v>20</v>
      </c>
      <c r="K1350" s="1">
        <v>40.03</v>
      </c>
      <c r="L1350" s="3">
        <v>45497</v>
      </c>
    </row>
    <row r="1351" spans="1:12" x14ac:dyDescent="0.25">
      <c r="A1351" s="1">
        <v>101661</v>
      </c>
      <c r="B1351" s="2" t="s">
        <v>65</v>
      </c>
      <c r="C1351" s="2" t="s">
        <v>35</v>
      </c>
      <c r="D1351" s="2" t="s">
        <v>50</v>
      </c>
      <c r="E1351" s="2" t="s">
        <v>78</v>
      </c>
      <c r="F1351" s="2" t="s">
        <v>18</v>
      </c>
      <c r="G1351" s="1">
        <v>0</v>
      </c>
      <c r="H1351" s="1">
        <v>542</v>
      </c>
      <c r="I1351" s="2" t="s">
        <v>45</v>
      </c>
      <c r="J1351" s="2" t="s">
        <v>26</v>
      </c>
      <c r="K1351" s="1">
        <v>863.9</v>
      </c>
      <c r="L1351" s="3">
        <v>45496</v>
      </c>
    </row>
    <row r="1352" spans="1:12" x14ac:dyDescent="0.25">
      <c r="A1352" s="1">
        <v>100966</v>
      </c>
      <c r="B1352" s="2" t="s">
        <v>94</v>
      </c>
      <c r="C1352" s="2" t="s">
        <v>95</v>
      </c>
      <c r="D1352" s="2" t="s">
        <v>106</v>
      </c>
      <c r="E1352" s="2" t="s">
        <v>17</v>
      </c>
      <c r="F1352" s="2" t="s">
        <v>83</v>
      </c>
      <c r="G1352" s="1">
        <v>0</v>
      </c>
      <c r="H1352" s="1">
        <v>360</v>
      </c>
      <c r="I1352" s="2" t="s">
        <v>37</v>
      </c>
      <c r="J1352" s="2" t="s">
        <v>33</v>
      </c>
      <c r="K1352" s="1">
        <v>542.41</v>
      </c>
      <c r="L1352" s="3">
        <v>45496</v>
      </c>
    </row>
    <row r="1353" spans="1:12" x14ac:dyDescent="0.25">
      <c r="A1353" s="1">
        <v>100203</v>
      </c>
      <c r="B1353" s="2" t="s">
        <v>616</v>
      </c>
      <c r="C1353" s="2" t="s">
        <v>95</v>
      </c>
      <c r="D1353" s="2" t="s">
        <v>106</v>
      </c>
      <c r="E1353" s="2" t="s">
        <v>17</v>
      </c>
      <c r="F1353" s="2" t="s">
        <v>83</v>
      </c>
      <c r="G1353" s="1">
        <v>0</v>
      </c>
      <c r="H1353" s="1">
        <v>898</v>
      </c>
      <c r="I1353" s="2" t="s">
        <v>35</v>
      </c>
      <c r="J1353" s="2" t="s">
        <v>33</v>
      </c>
      <c r="K1353" s="1">
        <v>396.36</v>
      </c>
      <c r="L1353" s="3">
        <v>45496</v>
      </c>
    </row>
    <row r="1354" spans="1:12" x14ac:dyDescent="0.25">
      <c r="A1354" s="1">
        <v>101998</v>
      </c>
      <c r="B1354" s="2" t="s">
        <v>625</v>
      </c>
      <c r="C1354" s="2" t="s">
        <v>152</v>
      </c>
      <c r="D1354" s="2" t="s">
        <v>41</v>
      </c>
      <c r="E1354" s="2" t="s">
        <v>17</v>
      </c>
      <c r="F1354" s="2" t="s">
        <v>18</v>
      </c>
      <c r="G1354" s="1">
        <v>0</v>
      </c>
      <c r="H1354" s="1">
        <v>678</v>
      </c>
      <c r="I1354" s="2" t="s">
        <v>37</v>
      </c>
      <c r="J1354" s="2" t="s">
        <v>20</v>
      </c>
      <c r="K1354" s="1">
        <v>283.10000000000002</v>
      </c>
      <c r="L1354" s="3">
        <v>45496</v>
      </c>
    </row>
    <row r="1355" spans="1:12" x14ac:dyDescent="0.25">
      <c r="A1355" s="1">
        <v>101199</v>
      </c>
      <c r="B1355" s="2" t="s">
        <v>734</v>
      </c>
      <c r="C1355" s="2" t="s">
        <v>218</v>
      </c>
      <c r="D1355" s="2" t="s">
        <v>106</v>
      </c>
      <c r="E1355" s="2" t="s">
        <v>31</v>
      </c>
      <c r="F1355" s="2" t="s">
        <v>18</v>
      </c>
      <c r="G1355" s="1">
        <v>0</v>
      </c>
      <c r="H1355" s="1">
        <v>865</v>
      </c>
      <c r="I1355" s="2" t="s">
        <v>37</v>
      </c>
      <c r="J1355" s="2" t="s">
        <v>26</v>
      </c>
      <c r="K1355" s="1">
        <v>341.16</v>
      </c>
      <c r="L1355" s="3">
        <v>45495</v>
      </c>
    </row>
    <row r="1356" spans="1:12" x14ac:dyDescent="0.25">
      <c r="A1356" s="1">
        <v>100418</v>
      </c>
      <c r="B1356" s="2" t="s">
        <v>429</v>
      </c>
      <c r="C1356" s="2" t="s">
        <v>52</v>
      </c>
      <c r="D1356" s="2" t="s">
        <v>16</v>
      </c>
      <c r="E1356" s="2" t="s">
        <v>60</v>
      </c>
      <c r="F1356" s="2" t="s">
        <v>18</v>
      </c>
      <c r="G1356" s="1">
        <v>0</v>
      </c>
      <c r="H1356" s="1">
        <v>568</v>
      </c>
      <c r="I1356" s="2" t="s">
        <v>56</v>
      </c>
      <c r="J1356" s="2" t="s">
        <v>33</v>
      </c>
      <c r="K1356" s="1">
        <v>219.97</v>
      </c>
      <c r="L1356" s="3">
        <v>45495</v>
      </c>
    </row>
    <row r="1357" spans="1:12" x14ac:dyDescent="0.25">
      <c r="A1357" s="1">
        <v>101118</v>
      </c>
      <c r="B1357" s="2" t="s">
        <v>866</v>
      </c>
      <c r="C1357" s="2" t="s">
        <v>168</v>
      </c>
      <c r="D1357" s="2" t="s">
        <v>41</v>
      </c>
      <c r="E1357" s="2" t="s">
        <v>31</v>
      </c>
      <c r="F1357" s="2" t="s">
        <v>25</v>
      </c>
      <c r="G1357" s="1">
        <v>15</v>
      </c>
      <c r="H1357" s="1">
        <v>458</v>
      </c>
      <c r="I1357" s="2" t="s">
        <v>56</v>
      </c>
      <c r="J1357" s="2" t="s">
        <v>20</v>
      </c>
      <c r="K1357" s="1">
        <v>176.37</v>
      </c>
      <c r="L1357" s="3">
        <v>45495</v>
      </c>
    </row>
    <row r="1358" spans="1:12" x14ac:dyDescent="0.25">
      <c r="A1358" s="1">
        <v>100848</v>
      </c>
      <c r="B1358" s="2" t="s">
        <v>151</v>
      </c>
      <c r="C1358" s="2" t="s">
        <v>152</v>
      </c>
      <c r="D1358" s="2" t="s">
        <v>106</v>
      </c>
      <c r="E1358" s="2" t="s">
        <v>17</v>
      </c>
      <c r="F1358" s="2" t="s">
        <v>83</v>
      </c>
      <c r="G1358" s="1">
        <v>0</v>
      </c>
      <c r="H1358" s="1">
        <v>534</v>
      </c>
      <c r="I1358" s="2" t="s">
        <v>37</v>
      </c>
      <c r="J1358" s="2" t="s">
        <v>20</v>
      </c>
      <c r="K1358" s="1">
        <v>1110.21</v>
      </c>
      <c r="L1358" s="3">
        <v>45494</v>
      </c>
    </row>
    <row r="1359" spans="1:12" x14ac:dyDescent="0.25">
      <c r="A1359" s="1">
        <v>101509</v>
      </c>
      <c r="B1359" s="2" t="s">
        <v>75</v>
      </c>
      <c r="C1359" s="2" t="s">
        <v>39</v>
      </c>
      <c r="D1359" s="2" t="s">
        <v>16</v>
      </c>
      <c r="E1359" s="2" t="s">
        <v>31</v>
      </c>
      <c r="F1359" s="2" t="s">
        <v>83</v>
      </c>
      <c r="G1359" s="1">
        <v>0</v>
      </c>
      <c r="H1359" s="1">
        <v>554</v>
      </c>
      <c r="I1359" s="2" t="s">
        <v>32</v>
      </c>
      <c r="J1359" s="2" t="s">
        <v>20</v>
      </c>
      <c r="K1359" s="1">
        <v>885.79</v>
      </c>
      <c r="L1359" s="3">
        <v>45494</v>
      </c>
    </row>
    <row r="1360" spans="1:12" x14ac:dyDescent="0.25">
      <c r="A1360" s="1">
        <v>101366</v>
      </c>
      <c r="B1360" s="2" t="s">
        <v>174</v>
      </c>
      <c r="C1360" s="2" t="s">
        <v>134</v>
      </c>
      <c r="D1360" s="2" t="s">
        <v>16</v>
      </c>
      <c r="E1360" s="2" t="s">
        <v>70</v>
      </c>
      <c r="F1360" s="2" t="s">
        <v>18</v>
      </c>
      <c r="G1360" s="1">
        <v>0</v>
      </c>
      <c r="H1360" s="1">
        <v>554</v>
      </c>
      <c r="I1360" s="2" t="s">
        <v>56</v>
      </c>
      <c r="J1360" s="2" t="s">
        <v>26</v>
      </c>
      <c r="K1360" s="1">
        <v>193.18</v>
      </c>
      <c r="L1360" s="3">
        <v>45494</v>
      </c>
    </row>
    <row r="1361" spans="1:12" x14ac:dyDescent="0.25">
      <c r="A1361" s="1">
        <v>100557</v>
      </c>
      <c r="B1361" s="2" t="s">
        <v>1435</v>
      </c>
      <c r="C1361" s="2" t="s">
        <v>47</v>
      </c>
      <c r="D1361" s="2" t="s">
        <v>16</v>
      </c>
      <c r="E1361" s="2" t="s">
        <v>31</v>
      </c>
      <c r="F1361" s="2" t="s">
        <v>18</v>
      </c>
      <c r="G1361" s="1">
        <v>0</v>
      </c>
      <c r="H1361" s="1">
        <v>744</v>
      </c>
      <c r="I1361" s="2" t="s">
        <v>37</v>
      </c>
      <c r="J1361" s="2" t="s">
        <v>20</v>
      </c>
      <c r="K1361" s="1">
        <v>97.4</v>
      </c>
      <c r="L1361" s="3">
        <v>45494</v>
      </c>
    </row>
    <row r="1362" spans="1:12" x14ac:dyDescent="0.25">
      <c r="A1362" s="1">
        <v>101526</v>
      </c>
      <c r="B1362" s="2" t="s">
        <v>259</v>
      </c>
      <c r="C1362" s="2" t="s">
        <v>218</v>
      </c>
      <c r="D1362" s="2" t="s">
        <v>106</v>
      </c>
      <c r="E1362" s="2" t="s">
        <v>31</v>
      </c>
      <c r="F1362" s="2" t="s">
        <v>83</v>
      </c>
      <c r="G1362" s="1">
        <v>0</v>
      </c>
      <c r="H1362" s="1">
        <v>732</v>
      </c>
      <c r="I1362" s="2" t="s">
        <v>19</v>
      </c>
      <c r="J1362" s="2" t="s">
        <v>20</v>
      </c>
      <c r="K1362" s="1">
        <v>592.80999999999995</v>
      </c>
      <c r="L1362" s="3">
        <v>45493</v>
      </c>
    </row>
    <row r="1363" spans="1:12" x14ac:dyDescent="0.25">
      <c r="A1363" s="1">
        <v>102044</v>
      </c>
      <c r="B1363" s="2" t="s">
        <v>807</v>
      </c>
      <c r="C1363" s="2" t="s">
        <v>85</v>
      </c>
      <c r="D1363" s="2" t="s">
        <v>16</v>
      </c>
      <c r="E1363" s="2" t="s">
        <v>60</v>
      </c>
      <c r="F1363" s="2" t="s">
        <v>42</v>
      </c>
      <c r="G1363" s="1">
        <v>154</v>
      </c>
      <c r="H1363" s="1">
        <v>443</v>
      </c>
      <c r="I1363" s="2" t="s">
        <v>37</v>
      </c>
      <c r="J1363" s="2" t="s">
        <v>20</v>
      </c>
      <c r="K1363" s="1">
        <v>405.41</v>
      </c>
      <c r="L1363" s="3">
        <v>45493</v>
      </c>
    </row>
    <row r="1364" spans="1:12" x14ac:dyDescent="0.25">
      <c r="A1364" s="1">
        <v>102108</v>
      </c>
      <c r="B1364" s="2" t="s">
        <v>307</v>
      </c>
      <c r="C1364" s="2" t="s">
        <v>58</v>
      </c>
      <c r="D1364" s="2" t="s">
        <v>64</v>
      </c>
      <c r="E1364" s="2" t="s">
        <v>55</v>
      </c>
      <c r="F1364" s="2" t="s">
        <v>18</v>
      </c>
      <c r="G1364" s="1">
        <v>0</v>
      </c>
      <c r="H1364" s="1">
        <v>616</v>
      </c>
      <c r="I1364" s="2" t="s">
        <v>19</v>
      </c>
      <c r="J1364" s="2" t="s">
        <v>20</v>
      </c>
      <c r="K1364" s="1">
        <v>390.91</v>
      </c>
      <c r="L1364" s="3">
        <v>45493</v>
      </c>
    </row>
    <row r="1365" spans="1:12" x14ac:dyDescent="0.25">
      <c r="A1365" s="1">
        <v>100842</v>
      </c>
      <c r="B1365" s="2" t="s">
        <v>667</v>
      </c>
      <c r="C1365" s="2" t="s">
        <v>122</v>
      </c>
      <c r="D1365" s="2" t="s">
        <v>16</v>
      </c>
      <c r="E1365" s="2" t="s">
        <v>31</v>
      </c>
      <c r="F1365" s="2" t="s">
        <v>18</v>
      </c>
      <c r="G1365" s="1">
        <v>0</v>
      </c>
      <c r="H1365" s="1">
        <v>896</v>
      </c>
      <c r="I1365" s="2" t="s">
        <v>32</v>
      </c>
      <c r="J1365" s="2" t="s">
        <v>20</v>
      </c>
      <c r="K1365" s="1">
        <v>62.36</v>
      </c>
      <c r="L1365" s="3">
        <v>45493</v>
      </c>
    </row>
    <row r="1366" spans="1:12" x14ac:dyDescent="0.25">
      <c r="A1366" s="1">
        <v>101627</v>
      </c>
      <c r="B1366" s="2" t="s">
        <v>131</v>
      </c>
      <c r="C1366" s="2" t="s">
        <v>39</v>
      </c>
      <c r="D1366" s="2" t="s">
        <v>16</v>
      </c>
      <c r="E1366" s="2" t="s">
        <v>17</v>
      </c>
      <c r="F1366" s="2" t="s">
        <v>18</v>
      </c>
      <c r="G1366" s="1">
        <v>0</v>
      </c>
      <c r="H1366" s="1">
        <v>867</v>
      </c>
      <c r="I1366" s="2" t="s">
        <v>56</v>
      </c>
      <c r="J1366" s="2" t="s">
        <v>26</v>
      </c>
      <c r="K1366" s="1">
        <v>235.96</v>
      </c>
      <c r="L1366" s="3">
        <v>45492</v>
      </c>
    </row>
    <row r="1367" spans="1:12" x14ac:dyDescent="0.25">
      <c r="A1367" s="1">
        <v>100164</v>
      </c>
      <c r="B1367" s="2" t="s">
        <v>297</v>
      </c>
      <c r="C1367" s="2" t="s">
        <v>72</v>
      </c>
      <c r="D1367" s="2" t="s">
        <v>16</v>
      </c>
      <c r="E1367" s="2" t="s">
        <v>60</v>
      </c>
      <c r="F1367" s="2" t="s">
        <v>83</v>
      </c>
      <c r="G1367" s="1" t="s">
        <v>35</v>
      </c>
      <c r="H1367" s="1">
        <v>878</v>
      </c>
      <c r="I1367" s="2" t="s">
        <v>45</v>
      </c>
      <c r="J1367" s="2" t="s">
        <v>20</v>
      </c>
      <c r="K1367" s="1">
        <v>147.81</v>
      </c>
      <c r="L1367" s="3">
        <v>45492</v>
      </c>
    </row>
    <row r="1368" spans="1:12" x14ac:dyDescent="0.25">
      <c r="A1368" s="1">
        <v>101263</v>
      </c>
      <c r="B1368" s="2" t="s">
        <v>1435</v>
      </c>
      <c r="C1368" s="2" t="s">
        <v>47</v>
      </c>
      <c r="D1368" s="2" t="s">
        <v>41</v>
      </c>
      <c r="E1368" s="2" t="s">
        <v>31</v>
      </c>
      <c r="F1368" s="2" t="s">
        <v>18</v>
      </c>
      <c r="G1368" s="1">
        <v>0</v>
      </c>
      <c r="H1368" s="1">
        <v>744</v>
      </c>
      <c r="I1368" s="2" t="s">
        <v>37</v>
      </c>
      <c r="J1368" s="2" t="s">
        <v>20</v>
      </c>
      <c r="K1368" s="1">
        <v>740.75</v>
      </c>
      <c r="L1368" s="3">
        <v>45491</v>
      </c>
    </row>
    <row r="1369" spans="1:12" x14ac:dyDescent="0.25">
      <c r="A1369" s="1">
        <v>101877</v>
      </c>
      <c r="B1369" s="2" t="s">
        <v>241</v>
      </c>
      <c r="C1369" s="2" t="s">
        <v>58</v>
      </c>
      <c r="D1369" s="2" t="s">
        <v>16</v>
      </c>
      <c r="E1369" s="2" t="s">
        <v>31</v>
      </c>
      <c r="F1369" s="2" t="s">
        <v>83</v>
      </c>
      <c r="G1369" s="1">
        <v>0</v>
      </c>
      <c r="H1369" s="1">
        <v>468</v>
      </c>
      <c r="I1369" s="2" t="s">
        <v>32</v>
      </c>
      <c r="J1369" s="2" t="s">
        <v>20</v>
      </c>
      <c r="K1369" s="1">
        <v>687.95</v>
      </c>
      <c r="L1369" s="3">
        <v>45491</v>
      </c>
    </row>
    <row r="1370" spans="1:12" x14ac:dyDescent="0.25">
      <c r="A1370" s="1">
        <v>101031</v>
      </c>
      <c r="B1370" s="2" t="s">
        <v>113</v>
      </c>
      <c r="C1370" s="2" t="s">
        <v>95</v>
      </c>
      <c r="D1370" s="2" t="s">
        <v>41</v>
      </c>
      <c r="E1370" s="2" t="s">
        <v>70</v>
      </c>
      <c r="F1370" s="2" t="s">
        <v>83</v>
      </c>
      <c r="G1370" s="1">
        <v>0</v>
      </c>
      <c r="H1370" s="1">
        <v>657</v>
      </c>
      <c r="I1370" s="2" t="s">
        <v>32</v>
      </c>
      <c r="J1370" s="2" t="s">
        <v>26</v>
      </c>
      <c r="K1370" s="1">
        <v>411.67</v>
      </c>
      <c r="L1370" s="3">
        <v>45491</v>
      </c>
    </row>
    <row r="1371" spans="1:12" x14ac:dyDescent="0.25">
      <c r="A1371" s="1">
        <v>100346</v>
      </c>
      <c r="B1371" s="2" t="s">
        <v>955</v>
      </c>
      <c r="C1371" s="2" t="s">
        <v>39</v>
      </c>
      <c r="D1371" s="2" t="s">
        <v>16</v>
      </c>
      <c r="E1371" s="2" t="s">
        <v>31</v>
      </c>
      <c r="F1371" s="2" t="s">
        <v>18</v>
      </c>
      <c r="G1371" s="1">
        <v>0</v>
      </c>
      <c r="H1371" s="1">
        <v>406</v>
      </c>
      <c r="I1371" s="2" t="s">
        <v>45</v>
      </c>
      <c r="J1371" s="2" t="s">
        <v>33</v>
      </c>
      <c r="K1371" s="1">
        <v>273.89999999999998</v>
      </c>
      <c r="L1371" s="3">
        <v>45491</v>
      </c>
    </row>
    <row r="1372" spans="1:12" x14ac:dyDescent="0.25">
      <c r="A1372" s="1">
        <v>100589</v>
      </c>
      <c r="B1372" s="2" t="s">
        <v>259</v>
      </c>
      <c r="C1372" s="2" t="s">
        <v>218</v>
      </c>
      <c r="D1372" s="2" t="s">
        <v>16</v>
      </c>
      <c r="E1372" s="2" t="s">
        <v>31</v>
      </c>
      <c r="F1372" s="2" t="s">
        <v>83</v>
      </c>
      <c r="G1372" s="1">
        <v>0</v>
      </c>
      <c r="H1372" s="1">
        <v>732</v>
      </c>
      <c r="I1372" s="2" t="s">
        <v>19</v>
      </c>
      <c r="J1372" s="2" t="s">
        <v>20</v>
      </c>
      <c r="K1372" s="1">
        <v>213.74</v>
      </c>
      <c r="L1372" s="3">
        <v>45491</v>
      </c>
    </row>
    <row r="1373" spans="1:12" x14ac:dyDescent="0.25">
      <c r="A1373" s="1">
        <v>100480</v>
      </c>
      <c r="B1373" s="2" t="s">
        <v>215</v>
      </c>
      <c r="C1373" s="2" t="s">
        <v>126</v>
      </c>
      <c r="D1373" s="2" t="s">
        <v>16</v>
      </c>
      <c r="E1373" s="2" t="s">
        <v>81</v>
      </c>
      <c r="F1373" s="2" t="s">
        <v>18</v>
      </c>
      <c r="G1373" s="1">
        <v>0</v>
      </c>
      <c r="H1373" s="1">
        <v>395</v>
      </c>
      <c r="I1373" s="2" t="s">
        <v>37</v>
      </c>
      <c r="J1373" s="2" t="s">
        <v>33</v>
      </c>
      <c r="K1373" s="1">
        <v>640.86</v>
      </c>
      <c r="L1373" s="3">
        <v>45490</v>
      </c>
    </row>
    <row r="1374" spans="1:12" x14ac:dyDescent="0.25">
      <c r="A1374" s="1">
        <v>101247</v>
      </c>
      <c r="B1374" s="2" t="s">
        <v>276</v>
      </c>
      <c r="C1374" s="2" t="s">
        <v>52</v>
      </c>
      <c r="D1374" s="2" t="s">
        <v>16</v>
      </c>
      <c r="E1374" s="2" t="s">
        <v>31</v>
      </c>
      <c r="F1374" s="2" t="s">
        <v>83</v>
      </c>
      <c r="G1374" s="1">
        <v>0</v>
      </c>
      <c r="H1374" s="1">
        <v>638</v>
      </c>
      <c r="I1374" s="2" t="s">
        <v>19</v>
      </c>
      <c r="J1374" s="2" t="s">
        <v>26</v>
      </c>
      <c r="K1374" s="1">
        <v>606.79</v>
      </c>
      <c r="L1374" s="3">
        <v>45490</v>
      </c>
    </row>
    <row r="1375" spans="1:12" x14ac:dyDescent="0.25">
      <c r="A1375" s="1">
        <v>100632</v>
      </c>
      <c r="B1375" s="2" t="s">
        <v>418</v>
      </c>
      <c r="C1375" s="2" t="s">
        <v>52</v>
      </c>
      <c r="D1375" s="2" t="s">
        <v>64</v>
      </c>
      <c r="E1375" s="2" t="s">
        <v>78</v>
      </c>
      <c r="F1375" s="2" t="s">
        <v>18</v>
      </c>
      <c r="G1375" s="1">
        <v>0</v>
      </c>
      <c r="H1375" s="1">
        <v>371</v>
      </c>
      <c r="I1375" s="2" t="s">
        <v>45</v>
      </c>
      <c r="J1375" s="2" t="s">
        <v>26</v>
      </c>
      <c r="K1375" s="1">
        <v>428.62</v>
      </c>
      <c r="L1375" s="3">
        <v>45490</v>
      </c>
    </row>
    <row r="1376" spans="1:12" x14ac:dyDescent="0.25">
      <c r="A1376" s="1">
        <v>100361</v>
      </c>
      <c r="B1376" s="2" t="s">
        <v>364</v>
      </c>
      <c r="C1376" s="2" t="s">
        <v>103</v>
      </c>
      <c r="D1376" s="2" t="s">
        <v>64</v>
      </c>
      <c r="E1376" s="2" t="s">
        <v>60</v>
      </c>
      <c r="F1376" s="2" t="s">
        <v>18</v>
      </c>
      <c r="G1376" s="1">
        <v>0</v>
      </c>
      <c r="H1376" s="1">
        <v>351</v>
      </c>
      <c r="I1376" s="2" t="s">
        <v>45</v>
      </c>
      <c r="J1376" s="2" t="s">
        <v>26</v>
      </c>
      <c r="K1376" s="1">
        <v>225.31</v>
      </c>
      <c r="L1376" s="3">
        <v>45490</v>
      </c>
    </row>
    <row r="1377" spans="1:12" x14ac:dyDescent="0.25">
      <c r="A1377" s="1">
        <v>101362</v>
      </c>
      <c r="B1377" s="2" t="s">
        <v>303</v>
      </c>
      <c r="C1377" s="2" t="s">
        <v>187</v>
      </c>
      <c r="D1377" s="2" t="s">
        <v>41</v>
      </c>
      <c r="E1377" s="2" t="s">
        <v>78</v>
      </c>
      <c r="F1377" s="2" t="s">
        <v>18</v>
      </c>
      <c r="G1377" s="1">
        <v>0</v>
      </c>
      <c r="H1377" s="1">
        <v>800</v>
      </c>
      <c r="I1377" s="2" t="s">
        <v>45</v>
      </c>
      <c r="J1377" s="2" t="s">
        <v>20</v>
      </c>
      <c r="K1377" s="1">
        <v>803.11</v>
      </c>
      <c r="L1377" s="3">
        <v>45489</v>
      </c>
    </row>
    <row r="1378" spans="1:12" x14ac:dyDescent="0.25">
      <c r="A1378" s="1">
        <v>100103</v>
      </c>
      <c r="B1378" s="2" t="s">
        <v>68</v>
      </c>
      <c r="C1378" s="2" t="s">
        <v>52</v>
      </c>
      <c r="D1378" s="2" t="s">
        <v>41</v>
      </c>
      <c r="E1378" s="2" t="s">
        <v>81</v>
      </c>
      <c r="F1378" s="2" t="s">
        <v>18</v>
      </c>
      <c r="G1378" s="1">
        <v>0</v>
      </c>
      <c r="H1378" s="1">
        <v>309</v>
      </c>
      <c r="I1378" s="2" t="s">
        <v>37</v>
      </c>
      <c r="J1378" s="2" t="s">
        <v>26</v>
      </c>
      <c r="K1378" s="1">
        <v>279.19</v>
      </c>
      <c r="L1378" s="3">
        <v>45489</v>
      </c>
    </row>
    <row r="1379" spans="1:12" x14ac:dyDescent="0.25">
      <c r="A1379" s="1">
        <v>100657</v>
      </c>
      <c r="B1379" s="2" t="s">
        <v>297</v>
      </c>
      <c r="C1379" s="2" t="s">
        <v>72</v>
      </c>
      <c r="D1379" s="2" t="s">
        <v>41</v>
      </c>
      <c r="E1379" s="2" t="s">
        <v>81</v>
      </c>
      <c r="F1379" s="2" t="s">
        <v>83</v>
      </c>
      <c r="G1379" s="1">
        <v>0</v>
      </c>
      <c r="H1379" s="1">
        <v>878</v>
      </c>
      <c r="I1379" s="2" t="s">
        <v>37</v>
      </c>
      <c r="J1379" s="2" t="s">
        <v>20</v>
      </c>
      <c r="K1379" s="1">
        <v>900.46</v>
      </c>
      <c r="L1379" s="3">
        <v>45488</v>
      </c>
    </row>
    <row r="1380" spans="1:12" x14ac:dyDescent="0.25">
      <c r="A1380" s="1">
        <v>101960</v>
      </c>
      <c r="B1380" s="2" t="s">
        <v>2124</v>
      </c>
      <c r="C1380" s="2" t="s">
        <v>134</v>
      </c>
      <c r="D1380" s="2" t="s">
        <v>41</v>
      </c>
      <c r="E1380" s="2" t="s">
        <v>78</v>
      </c>
      <c r="F1380" s="2" t="s">
        <v>83</v>
      </c>
      <c r="G1380" s="1">
        <v>0</v>
      </c>
      <c r="H1380" s="1">
        <v>340</v>
      </c>
      <c r="I1380" s="2" t="s">
        <v>56</v>
      </c>
      <c r="J1380" s="2" t="s">
        <v>20</v>
      </c>
      <c r="K1380" s="1">
        <v>173.19</v>
      </c>
      <c r="L1380" s="3">
        <v>45488</v>
      </c>
    </row>
    <row r="1381" spans="1:12" x14ac:dyDescent="0.25">
      <c r="A1381" s="1">
        <v>100438</v>
      </c>
      <c r="B1381" s="2" t="s">
        <v>765</v>
      </c>
      <c r="C1381" s="2" t="s">
        <v>22</v>
      </c>
      <c r="D1381" s="2" t="s">
        <v>16</v>
      </c>
      <c r="E1381" s="2" t="s">
        <v>60</v>
      </c>
      <c r="F1381" s="2" t="s">
        <v>18</v>
      </c>
      <c r="G1381" s="1">
        <v>0</v>
      </c>
      <c r="H1381" s="1">
        <v>851</v>
      </c>
      <c r="I1381" s="2" t="s">
        <v>19</v>
      </c>
      <c r="J1381" s="2" t="s">
        <v>20</v>
      </c>
      <c r="K1381" s="1">
        <v>705.29</v>
      </c>
      <c r="L1381" s="3">
        <v>45487</v>
      </c>
    </row>
    <row r="1382" spans="1:12" x14ac:dyDescent="0.25">
      <c r="A1382" s="1">
        <v>100773</v>
      </c>
      <c r="B1382" s="2" t="s">
        <v>1009</v>
      </c>
      <c r="C1382" s="2" t="s">
        <v>58</v>
      </c>
      <c r="D1382" s="2" t="s">
        <v>64</v>
      </c>
      <c r="E1382" s="2" t="s">
        <v>70</v>
      </c>
      <c r="F1382" s="2" t="s">
        <v>25</v>
      </c>
      <c r="G1382" s="1">
        <v>25</v>
      </c>
      <c r="H1382" s="1">
        <v>400</v>
      </c>
      <c r="I1382" s="2" t="s">
        <v>56</v>
      </c>
      <c r="J1382" s="2" t="s">
        <v>33</v>
      </c>
      <c r="K1382" s="1">
        <v>298.5</v>
      </c>
      <c r="L1382" s="3">
        <v>45487</v>
      </c>
    </row>
    <row r="1383" spans="1:12" x14ac:dyDescent="0.25">
      <c r="A1383" s="1">
        <v>102001</v>
      </c>
      <c r="B1383" s="2" t="s">
        <v>402</v>
      </c>
      <c r="C1383" s="2" t="s">
        <v>95</v>
      </c>
      <c r="D1383" s="2" t="s">
        <v>50</v>
      </c>
      <c r="E1383" s="2" t="s">
        <v>17</v>
      </c>
      <c r="F1383" s="2" t="s">
        <v>18</v>
      </c>
      <c r="G1383" s="1">
        <v>0</v>
      </c>
      <c r="H1383" s="1">
        <v>355</v>
      </c>
      <c r="I1383" s="2" t="s">
        <v>45</v>
      </c>
      <c r="J1383" s="2" t="s">
        <v>20</v>
      </c>
      <c r="K1383" s="1">
        <v>178.39</v>
      </c>
      <c r="L1383" s="3">
        <v>45487</v>
      </c>
    </row>
    <row r="1384" spans="1:12" x14ac:dyDescent="0.25">
      <c r="A1384" s="1">
        <v>101489</v>
      </c>
      <c r="B1384" s="2" t="s">
        <v>832</v>
      </c>
      <c r="C1384" s="2" t="s">
        <v>134</v>
      </c>
      <c r="D1384" s="2" t="s">
        <v>50</v>
      </c>
      <c r="E1384" s="2" t="s">
        <v>81</v>
      </c>
      <c r="F1384" s="2" t="s">
        <v>18</v>
      </c>
      <c r="G1384" s="1">
        <v>0</v>
      </c>
      <c r="H1384" s="1">
        <v>641</v>
      </c>
      <c r="I1384" s="2" t="s">
        <v>32</v>
      </c>
      <c r="J1384" s="2" t="s">
        <v>26</v>
      </c>
      <c r="K1384" s="1">
        <v>47.56</v>
      </c>
      <c r="L1384" s="3">
        <v>45487</v>
      </c>
    </row>
    <row r="1385" spans="1:12" x14ac:dyDescent="0.25">
      <c r="A1385" s="1">
        <v>101016</v>
      </c>
      <c r="B1385" s="2" t="s">
        <v>238</v>
      </c>
      <c r="C1385" s="2" t="s">
        <v>47</v>
      </c>
      <c r="D1385" s="2" t="s">
        <v>41</v>
      </c>
      <c r="E1385" s="2" t="s">
        <v>35</v>
      </c>
      <c r="F1385" s="2" t="s">
        <v>18</v>
      </c>
      <c r="G1385" s="1">
        <v>0</v>
      </c>
      <c r="H1385" s="1">
        <v>497</v>
      </c>
      <c r="I1385" s="2" t="s">
        <v>56</v>
      </c>
      <c r="J1385" s="2" t="s">
        <v>20</v>
      </c>
      <c r="K1385" s="1">
        <v>406.07</v>
      </c>
      <c r="L1385" s="3">
        <v>45486</v>
      </c>
    </row>
    <row r="1386" spans="1:12" x14ac:dyDescent="0.25">
      <c r="A1386" s="1">
        <v>100569</v>
      </c>
      <c r="B1386" s="2" t="s">
        <v>628</v>
      </c>
      <c r="C1386" s="2" t="s">
        <v>47</v>
      </c>
      <c r="D1386" s="2" t="s">
        <v>41</v>
      </c>
      <c r="E1386" s="2" t="s">
        <v>31</v>
      </c>
      <c r="F1386" s="2" t="s">
        <v>42</v>
      </c>
      <c r="G1386" s="1">
        <v>157</v>
      </c>
      <c r="H1386" s="1">
        <v>852</v>
      </c>
      <c r="I1386" s="2" t="s">
        <v>37</v>
      </c>
      <c r="J1386" s="2" t="s">
        <v>20</v>
      </c>
      <c r="K1386" s="1">
        <v>342.66</v>
      </c>
      <c r="L1386" s="3">
        <v>45486</v>
      </c>
    </row>
    <row r="1387" spans="1:12" x14ac:dyDescent="0.25">
      <c r="A1387" s="1">
        <v>101752</v>
      </c>
      <c r="B1387" s="2" t="s">
        <v>742</v>
      </c>
      <c r="C1387" s="2" t="s">
        <v>100</v>
      </c>
      <c r="D1387" s="2" t="s">
        <v>16</v>
      </c>
      <c r="E1387" s="2" t="s">
        <v>17</v>
      </c>
      <c r="F1387" s="2" t="s">
        <v>25</v>
      </c>
      <c r="G1387" s="1">
        <v>20</v>
      </c>
      <c r="H1387" s="1">
        <v>571</v>
      </c>
      <c r="I1387" s="2" t="s">
        <v>56</v>
      </c>
      <c r="J1387" s="2" t="s">
        <v>33</v>
      </c>
      <c r="K1387" s="1">
        <v>207.83</v>
      </c>
      <c r="L1387" s="3">
        <v>45486</v>
      </c>
    </row>
    <row r="1388" spans="1:12" x14ac:dyDescent="0.25">
      <c r="A1388" s="1">
        <v>101250</v>
      </c>
      <c r="B1388" s="2" t="s">
        <v>210</v>
      </c>
      <c r="C1388" s="2" t="s">
        <v>95</v>
      </c>
      <c r="D1388" s="2" t="s">
        <v>16</v>
      </c>
      <c r="E1388" s="2" t="s">
        <v>60</v>
      </c>
      <c r="F1388" s="2" t="s">
        <v>18</v>
      </c>
      <c r="G1388" s="1">
        <v>0</v>
      </c>
      <c r="H1388" s="1">
        <v>369</v>
      </c>
      <c r="I1388" s="2" t="s">
        <v>32</v>
      </c>
      <c r="J1388" s="2" t="s">
        <v>26</v>
      </c>
      <c r="K1388" s="1">
        <v>122.755</v>
      </c>
      <c r="L1388" s="3">
        <v>45486</v>
      </c>
    </row>
    <row r="1389" spans="1:12" x14ac:dyDescent="0.25">
      <c r="A1389" s="1">
        <v>100849</v>
      </c>
      <c r="B1389" s="2" t="s">
        <v>487</v>
      </c>
      <c r="C1389" s="2" t="s">
        <v>22</v>
      </c>
      <c r="D1389" s="2" t="s">
        <v>106</v>
      </c>
      <c r="E1389" s="2" t="s">
        <v>70</v>
      </c>
      <c r="F1389" s="2" t="s">
        <v>18</v>
      </c>
      <c r="G1389" s="1">
        <v>0</v>
      </c>
      <c r="H1389" s="1">
        <v>647</v>
      </c>
      <c r="I1389" s="2" t="s">
        <v>19</v>
      </c>
      <c r="J1389" s="2" t="s">
        <v>20</v>
      </c>
      <c r="K1389" s="1">
        <v>656.01</v>
      </c>
      <c r="L1389" s="3">
        <v>45485</v>
      </c>
    </row>
    <row r="1390" spans="1:12" x14ac:dyDescent="0.25">
      <c r="A1390" s="1">
        <v>102158</v>
      </c>
      <c r="B1390" s="2" t="s">
        <v>497</v>
      </c>
      <c r="C1390" s="2" t="s">
        <v>142</v>
      </c>
      <c r="D1390" s="2" t="s">
        <v>41</v>
      </c>
      <c r="E1390" s="2" t="s">
        <v>31</v>
      </c>
      <c r="F1390" s="2" t="s">
        <v>25</v>
      </c>
      <c r="G1390" s="1">
        <v>15</v>
      </c>
      <c r="H1390" s="1">
        <v>465</v>
      </c>
      <c r="I1390" s="2" t="s">
        <v>32</v>
      </c>
      <c r="J1390" s="2" t="s">
        <v>26</v>
      </c>
      <c r="K1390" s="1">
        <v>647.42999999999995</v>
      </c>
      <c r="L1390" s="3">
        <v>45485</v>
      </c>
    </row>
    <row r="1391" spans="1:12" x14ac:dyDescent="0.25">
      <c r="A1391" s="1">
        <v>101385</v>
      </c>
      <c r="B1391" s="2" t="s">
        <v>234</v>
      </c>
      <c r="C1391" s="2" t="s">
        <v>142</v>
      </c>
      <c r="D1391" s="2" t="s">
        <v>106</v>
      </c>
      <c r="E1391" s="2" t="s">
        <v>60</v>
      </c>
      <c r="F1391" s="2" t="s">
        <v>18</v>
      </c>
      <c r="G1391" s="1">
        <v>0</v>
      </c>
      <c r="H1391" s="1">
        <v>494</v>
      </c>
      <c r="I1391" s="2" t="s">
        <v>32</v>
      </c>
      <c r="J1391" s="2" t="s">
        <v>20</v>
      </c>
      <c r="K1391" s="1"/>
      <c r="L1391" s="3">
        <v>45485</v>
      </c>
    </row>
    <row r="1392" spans="1:12" x14ac:dyDescent="0.25">
      <c r="A1392" s="1">
        <v>100590</v>
      </c>
      <c r="B1392" s="2" t="s">
        <v>621</v>
      </c>
      <c r="C1392" s="2" t="s">
        <v>72</v>
      </c>
      <c r="D1392" s="2" t="s">
        <v>50</v>
      </c>
      <c r="E1392" s="2" t="s">
        <v>35</v>
      </c>
      <c r="F1392" s="2" t="s">
        <v>18</v>
      </c>
      <c r="G1392" s="1">
        <v>0</v>
      </c>
      <c r="H1392" s="1">
        <v>377</v>
      </c>
      <c r="I1392" s="2" t="s">
        <v>19</v>
      </c>
      <c r="J1392" s="2" t="s">
        <v>20</v>
      </c>
      <c r="K1392" s="1">
        <v>965.07</v>
      </c>
      <c r="L1392" s="3">
        <v>45484</v>
      </c>
    </row>
    <row r="1393" spans="1:12" x14ac:dyDescent="0.25">
      <c r="A1393" s="1">
        <v>101919</v>
      </c>
      <c r="B1393" s="2" t="s">
        <v>708</v>
      </c>
      <c r="C1393" s="2" t="s">
        <v>270</v>
      </c>
      <c r="D1393" s="2" t="s">
        <v>41</v>
      </c>
      <c r="E1393" s="2" t="s">
        <v>31</v>
      </c>
      <c r="F1393" s="2" t="s">
        <v>42</v>
      </c>
      <c r="G1393" s="1">
        <v>148</v>
      </c>
      <c r="H1393" s="1">
        <v>451</v>
      </c>
      <c r="I1393" s="2" t="s">
        <v>37</v>
      </c>
      <c r="J1393" s="2" t="s">
        <v>20</v>
      </c>
      <c r="K1393" s="1">
        <v>380.98</v>
      </c>
      <c r="L1393" s="3">
        <v>45484</v>
      </c>
    </row>
    <row r="1394" spans="1:12" x14ac:dyDescent="0.25">
      <c r="A1394" s="1">
        <v>100722</v>
      </c>
      <c r="B1394" s="2" t="s">
        <v>87</v>
      </c>
      <c r="C1394" s="2" t="s">
        <v>47</v>
      </c>
      <c r="D1394" s="2" t="s">
        <v>41</v>
      </c>
      <c r="E1394" s="2" t="s">
        <v>78</v>
      </c>
      <c r="F1394" s="2" t="s">
        <v>83</v>
      </c>
      <c r="G1394" s="1">
        <v>0</v>
      </c>
      <c r="H1394" s="1">
        <v>892</v>
      </c>
      <c r="I1394" s="2" t="s">
        <v>45</v>
      </c>
      <c r="J1394" s="2" t="s">
        <v>20</v>
      </c>
      <c r="K1394" s="1">
        <v>372.07</v>
      </c>
      <c r="L1394" s="3">
        <v>45484</v>
      </c>
    </row>
    <row r="1395" spans="1:12" x14ac:dyDescent="0.25">
      <c r="A1395" s="1">
        <v>101584</v>
      </c>
      <c r="B1395" s="2" t="s">
        <v>342</v>
      </c>
      <c r="C1395" s="2" t="s">
        <v>110</v>
      </c>
      <c r="D1395" s="2" t="s">
        <v>64</v>
      </c>
      <c r="E1395" s="2" t="s">
        <v>78</v>
      </c>
      <c r="F1395" s="2" t="s">
        <v>42</v>
      </c>
      <c r="G1395" s="1">
        <v>97</v>
      </c>
      <c r="H1395" s="1">
        <v>659</v>
      </c>
      <c r="I1395" s="2" t="s">
        <v>37</v>
      </c>
      <c r="J1395" s="2" t="s">
        <v>33</v>
      </c>
      <c r="K1395" s="1">
        <v>207.58</v>
      </c>
      <c r="L1395" s="3">
        <v>45484</v>
      </c>
    </row>
    <row r="1396" spans="1:12" x14ac:dyDescent="0.25">
      <c r="A1396" s="1">
        <v>102095</v>
      </c>
      <c r="B1396" s="2" t="s">
        <v>493</v>
      </c>
      <c r="C1396" s="2" t="s">
        <v>152</v>
      </c>
      <c r="D1396" s="2" t="s">
        <v>41</v>
      </c>
      <c r="E1396" s="2" t="s">
        <v>60</v>
      </c>
      <c r="F1396" s="2" t="s">
        <v>18</v>
      </c>
      <c r="G1396" s="1">
        <v>0</v>
      </c>
      <c r="H1396" s="1">
        <v>737</v>
      </c>
      <c r="I1396" s="2" t="s">
        <v>56</v>
      </c>
      <c r="J1396" s="2" t="s">
        <v>33</v>
      </c>
      <c r="K1396" s="1">
        <v>40.409999999999997</v>
      </c>
      <c r="L1396" s="3">
        <v>45484</v>
      </c>
    </row>
    <row r="1397" spans="1:12" x14ac:dyDescent="0.25">
      <c r="A1397" s="1">
        <v>101780</v>
      </c>
      <c r="B1397" s="2" t="s">
        <v>329</v>
      </c>
      <c r="C1397" s="2" t="s">
        <v>270</v>
      </c>
      <c r="D1397" s="2" t="s">
        <v>50</v>
      </c>
      <c r="E1397" s="2" t="s">
        <v>78</v>
      </c>
      <c r="F1397" s="2" t="s">
        <v>25</v>
      </c>
      <c r="G1397" s="1">
        <v>14</v>
      </c>
      <c r="H1397" s="1">
        <v>328</v>
      </c>
      <c r="I1397" s="2" t="s">
        <v>37</v>
      </c>
      <c r="J1397" s="2" t="s">
        <v>20</v>
      </c>
      <c r="K1397" s="1">
        <v>935.41</v>
      </c>
      <c r="L1397" s="3">
        <v>45483</v>
      </c>
    </row>
    <row r="1398" spans="1:12" x14ac:dyDescent="0.25">
      <c r="A1398" s="1">
        <v>101097</v>
      </c>
      <c r="B1398" s="2" t="s">
        <v>1155</v>
      </c>
      <c r="C1398" s="2" t="s">
        <v>218</v>
      </c>
      <c r="D1398" s="2" t="s">
        <v>41</v>
      </c>
      <c r="E1398" s="2" t="s">
        <v>70</v>
      </c>
      <c r="F1398" s="2" t="s">
        <v>18</v>
      </c>
      <c r="G1398" s="1">
        <v>0</v>
      </c>
      <c r="H1398" s="1">
        <v>557</v>
      </c>
      <c r="I1398" s="2" t="s">
        <v>56</v>
      </c>
      <c r="J1398" s="2" t="s">
        <v>26</v>
      </c>
      <c r="K1398" s="1">
        <v>481.14</v>
      </c>
      <c r="L1398" s="3">
        <v>45483</v>
      </c>
    </row>
    <row r="1399" spans="1:12" x14ac:dyDescent="0.25">
      <c r="A1399" s="1">
        <v>101527</v>
      </c>
      <c r="B1399" s="2" t="s">
        <v>315</v>
      </c>
      <c r="C1399" s="2" t="s">
        <v>22</v>
      </c>
      <c r="D1399" s="2" t="s">
        <v>106</v>
      </c>
      <c r="E1399" s="2" t="s">
        <v>81</v>
      </c>
      <c r="F1399" s="2" t="s">
        <v>18</v>
      </c>
      <c r="G1399" s="1">
        <v>0</v>
      </c>
      <c r="H1399" s="1">
        <v>509</v>
      </c>
      <c r="I1399" s="2" t="s">
        <v>56</v>
      </c>
      <c r="J1399" s="2" t="s">
        <v>20</v>
      </c>
      <c r="K1399" s="1">
        <v>346.82</v>
      </c>
      <c r="L1399" s="3">
        <v>45483</v>
      </c>
    </row>
    <row r="1400" spans="1:12" x14ac:dyDescent="0.25">
      <c r="A1400" s="1">
        <v>101100</v>
      </c>
      <c r="B1400" s="2" t="s">
        <v>118</v>
      </c>
      <c r="C1400" s="2" t="s">
        <v>62</v>
      </c>
      <c r="D1400" s="2" t="s">
        <v>16</v>
      </c>
      <c r="E1400" s="2" t="s">
        <v>70</v>
      </c>
      <c r="F1400" s="2" t="s">
        <v>18</v>
      </c>
      <c r="G1400" s="1">
        <v>0</v>
      </c>
      <c r="H1400" s="1">
        <v>463</v>
      </c>
      <c r="I1400" s="2" t="s">
        <v>45</v>
      </c>
      <c r="J1400" s="2" t="s">
        <v>20</v>
      </c>
      <c r="K1400" s="1">
        <v>300.14999999999998</v>
      </c>
      <c r="L1400" s="3">
        <v>45483</v>
      </c>
    </row>
    <row r="1401" spans="1:12" x14ac:dyDescent="0.25">
      <c r="A1401" s="1">
        <v>100612</v>
      </c>
      <c r="B1401" s="2" t="s">
        <v>367</v>
      </c>
      <c r="C1401" s="2" t="s">
        <v>103</v>
      </c>
      <c r="D1401" s="2" t="s">
        <v>50</v>
      </c>
      <c r="E1401" s="2" t="s">
        <v>70</v>
      </c>
      <c r="F1401" s="2" t="s">
        <v>18</v>
      </c>
      <c r="G1401" s="1">
        <v>0</v>
      </c>
      <c r="H1401" s="1">
        <v>621</v>
      </c>
      <c r="I1401" s="2" t="s">
        <v>45</v>
      </c>
      <c r="J1401" s="2" t="s">
        <v>33</v>
      </c>
      <c r="K1401" s="1">
        <v>129.01</v>
      </c>
      <c r="L1401" s="3">
        <v>45483</v>
      </c>
    </row>
    <row r="1402" spans="1:12" x14ac:dyDescent="0.25">
      <c r="A1402" s="1">
        <v>101692</v>
      </c>
      <c r="B1402" s="2" t="s">
        <v>420</v>
      </c>
      <c r="C1402" s="2" t="s">
        <v>72</v>
      </c>
      <c r="D1402" s="2" t="s">
        <v>16</v>
      </c>
      <c r="E1402" s="2" t="s">
        <v>60</v>
      </c>
      <c r="F1402" s="2" t="s">
        <v>18</v>
      </c>
      <c r="G1402" s="1">
        <v>0</v>
      </c>
      <c r="H1402" s="1">
        <v>418</v>
      </c>
      <c r="I1402" s="2" t="s">
        <v>56</v>
      </c>
      <c r="J1402" s="2" t="s">
        <v>33</v>
      </c>
      <c r="K1402" s="1">
        <v>709.25</v>
      </c>
      <c r="L1402" s="3">
        <v>45482</v>
      </c>
    </row>
    <row r="1403" spans="1:12" x14ac:dyDescent="0.25">
      <c r="A1403" s="1">
        <v>100726</v>
      </c>
      <c r="B1403" s="2" t="s">
        <v>213</v>
      </c>
      <c r="C1403" s="2" t="s">
        <v>58</v>
      </c>
      <c r="D1403" s="2" t="s">
        <v>106</v>
      </c>
      <c r="E1403" s="2" t="s">
        <v>31</v>
      </c>
      <c r="F1403" s="2" t="s">
        <v>42</v>
      </c>
      <c r="G1403" s="1">
        <v>143</v>
      </c>
      <c r="H1403" s="1">
        <v>324</v>
      </c>
      <c r="I1403" s="2" t="s">
        <v>37</v>
      </c>
      <c r="J1403" s="2" t="s">
        <v>26</v>
      </c>
      <c r="K1403" s="1">
        <v>630.47</v>
      </c>
      <c r="L1403" s="3">
        <v>45482</v>
      </c>
    </row>
    <row r="1404" spans="1:12" x14ac:dyDescent="0.25">
      <c r="A1404" s="1">
        <v>100885</v>
      </c>
      <c r="B1404" s="2" t="s">
        <v>232</v>
      </c>
      <c r="C1404" s="2" t="s">
        <v>152</v>
      </c>
      <c r="D1404" s="2" t="s">
        <v>16</v>
      </c>
      <c r="E1404" s="2" t="s">
        <v>70</v>
      </c>
      <c r="F1404" s="2" t="s">
        <v>18</v>
      </c>
      <c r="G1404" s="1">
        <v>0</v>
      </c>
      <c r="H1404" s="1">
        <v>781</v>
      </c>
      <c r="I1404" s="2" t="s">
        <v>19</v>
      </c>
      <c r="J1404" s="2" t="s">
        <v>33</v>
      </c>
      <c r="K1404" s="1">
        <v>479.53</v>
      </c>
      <c r="L1404" s="3">
        <v>45482</v>
      </c>
    </row>
    <row r="1405" spans="1:12" x14ac:dyDescent="0.25">
      <c r="A1405" s="1">
        <v>102116</v>
      </c>
      <c r="B1405" s="2" t="s">
        <v>1373</v>
      </c>
      <c r="C1405" s="2" t="s">
        <v>122</v>
      </c>
      <c r="D1405" s="2" t="s">
        <v>41</v>
      </c>
      <c r="E1405" s="2" t="s">
        <v>60</v>
      </c>
      <c r="F1405" s="2" t="s">
        <v>83</v>
      </c>
      <c r="G1405" s="1">
        <v>0</v>
      </c>
      <c r="H1405" s="1">
        <v>359</v>
      </c>
      <c r="I1405" s="2" t="s">
        <v>45</v>
      </c>
      <c r="J1405" s="2" t="s">
        <v>26</v>
      </c>
      <c r="K1405" s="1">
        <v>360.6</v>
      </c>
      <c r="L1405" s="3">
        <v>45482</v>
      </c>
    </row>
    <row r="1406" spans="1:12" x14ac:dyDescent="0.25">
      <c r="A1406" s="1">
        <v>100740</v>
      </c>
      <c r="B1406" s="2" t="s">
        <v>805</v>
      </c>
      <c r="C1406" s="2" t="s">
        <v>62</v>
      </c>
      <c r="D1406" s="2" t="s">
        <v>64</v>
      </c>
      <c r="E1406" s="2" t="s">
        <v>55</v>
      </c>
      <c r="F1406" s="2" t="s">
        <v>18</v>
      </c>
      <c r="G1406" s="1">
        <v>0</v>
      </c>
      <c r="H1406" s="1">
        <v>352</v>
      </c>
      <c r="I1406" s="2" t="s">
        <v>37</v>
      </c>
      <c r="J1406" s="2" t="s">
        <v>20</v>
      </c>
      <c r="K1406" s="1">
        <v>333.76</v>
      </c>
      <c r="L1406" s="3">
        <v>45482</v>
      </c>
    </row>
    <row r="1407" spans="1:12" x14ac:dyDescent="0.25">
      <c r="A1407" s="1">
        <v>101048</v>
      </c>
      <c r="B1407" s="2" t="s">
        <v>451</v>
      </c>
      <c r="C1407" s="2" t="s">
        <v>103</v>
      </c>
      <c r="D1407" s="2" t="s">
        <v>41</v>
      </c>
      <c r="E1407" s="2" t="s">
        <v>81</v>
      </c>
      <c r="F1407" s="2" t="s">
        <v>18</v>
      </c>
      <c r="G1407" s="1">
        <v>0</v>
      </c>
      <c r="H1407" s="1">
        <v>418</v>
      </c>
      <c r="I1407" s="2" t="s">
        <v>35</v>
      </c>
      <c r="J1407" s="2" t="s">
        <v>20</v>
      </c>
      <c r="K1407" s="1">
        <v>132.78</v>
      </c>
      <c r="L1407" s="3">
        <v>45482</v>
      </c>
    </row>
    <row r="1408" spans="1:12" x14ac:dyDescent="0.25">
      <c r="A1408" s="1">
        <v>101296</v>
      </c>
      <c r="B1408" s="2" t="s">
        <v>138</v>
      </c>
      <c r="C1408" s="2" t="s">
        <v>85</v>
      </c>
      <c r="D1408" s="2" t="s">
        <v>64</v>
      </c>
      <c r="E1408" s="2" t="s">
        <v>70</v>
      </c>
      <c r="F1408" s="2" t="s">
        <v>83</v>
      </c>
      <c r="G1408" s="1">
        <v>0</v>
      </c>
      <c r="H1408" s="1">
        <v>623</v>
      </c>
      <c r="I1408" s="2" t="s">
        <v>19</v>
      </c>
      <c r="J1408" s="2" t="s">
        <v>33</v>
      </c>
      <c r="K1408" s="1">
        <v>131.57</v>
      </c>
      <c r="L1408" s="3">
        <v>45482</v>
      </c>
    </row>
    <row r="1409" spans="1:12" x14ac:dyDescent="0.25">
      <c r="A1409" s="1">
        <v>101629</v>
      </c>
      <c r="B1409" s="2" t="s">
        <v>427</v>
      </c>
      <c r="C1409" s="2" t="s">
        <v>244</v>
      </c>
      <c r="D1409" s="2" t="s">
        <v>50</v>
      </c>
      <c r="E1409" s="2" t="s">
        <v>78</v>
      </c>
      <c r="F1409" s="2" t="s">
        <v>83</v>
      </c>
      <c r="G1409" s="1">
        <v>0</v>
      </c>
      <c r="H1409" s="1">
        <v>740</v>
      </c>
      <c r="I1409" s="2" t="s">
        <v>35</v>
      </c>
      <c r="J1409" s="2" t="s">
        <v>20</v>
      </c>
      <c r="K1409" s="1">
        <v>629.94000000000005</v>
      </c>
      <c r="L1409" s="3">
        <v>45481</v>
      </c>
    </row>
    <row r="1410" spans="1:12" x14ac:dyDescent="0.25">
      <c r="A1410" s="1">
        <v>101125</v>
      </c>
      <c r="B1410" s="2" t="s">
        <v>241</v>
      </c>
      <c r="C1410" s="2" t="s">
        <v>58</v>
      </c>
      <c r="D1410" s="2" t="s">
        <v>16</v>
      </c>
      <c r="E1410" s="2" t="s">
        <v>81</v>
      </c>
      <c r="F1410" s="2" t="s">
        <v>83</v>
      </c>
      <c r="G1410" s="1">
        <v>0</v>
      </c>
      <c r="H1410" s="1">
        <v>468</v>
      </c>
      <c r="I1410" s="2" t="s">
        <v>19</v>
      </c>
      <c r="J1410" s="2" t="s">
        <v>20</v>
      </c>
      <c r="K1410" s="1">
        <v>181.17</v>
      </c>
      <c r="L1410" s="3">
        <v>45481</v>
      </c>
    </row>
    <row r="1411" spans="1:12" x14ac:dyDescent="0.25">
      <c r="A1411" s="1">
        <v>100953</v>
      </c>
      <c r="B1411" s="2" t="s">
        <v>21</v>
      </c>
      <c r="C1411" s="2" t="s">
        <v>22</v>
      </c>
      <c r="D1411" s="2" t="s">
        <v>50</v>
      </c>
      <c r="E1411" s="2" t="s">
        <v>78</v>
      </c>
      <c r="F1411" s="2" t="s">
        <v>18</v>
      </c>
      <c r="G1411" s="1">
        <v>0</v>
      </c>
      <c r="H1411" s="1">
        <v>771</v>
      </c>
      <c r="I1411" s="2" t="s">
        <v>45</v>
      </c>
      <c r="J1411" s="2" t="s">
        <v>20</v>
      </c>
      <c r="K1411" s="1">
        <v>101.79</v>
      </c>
      <c r="L1411" s="3">
        <v>45481</v>
      </c>
    </row>
    <row r="1412" spans="1:12" x14ac:dyDescent="0.25">
      <c r="A1412" s="1">
        <v>100369</v>
      </c>
      <c r="B1412" s="2" t="s">
        <v>1303</v>
      </c>
      <c r="C1412" s="2" t="s">
        <v>126</v>
      </c>
      <c r="D1412" s="2" t="s">
        <v>106</v>
      </c>
      <c r="E1412" s="2" t="s">
        <v>55</v>
      </c>
      <c r="F1412" s="2" t="s">
        <v>18</v>
      </c>
      <c r="G1412" s="1">
        <v>0</v>
      </c>
      <c r="H1412" s="1">
        <v>788</v>
      </c>
      <c r="I1412" s="2" t="s">
        <v>56</v>
      </c>
      <c r="J1412" s="2" t="s">
        <v>20</v>
      </c>
      <c r="K1412" s="1">
        <v>71.23</v>
      </c>
      <c r="L1412" s="3">
        <v>45481</v>
      </c>
    </row>
    <row r="1413" spans="1:12" x14ac:dyDescent="0.25">
      <c r="A1413" s="1">
        <v>100729</v>
      </c>
      <c r="B1413" s="2" t="s">
        <v>596</v>
      </c>
      <c r="C1413" s="2" t="s">
        <v>22</v>
      </c>
      <c r="D1413" s="2" t="s">
        <v>16</v>
      </c>
      <c r="E1413" s="2" t="s">
        <v>81</v>
      </c>
      <c r="F1413" s="2" t="s">
        <v>18</v>
      </c>
      <c r="G1413" s="1">
        <v>0</v>
      </c>
      <c r="H1413" s="1">
        <v>603</v>
      </c>
      <c r="I1413" s="2" t="s">
        <v>45</v>
      </c>
      <c r="J1413" s="2" t="s">
        <v>26</v>
      </c>
      <c r="K1413" s="1">
        <v>56.52</v>
      </c>
      <c r="L1413" s="3">
        <v>45481</v>
      </c>
    </row>
    <row r="1414" spans="1:12" x14ac:dyDescent="0.25">
      <c r="A1414" s="1">
        <v>101186</v>
      </c>
      <c r="B1414" s="2" t="s">
        <v>79</v>
      </c>
      <c r="C1414" s="2" t="s">
        <v>47</v>
      </c>
      <c r="D1414" s="2" t="s">
        <v>50</v>
      </c>
      <c r="E1414" s="2" t="s">
        <v>31</v>
      </c>
      <c r="F1414" s="2" t="s">
        <v>18</v>
      </c>
      <c r="G1414" s="1">
        <v>0</v>
      </c>
      <c r="H1414" s="1">
        <v>585</v>
      </c>
      <c r="I1414" s="2" t="s">
        <v>32</v>
      </c>
      <c r="J1414" s="2" t="s">
        <v>26</v>
      </c>
      <c r="K1414" s="1">
        <v>545.38</v>
      </c>
      <c r="L1414" s="3">
        <v>45480</v>
      </c>
    </row>
    <row r="1415" spans="1:12" x14ac:dyDescent="0.25">
      <c r="A1415" s="1">
        <v>101802</v>
      </c>
      <c r="B1415" s="2" t="s">
        <v>798</v>
      </c>
      <c r="C1415" s="2" t="s">
        <v>149</v>
      </c>
      <c r="D1415" s="2" t="s">
        <v>16</v>
      </c>
      <c r="E1415" s="2" t="s">
        <v>78</v>
      </c>
      <c r="F1415" s="2" t="s">
        <v>18</v>
      </c>
      <c r="G1415" s="1">
        <v>0</v>
      </c>
      <c r="H1415" s="1">
        <v>555</v>
      </c>
      <c r="I1415" s="2" t="s">
        <v>35</v>
      </c>
      <c r="J1415" s="2" t="s">
        <v>33</v>
      </c>
      <c r="K1415" s="1">
        <v>507.26</v>
      </c>
      <c r="L1415" s="3">
        <v>45480</v>
      </c>
    </row>
    <row r="1416" spans="1:12" x14ac:dyDescent="0.25">
      <c r="A1416" s="1">
        <v>101407</v>
      </c>
      <c r="B1416" s="2" t="s">
        <v>385</v>
      </c>
      <c r="C1416" s="2" t="s">
        <v>85</v>
      </c>
      <c r="D1416" s="2" t="s">
        <v>106</v>
      </c>
      <c r="E1416" s="2" t="s">
        <v>55</v>
      </c>
      <c r="F1416" s="2" t="s">
        <v>18</v>
      </c>
      <c r="G1416" s="1">
        <v>0</v>
      </c>
      <c r="H1416" s="1">
        <v>490</v>
      </c>
      <c r="I1416" s="2" t="s">
        <v>32</v>
      </c>
      <c r="J1416" s="2" t="s">
        <v>26</v>
      </c>
      <c r="K1416" s="1">
        <v>450.26</v>
      </c>
      <c r="L1416" s="3">
        <v>45480</v>
      </c>
    </row>
    <row r="1417" spans="1:12" x14ac:dyDescent="0.25">
      <c r="A1417" s="1">
        <v>101666</v>
      </c>
      <c r="B1417" s="2" t="s">
        <v>286</v>
      </c>
      <c r="C1417" s="2" t="s">
        <v>168</v>
      </c>
      <c r="D1417" s="2" t="s">
        <v>64</v>
      </c>
      <c r="E1417" s="2" t="s">
        <v>17</v>
      </c>
      <c r="F1417" s="2" t="s">
        <v>25</v>
      </c>
      <c r="G1417" s="1">
        <v>18</v>
      </c>
      <c r="H1417" s="1">
        <v>434</v>
      </c>
      <c r="I1417" s="2" t="s">
        <v>19</v>
      </c>
      <c r="J1417" s="2" t="s">
        <v>33</v>
      </c>
      <c r="K1417" s="1">
        <v>299.25</v>
      </c>
      <c r="L1417" s="3">
        <v>45480</v>
      </c>
    </row>
    <row r="1418" spans="1:12" x14ac:dyDescent="0.25">
      <c r="A1418" s="1">
        <v>100138</v>
      </c>
      <c r="B1418" s="2" t="s">
        <v>489</v>
      </c>
      <c r="C1418" s="2" t="s">
        <v>126</v>
      </c>
      <c r="D1418" s="2" t="s">
        <v>41</v>
      </c>
      <c r="E1418" s="2" t="s">
        <v>17</v>
      </c>
      <c r="F1418" s="2" t="s">
        <v>18</v>
      </c>
      <c r="G1418" s="1">
        <v>0</v>
      </c>
      <c r="H1418" s="1">
        <v>843</v>
      </c>
      <c r="I1418" s="2" t="s">
        <v>56</v>
      </c>
      <c r="J1418" s="2" t="s">
        <v>26</v>
      </c>
      <c r="K1418" s="1">
        <v>189</v>
      </c>
      <c r="L1418" s="3">
        <v>45480</v>
      </c>
    </row>
    <row r="1419" spans="1:12" x14ac:dyDescent="0.25">
      <c r="A1419" s="1">
        <v>100228</v>
      </c>
      <c r="B1419" s="2" t="s">
        <v>367</v>
      </c>
      <c r="C1419" s="2" t="s">
        <v>103</v>
      </c>
      <c r="D1419" s="2" t="s">
        <v>16</v>
      </c>
      <c r="E1419" s="2" t="s">
        <v>78</v>
      </c>
      <c r="F1419" s="2" t="s">
        <v>18</v>
      </c>
      <c r="G1419" s="1">
        <v>0</v>
      </c>
      <c r="H1419" s="1">
        <v>621</v>
      </c>
      <c r="I1419" s="2" t="s">
        <v>37</v>
      </c>
      <c r="J1419" s="2" t="s">
        <v>20</v>
      </c>
      <c r="K1419" s="1">
        <v>159.94999999999999</v>
      </c>
      <c r="L1419" s="3">
        <v>45480</v>
      </c>
    </row>
    <row r="1420" spans="1:12" x14ac:dyDescent="0.25">
      <c r="A1420" s="1">
        <v>100826</v>
      </c>
      <c r="B1420" s="2" t="s">
        <v>1175</v>
      </c>
      <c r="C1420" s="2" t="s">
        <v>142</v>
      </c>
      <c r="D1420" s="2" t="s">
        <v>50</v>
      </c>
      <c r="E1420" s="2" t="s">
        <v>17</v>
      </c>
      <c r="F1420" s="2" t="s">
        <v>18</v>
      </c>
      <c r="G1420" s="1">
        <v>0</v>
      </c>
      <c r="H1420" s="1">
        <v>573</v>
      </c>
      <c r="I1420" s="2" t="s">
        <v>45</v>
      </c>
      <c r="J1420" s="2" t="s">
        <v>33</v>
      </c>
      <c r="K1420" s="1">
        <v>438.72</v>
      </c>
      <c r="L1420" s="3">
        <v>45479</v>
      </c>
    </row>
    <row r="1421" spans="1:12" x14ac:dyDescent="0.25">
      <c r="A1421" s="1">
        <v>100814</v>
      </c>
      <c r="B1421" s="2" t="s">
        <v>364</v>
      </c>
      <c r="C1421" s="2" t="s">
        <v>103</v>
      </c>
      <c r="D1421" s="2" t="s">
        <v>106</v>
      </c>
      <c r="E1421" s="2" t="s">
        <v>55</v>
      </c>
      <c r="F1421" s="2" t="s">
        <v>18</v>
      </c>
      <c r="G1421" s="1">
        <v>0</v>
      </c>
      <c r="H1421" s="1">
        <v>351</v>
      </c>
      <c r="I1421" s="2" t="s">
        <v>32</v>
      </c>
      <c r="J1421" s="2" t="s">
        <v>33</v>
      </c>
      <c r="K1421" s="1">
        <v>410.4</v>
      </c>
      <c r="L1421" s="3">
        <v>45479</v>
      </c>
    </row>
    <row r="1422" spans="1:12" x14ac:dyDescent="0.25">
      <c r="A1422" s="1">
        <v>100605</v>
      </c>
      <c r="B1422" s="2" t="s">
        <v>340</v>
      </c>
      <c r="C1422" s="2" t="s">
        <v>100</v>
      </c>
      <c r="D1422" s="2" t="s">
        <v>16</v>
      </c>
      <c r="E1422" s="2" t="s">
        <v>17</v>
      </c>
      <c r="F1422" s="2" t="s">
        <v>18</v>
      </c>
      <c r="G1422" s="1">
        <v>0</v>
      </c>
      <c r="H1422" s="1">
        <v>705</v>
      </c>
      <c r="I1422" s="2" t="s">
        <v>56</v>
      </c>
      <c r="J1422" s="2" t="s">
        <v>26</v>
      </c>
      <c r="K1422" s="1">
        <v>802.51</v>
      </c>
      <c r="L1422" s="3">
        <v>45478</v>
      </c>
    </row>
    <row r="1423" spans="1:12" x14ac:dyDescent="0.25">
      <c r="A1423" s="1">
        <v>101298</v>
      </c>
      <c r="B1423" s="2" t="s">
        <v>1373</v>
      </c>
      <c r="C1423" s="2" t="s">
        <v>35</v>
      </c>
      <c r="D1423" s="2" t="s">
        <v>41</v>
      </c>
      <c r="E1423" s="2" t="s">
        <v>31</v>
      </c>
      <c r="F1423" s="2" t="s">
        <v>18</v>
      </c>
      <c r="G1423" s="1">
        <v>0</v>
      </c>
      <c r="H1423" s="1">
        <v>359</v>
      </c>
      <c r="I1423" s="2" t="s">
        <v>37</v>
      </c>
      <c r="J1423" s="2" t="s">
        <v>33</v>
      </c>
      <c r="K1423" s="1">
        <v>566.27</v>
      </c>
      <c r="L1423" s="3">
        <v>45477</v>
      </c>
    </row>
    <row r="1424" spans="1:12" x14ac:dyDescent="0.25">
      <c r="A1424" s="1">
        <v>101785</v>
      </c>
      <c r="B1424" s="2" t="s">
        <v>558</v>
      </c>
      <c r="C1424" s="2" t="s">
        <v>218</v>
      </c>
      <c r="D1424" s="2" t="s">
        <v>106</v>
      </c>
      <c r="E1424" s="2" t="s">
        <v>60</v>
      </c>
      <c r="F1424" s="2" t="s">
        <v>83</v>
      </c>
      <c r="G1424" s="1">
        <v>0</v>
      </c>
      <c r="H1424" s="1">
        <v>784</v>
      </c>
      <c r="I1424" s="2" t="s">
        <v>45</v>
      </c>
      <c r="J1424" s="2" t="s">
        <v>20</v>
      </c>
      <c r="K1424" s="1">
        <v>558.84</v>
      </c>
      <c r="L1424" s="3">
        <v>45476</v>
      </c>
    </row>
    <row r="1425" spans="1:12" x14ac:dyDescent="0.25">
      <c r="A1425" s="1">
        <v>100407</v>
      </c>
      <c r="B1425" s="2" t="s">
        <v>1155</v>
      </c>
      <c r="C1425" s="2" t="s">
        <v>218</v>
      </c>
      <c r="D1425" s="2" t="s">
        <v>64</v>
      </c>
      <c r="E1425" s="2" t="s">
        <v>81</v>
      </c>
      <c r="F1425" s="2" t="s">
        <v>18</v>
      </c>
      <c r="G1425" s="1">
        <v>0</v>
      </c>
      <c r="H1425" s="1">
        <v>557</v>
      </c>
      <c r="I1425" s="2" t="s">
        <v>37</v>
      </c>
      <c r="J1425" s="2" t="s">
        <v>20</v>
      </c>
      <c r="K1425" s="1">
        <v>508.15</v>
      </c>
      <c r="L1425" s="3">
        <v>45476</v>
      </c>
    </row>
    <row r="1426" spans="1:12" x14ac:dyDescent="0.25">
      <c r="A1426" s="1">
        <v>100019</v>
      </c>
      <c r="B1426" s="2" t="s">
        <v>986</v>
      </c>
      <c r="C1426" s="2" t="s">
        <v>28</v>
      </c>
      <c r="D1426" s="2" t="s">
        <v>16</v>
      </c>
      <c r="E1426" s="2" t="s">
        <v>81</v>
      </c>
      <c r="F1426" s="2" t="s">
        <v>18</v>
      </c>
      <c r="G1426" s="1">
        <v>0</v>
      </c>
      <c r="H1426" s="1">
        <v>459</v>
      </c>
      <c r="I1426" s="2" t="s">
        <v>56</v>
      </c>
      <c r="J1426" s="2" t="s">
        <v>20</v>
      </c>
      <c r="K1426" s="1">
        <v>332.69</v>
      </c>
      <c r="L1426" s="3">
        <v>45476</v>
      </c>
    </row>
    <row r="1427" spans="1:12" x14ac:dyDescent="0.25">
      <c r="A1427" s="1">
        <v>102100</v>
      </c>
      <c r="B1427" s="2" t="s">
        <v>170</v>
      </c>
      <c r="C1427" s="2" t="s">
        <v>85</v>
      </c>
      <c r="D1427" s="2" t="s">
        <v>41</v>
      </c>
      <c r="E1427" s="2" t="s">
        <v>81</v>
      </c>
      <c r="F1427" s="2" t="s">
        <v>18</v>
      </c>
      <c r="G1427" s="1">
        <v>0</v>
      </c>
      <c r="H1427" s="1">
        <v>869</v>
      </c>
      <c r="I1427" s="2" t="s">
        <v>32</v>
      </c>
      <c r="J1427" s="2" t="s">
        <v>20</v>
      </c>
      <c r="K1427" s="1">
        <v>217.98</v>
      </c>
      <c r="L1427" s="3">
        <v>45476</v>
      </c>
    </row>
    <row r="1428" spans="1:12" x14ac:dyDescent="0.25">
      <c r="A1428" s="1">
        <v>100077</v>
      </c>
      <c r="B1428" s="2" t="s">
        <v>905</v>
      </c>
      <c r="C1428" s="2" t="s">
        <v>100</v>
      </c>
      <c r="D1428" s="2" t="s">
        <v>16</v>
      </c>
      <c r="E1428" s="2" t="s">
        <v>81</v>
      </c>
      <c r="F1428" s="2" t="s">
        <v>18</v>
      </c>
      <c r="G1428" s="1">
        <v>0</v>
      </c>
      <c r="H1428" s="1">
        <v>325</v>
      </c>
      <c r="I1428" s="2" t="s">
        <v>32</v>
      </c>
      <c r="J1428" s="2" t="s">
        <v>20</v>
      </c>
      <c r="K1428" s="1">
        <v>146.53</v>
      </c>
      <c r="L1428" s="3">
        <v>45476</v>
      </c>
    </row>
    <row r="1429" spans="1:12" x14ac:dyDescent="0.25">
      <c r="A1429" s="1">
        <v>101193</v>
      </c>
      <c r="B1429" s="2" t="s">
        <v>786</v>
      </c>
      <c r="C1429" s="2" t="s">
        <v>95</v>
      </c>
      <c r="D1429" s="2" t="s">
        <v>64</v>
      </c>
      <c r="E1429" s="2" t="s">
        <v>60</v>
      </c>
      <c r="F1429" s="2" t="s">
        <v>18</v>
      </c>
      <c r="G1429" s="1">
        <v>0</v>
      </c>
      <c r="H1429" s="1">
        <v>835</v>
      </c>
      <c r="I1429" s="2" t="s">
        <v>45</v>
      </c>
      <c r="J1429" s="2" t="s">
        <v>20</v>
      </c>
      <c r="K1429" s="1">
        <v>380.46</v>
      </c>
      <c r="L1429" s="3">
        <v>45475</v>
      </c>
    </row>
    <row r="1430" spans="1:12" x14ac:dyDescent="0.25">
      <c r="A1430" s="1">
        <v>102068</v>
      </c>
      <c r="B1430" s="2" t="s">
        <v>12</v>
      </c>
      <c r="C1430" s="2" t="s">
        <v>13</v>
      </c>
      <c r="D1430" s="2" t="s">
        <v>16</v>
      </c>
      <c r="E1430" s="2" t="s">
        <v>17</v>
      </c>
      <c r="F1430" s="2" t="s">
        <v>18</v>
      </c>
      <c r="G1430" s="1">
        <v>0</v>
      </c>
      <c r="H1430" s="1">
        <v>753</v>
      </c>
      <c r="I1430" s="2" t="s">
        <v>19</v>
      </c>
      <c r="J1430" s="2" t="s">
        <v>20</v>
      </c>
      <c r="K1430" s="1">
        <v>306.87</v>
      </c>
      <c r="L1430" s="3">
        <v>45475</v>
      </c>
    </row>
    <row r="1431" spans="1:12" x14ac:dyDescent="0.25">
      <c r="A1431" s="1">
        <v>100813</v>
      </c>
      <c r="B1431" s="2" t="s">
        <v>601</v>
      </c>
      <c r="C1431" s="2" t="s">
        <v>100</v>
      </c>
      <c r="D1431" s="2" t="s">
        <v>64</v>
      </c>
      <c r="E1431" s="2" t="s">
        <v>70</v>
      </c>
      <c r="F1431" s="2" t="s">
        <v>83</v>
      </c>
      <c r="G1431" s="1">
        <v>0</v>
      </c>
      <c r="H1431" s="1">
        <v>849</v>
      </c>
      <c r="I1431" s="2" t="s">
        <v>19</v>
      </c>
      <c r="J1431" s="2" t="s">
        <v>26</v>
      </c>
      <c r="K1431" s="1">
        <v>296.55</v>
      </c>
      <c r="L1431" s="3">
        <v>45475</v>
      </c>
    </row>
    <row r="1432" spans="1:12" x14ac:dyDescent="0.25">
      <c r="A1432" s="1">
        <v>101164</v>
      </c>
      <c r="B1432" s="2" t="s">
        <v>367</v>
      </c>
      <c r="C1432" s="2" t="s">
        <v>103</v>
      </c>
      <c r="D1432" s="2" t="s">
        <v>50</v>
      </c>
      <c r="E1432" s="2" t="s">
        <v>31</v>
      </c>
      <c r="F1432" s="2" t="s">
        <v>18</v>
      </c>
      <c r="G1432" s="1">
        <v>0</v>
      </c>
      <c r="H1432" s="1">
        <v>621</v>
      </c>
      <c r="I1432" s="2" t="s">
        <v>56</v>
      </c>
      <c r="J1432" s="2" t="s">
        <v>26</v>
      </c>
      <c r="K1432" s="1">
        <v>116.33</v>
      </c>
      <c r="L1432" s="3">
        <v>45475</v>
      </c>
    </row>
    <row r="1433" spans="1:12" x14ac:dyDescent="0.25">
      <c r="A1433" s="1">
        <v>101179</v>
      </c>
      <c r="B1433" s="2" t="s">
        <v>510</v>
      </c>
      <c r="C1433" s="2" t="s">
        <v>244</v>
      </c>
      <c r="D1433" s="2" t="s">
        <v>50</v>
      </c>
      <c r="E1433" s="2" t="s">
        <v>31</v>
      </c>
      <c r="F1433" s="2" t="s">
        <v>18</v>
      </c>
      <c r="G1433" s="1">
        <v>0</v>
      </c>
      <c r="H1433" s="1">
        <v>411</v>
      </c>
      <c r="I1433" s="2" t="s">
        <v>19</v>
      </c>
      <c r="J1433" s="2" t="s">
        <v>33</v>
      </c>
      <c r="K1433" s="1">
        <v>282.86</v>
      </c>
      <c r="L1433" s="3">
        <v>45474</v>
      </c>
    </row>
    <row r="1434" spans="1:12" x14ac:dyDescent="0.25">
      <c r="A1434" s="1">
        <v>102130</v>
      </c>
      <c r="B1434" s="2" t="s">
        <v>965</v>
      </c>
      <c r="C1434" s="2" t="s">
        <v>110</v>
      </c>
      <c r="D1434" s="2" t="s">
        <v>64</v>
      </c>
      <c r="E1434" s="2" t="s">
        <v>78</v>
      </c>
      <c r="F1434" s="2" t="s">
        <v>83</v>
      </c>
      <c r="G1434" s="1">
        <v>0</v>
      </c>
      <c r="H1434" s="1">
        <v>821</v>
      </c>
      <c r="I1434" s="2" t="s">
        <v>37</v>
      </c>
      <c r="J1434" s="2" t="s">
        <v>20</v>
      </c>
      <c r="K1434" s="1">
        <v>189.93</v>
      </c>
      <c r="L1434" s="3">
        <v>45474</v>
      </c>
    </row>
    <row r="1435" spans="1:12" x14ac:dyDescent="0.25">
      <c r="A1435" s="1">
        <v>100817</v>
      </c>
      <c r="B1435" s="2" t="s">
        <v>286</v>
      </c>
      <c r="C1435" s="2" t="s">
        <v>168</v>
      </c>
      <c r="D1435" s="2" t="s">
        <v>16</v>
      </c>
      <c r="E1435" s="2" t="s">
        <v>60</v>
      </c>
      <c r="F1435" s="2" t="s">
        <v>42</v>
      </c>
      <c r="G1435" s="1">
        <v>144</v>
      </c>
      <c r="H1435" s="1">
        <v>434</v>
      </c>
      <c r="I1435" s="2" t="s">
        <v>19</v>
      </c>
      <c r="J1435" s="2" t="s">
        <v>20</v>
      </c>
      <c r="K1435" s="1">
        <v>382.51</v>
      </c>
      <c r="L1435" s="3">
        <v>45473</v>
      </c>
    </row>
    <row r="1436" spans="1:12" x14ac:dyDescent="0.25">
      <c r="A1436" s="1">
        <v>100984</v>
      </c>
      <c r="B1436" s="2" t="s">
        <v>671</v>
      </c>
      <c r="C1436" s="2" t="s">
        <v>122</v>
      </c>
      <c r="D1436" s="2" t="s">
        <v>106</v>
      </c>
      <c r="E1436" s="2" t="s">
        <v>60</v>
      </c>
      <c r="F1436" s="2" t="s">
        <v>18</v>
      </c>
      <c r="G1436" s="1">
        <v>0</v>
      </c>
      <c r="H1436" s="1">
        <v>302</v>
      </c>
      <c r="I1436" s="2" t="s">
        <v>56</v>
      </c>
      <c r="J1436" s="2" t="s">
        <v>20</v>
      </c>
      <c r="K1436" s="1">
        <v>155.65</v>
      </c>
      <c r="L1436" s="3">
        <v>45473</v>
      </c>
    </row>
    <row r="1437" spans="1:12" x14ac:dyDescent="0.25">
      <c r="A1437" s="1">
        <v>100101</v>
      </c>
      <c r="B1437" s="2" t="s">
        <v>1042</v>
      </c>
      <c r="C1437" s="2" t="s">
        <v>58</v>
      </c>
      <c r="D1437" s="2" t="s">
        <v>50</v>
      </c>
      <c r="E1437" s="2" t="s">
        <v>35</v>
      </c>
      <c r="F1437" s="2" t="s">
        <v>18</v>
      </c>
      <c r="G1437" s="1">
        <v>0</v>
      </c>
      <c r="H1437" s="1">
        <v>578</v>
      </c>
      <c r="I1437" s="2" t="s">
        <v>56</v>
      </c>
      <c r="J1437" s="2" t="s">
        <v>26</v>
      </c>
      <c r="K1437" s="1">
        <v>632.97</v>
      </c>
      <c r="L1437" s="3">
        <v>45472</v>
      </c>
    </row>
    <row r="1438" spans="1:12" x14ac:dyDescent="0.25">
      <c r="A1438" s="1">
        <v>101669</v>
      </c>
      <c r="B1438" s="2" t="s">
        <v>388</v>
      </c>
      <c r="C1438" s="2" t="s">
        <v>142</v>
      </c>
      <c r="D1438" s="2" t="s">
        <v>64</v>
      </c>
      <c r="E1438" s="2" t="s">
        <v>55</v>
      </c>
      <c r="F1438" s="2" t="s">
        <v>18</v>
      </c>
      <c r="G1438" s="1">
        <v>0</v>
      </c>
      <c r="H1438" s="1">
        <v>662</v>
      </c>
      <c r="I1438" s="2" t="s">
        <v>56</v>
      </c>
      <c r="J1438" s="2" t="s">
        <v>26</v>
      </c>
      <c r="K1438" s="1">
        <v>244.2</v>
      </c>
      <c r="L1438" s="3">
        <v>45472</v>
      </c>
    </row>
    <row r="1439" spans="1:12" x14ac:dyDescent="0.25">
      <c r="A1439" s="1">
        <v>100473</v>
      </c>
      <c r="B1439" s="2" t="s">
        <v>280</v>
      </c>
      <c r="C1439" s="2" t="s">
        <v>187</v>
      </c>
      <c r="D1439" s="2" t="s">
        <v>50</v>
      </c>
      <c r="E1439" s="2" t="s">
        <v>60</v>
      </c>
      <c r="F1439" s="2" t="s">
        <v>18</v>
      </c>
      <c r="G1439" s="1">
        <v>0</v>
      </c>
      <c r="H1439" s="1">
        <v>621</v>
      </c>
      <c r="I1439" s="2" t="s">
        <v>37</v>
      </c>
      <c r="J1439" s="2" t="s">
        <v>20</v>
      </c>
      <c r="K1439" s="1">
        <v>835.15</v>
      </c>
      <c r="L1439" s="3">
        <v>45471</v>
      </c>
    </row>
    <row r="1440" spans="1:12" x14ac:dyDescent="0.25">
      <c r="A1440" s="1">
        <v>100113</v>
      </c>
      <c r="B1440" s="2" t="s">
        <v>497</v>
      </c>
      <c r="C1440" s="2" t="s">
        <v>142</v>
      </c>
      <c r="D1440" s="2" t="s">
        <v>41</v>
      </c>
      <c r="E1440" s="2" t="s">
        <v>17</v>
      </c>
      <c r="F1440" s="2" t="s">
        <v>18</v>
      </c>
      <c r="G1440" s="1">
        <v>0</v>
      </c>
      <c r="H1440" s="1">
        <v>465</v>
      </c>
      <c r="I1440" s="2" t="s">
        <v>37</v>
      </c>
      <c r="J1440" s="2" t="s">
        <v>26</v>
      </c>
      <c r="K1440" s="1">
        <v>283.99</v>
      </c>
      <c r="L1440" s="3">
        <v>45471</v>
      </c>
    </row>
    <row r="1441" spans="1:12" x14ac:dyDescent="0.25">
      <c r="A1441" s="1">
        <v>101675</v>
      </c>
      <c r="B1441" s="2" t="s">
        <v>210</v>
      </c>
      <c r="C1441" s="2" t="s">
        <v>95</v>
      </c>
      <c r="D1441" s="2" t="s">
        <v>106</v>
      </c>
      <c r="E1441" s="2" t="s">
        <v>55</v>
      </c>
      <c r="F1441" s="2" t="s">
        <v>18</v>
      </c>
      <c r="G1441" s="1">
        <v>0</v>
      </c>
      <c r="H1441" s="1">
        <v>369</v>
      </c>
      <c r="I1441" s="2" t="s">
        <v>45</v>
      </c>
      <c r="J1441" s="2" t="s">
        <v>20</v>
      </c>
      <c r="K1441" s="1">
        <v>211.94</v>
      </c>
      <c r="L1441" s="3">
        <v>45471</v>
      </c>
    </row>
    <row r="1442" spans="1:12" x14ac:dyDescent="0.25">
      <c r="A1442" s="1">
        <v>101264</v>
      </c>
      <c r="B1442" s="2" t="s">
        <v>234</v>
      </c>
      <c r="C1442" s="2" t="s">
        <v>142</v>
      </c>
      <c r="D1442" s="2" t="s">
        <v>41</v>
      </c>
      <c r="E1442" s="2" t="s">
        <v>60</v>
      </c>
      <c r="F1442" s="2" t="s">
        <v>18</v>
      </c>
      <c r="G1442" s="1">
        <v>0</v>
      </c>
      <c r="H1442" s="1">
        <v>494</v>
      </c>
      <c r="I1442" s="2" t="s">
        <v>32</v>
      </c>
      <c r="J1442" s="2" t="s">
        <v>20</v>
      </c>
      <c r="K1442" s="1">
        <v>135.43</v>
      </c>
      <c r="L1442" s="3">
        <v>45471</v>
      </c>
    </row>
    <row r="1443" spans="1:12" x14ac:dyDescent="0.25">
      <c r="A1443" s="1">
        <v>101077</v>
      </c>
      <c r="B1443" s="2" t="s">
        <v>610</v>
      </c>
      <c r="C1443" s="2" t="s">
        <v>126</v>
      </c>
      <c r="D1443" s="2" t="s">
        <v>41</v>
      </c>
      <c r="E1443" s="2" t="s">
        <v>81</v>
      </c>
      <c r="F1443" s="2" t="s">
        <v>42</v>
      </c>
      <c r="G1443" s="1">
        <v>142</v>
      </c>
      <c r="H1443" s="1">
        <v>315</v>
      </c>
      <c r="I1443" s="2" t="s">
        <v>45</v>
      </c>
      <c r="J1443" s="2" t="s">
        <v>20</v>
      </c>
      <c r="K1443" s="1">
        <v>1147.72</v>
      </c>
      <c r="L1443" s="3">
        <v>45470</v>
      </c>
    </row>
    <row r="1444" spans="1:12" x14ac:dyDescent="0.25">
      <c r="A1444" s="1">
        <v>100082</v>
      </c>
      <c r="B1444" s="2" t="s">
        <v>294</v>
      </c>
      <c r="C1444" s="2" t="s">
        <v>100</v>
      </c>
      <c r="D1444" s="2" t="s">
        <v>16</v>
      </c>
      <c r="E1444" s="2" t="s">
        <v>55</v>
      </c>
      <c r="F1444" s="2" t="s">
        <v>18</v>
      </c>
      <c r="G1444" s="1">
        <v>0</v>
      </c>
      <c r="H1444" s="1">
        <v>377</v>
      </c>
      <c r="I1444" s="2" t="s">
        <v>37</v>
      </c>
      <c r="J1444" s="2" t="s">
        <v>20</v>
      </c>
      <c r="K1444" s="1">
        <v>879.48</v>
      </c>
      <c r="L1444" s="3">
        <v>45470</v>
      </c>
    </row>
    <row r="1445" spans="1:12" x14ac:dyDescent="0.25">
      <c r="A1445" s="1">
        <v>101182</v>
      </c>
      <c r="B1445" s="2" t="s">
        <v>141</v>
      </c>
      <c r="C1445" s="2" t="s">
        <v>142</v>
      </c>
      <c r="D1445" s="2" t="s">
        <v>41</v>
      </c>
      <c r="E1445" s="2" t="s">
        <v>17</v>
      </c>
      <c r="F1445" s="2" t="s">
        <v>18</v>
      </c>
      <c r="G1445" s="1">
        <v>0</v>
      </c>
      <c r="H1445" s="1">
        <v>430</v>
      </c>
      <c r="I1445" s="2" t="s">
        <v>32</v>
      </c>
      <c r="J1445" s="2" t="s">
        <v>33</v>
      </c>
      <c r="K1445" s="1">
        <v>568.25</v>
      </c>
      <c r="L1445" s="3">
        <v>45470</v>
      </c>
    </row>
    <row r="1446" spans="1:12" x14ac:dyDescent="0.25">
      <c r="A1446" s="1">
        <v>100001</v>
      </c>
      <c r="B1446" s="2" t="s">
        <v>266</v>
      </c>
      <c r="C1446" s="2" t="s">
        <v>122</v>
      </c>
      <c r="D1446" s="2" t="s">
        <v>16</v>
      </c>
      <c r="E1446" s="2" t="s">
        <v>55</v>
      </c>
      <c r="F1446" s="2" t="s">
        <v>83</v>
      </c>
      <c r="G1446" s="1">
        <v>0</v>
      </c>
      <c r="H1446" s="1">
        <v>504</v>
      </c>
      <c r="I1446" s="2" t="s">
        <v>56</v>
      </c>
      <c r="J1446" s="2" t="s">
        <v>20</v>
      </c>
      <c r="K1446" s="1">
        <v>473.56</v>
      </c>
      <c r="L1446" s="3">
        <v>45470</v>
      </c>
    </row>
    <row r="1447" spans="1:12" x14ac:dyDescent="0.25">
      <c r="A1447" s="1">
        <v>101144</v>
      </c>
      <c r="B1447" s="2" t="s">
        <v>307</v>
      </c>
      <c r="C1447" s="2" t="s">
        <v>58</v>
      </c>
      <c r="D1447" s="2" t="s">
        <v>64</v>
      </c>
      <c r="E1447" s="2" t="s">
        <v>78</v>
      </c>
      <c r="F1447" s="2" t="s">
        <v>18</v>
      </c>
      <c r="G1447" s="1">
        <v>0</v>
      </c>
      <c r="H1447" s="1">
        <v>616</v>
      </c>
      <c r="I1447" s="2" t="s">
        <v>32</v>
      </c>
      <c r="J1447" s="2" t="s">
        <v>20</v>
      </c>
      <c r="K1447" s="1">
        <v>375.63</v>
      </c>
      <c r="L1447" s="3">
        <v>45470</v>
      </c>
    </row>
    <row r="1448" spans="1:12" x14ac:dyDescent="0.25">
      <c r="A1448" s="1">
        <v>100443</v>
      </c>
      <c r="B1448" s="2" t="s">
        <v>38</v>
      </c>
      <c r="C1448" s="2" t="s">
        <v>39</v>
      </c>
      <c r="D1448" s="2" t="s">
        <v>16</v>
      </c>
      <c r="E1448" s="2" t="s">
        <v>60</v>
      </c>
      <c r="F1448" s="2" t="s">
        <v>83</v>
      </c>
      <c r="G1448" s="1">
        <v>0</v>
      </c>
      <c r="H1448" s="1">
        <v>533</v>
      </c>
      <c r="I1448" s="2" t="s">
        <v>45</v>
      </c>
      <c r="J1448" s="2" t="s">
        <v>26</v>
      </c>
      <c r="K1448" s="1">
        <v>215.79</v>
      </c>
      <c r="L1448" s="3">
        <v>45469</v>
      </c>
    </row>
    <row r="1449" spans="1:12" x14ac:dyDescent="0.25">
      <c r="A1449" s="1">
        <v>101110</v>
      </c>
      <c r="B1449" s="2" t="s">
        <v>895</v>
      </c>
      <c r="C1449" s="2" t="s">
        <v>72</v>
      </c>
      <c r="D1449" s="2" t="s">
        <v>64</v>
      </c>
      <c r="E1449" s="2" t="s">
        <v>55</v>
      </c>
      <c r="F1449" s="2" t="s">
        <v>18</v>
      </c>
      <c r="G1449" s="1">
        <v>0</v>
      </c>
      <c r="H1449" s="1">
        <v>470</v>
      </c>
      <c r="I1449" s="2" t="s">
        <v>32</v>
      </c>
      <c r="J1449" s="2" t="s">
        <v>33</v>
      </c>
      <c r="K1449" s="1">
        <v>547.73</v>
      </c>
      <c r="L1449" s="3">
        <v>45468</v>
      </c>
    </row>
    <row r="1450" spans="1:12" x14ac:dyDescent="0.25">
      <c r="A1450" s="1">
        <v>100747</v>
      </c>
      <c r="B1450" s="2" t="s">
        <v>1042</v>
      </c>
      <c r="C1450" s="2" t="s">
        <v>58</v>
      </c>
      <c r="D1450" s="2" t="s">
        <v>106</v>
      </c>
      <c r="E1450" s="2" t="s">
        <v>60</v>
      </c>
      <c r="F1450" s="2" t="s">
        <v>18</v>
      </c>
      <c r="G1450" s="1">
        <v>0</v>
      </c>
      <c r="H1450" s="1">
        <v>578</v>
      </c>
      <c r="I1450" s="2" t="s">
        <v>56</v>
      </c>
      <c r="J1450" s="2" t="s">
        <v>35</v>
      </c>
      <c r="K1450" s="1">
        <v>350.13</v>
      </c>
      <c r="L1450" s="3">
        <v>45468</v>
      </c>
    </row>
    <row r="1451" spans="1:12" x14ac:dyDescent="0.25">
      <c r="A1451" s="1">
        <v>101238</v>
      </c>
      <c r="B1451" s="2" t="s">
        <v>581</v>
      </c>
      <c r="C1451" s="2" t="s">
        <v>103</v>
      </c>
      <c r="D1451" s="2" t="s">
        <v>64</v>
      </c>
      <c r="E1451" s="2" t="s">
        <v>70</v>
      </c>
      <c r="F1451" s="2" t="s">
        <v>18</v>
      </c>
      <c r="G1451" s="1">
        <v>0</v>
      </c>
      <c r="H1451" s="1">
        <v>435</v>
      </c>
      <c r="I1451" s="2" t="s">
        <v>19</v>
      </c>
      <c r="J1451" s="2" t="s">
        <v>26</v>
      </c>
      <c r="K1451" s="1">
        <v>1162.08</v>
      </c>
      <c r="L1451" s="3">
        <v>45467</v>
      </c>
    </row>
    <row r="1452" spans="1:12" x14ac:dyDescent="0.25">
      <c r="A1452" s="1">
        <v>101359</v>
      </c>
      <c r="B1452" s="2" t="s">
        <v>794</v>
      </c>
      <c r="C1452" s="2" t="s">
        <v>52</v>
      </c>
      <c r="D1452" s="2" t="s">
        <v>16</v>
      </c>
      <c r="E1452" s="2" t="s">
        <v>60</v>
      </c>
      <c r="F1452" s="2" t="s">
        <v>18</v>
      </c>
      <c r="G1452" s="1">
        <v>0</v>
      </c>
      <c r="H1452" s="1">
        <v>733</v>
      </c>
      <c r="I1452" s="2" t="s">
        <v>45</v>
      </c>
      <c r="J1452" s="2" t="s">
        <v>33</v>
      </c>
      <c r="K1452" s="1">
        <v>304.69</v>
      </c>
      <c r="L1452" s="3">
        <v>45467</v>
      </c>
    </row>
    <row r="1453" spans="1:12" x14ac:dyDescent="0.25">
      <c r="A1453" s="1">
        <v>101032</v>
      </c>
      <c r="B1453" s="2" t="s">
        <v>493</v>
      </c>
      <c r="C1453" s="2" t="s">
        <v>152</v>
      </c>
      <c r="D1453" s="2" t="s">
        <v>41</v>
      </c>
      <c r="E1453" s="2" t="s">
        <v>60</v>
      </c>
      <c r="F1453" s="2" t="s">
        <v>83</v>
      </c>
      <c r="G1453" s="1">
        <v>0</v>
      </c>
      <c r="H1453" s="1">
        <v>737</v>
      </c>
      <c r="I1453" s="2" t="s">
        <v>37</v>
      </c>
      <c r="J1453" s="2" t="s">
        <v>20</v>
      </c>
      <c r="K1453" s="1">
        <v>125.91</v>
      </c>
      <c r="L1453" s="3">
        <v>45467</v>
      </c>
    </row>
    <row r="1454" spans="1:12" x14ac:dyDescent="0.25">
      <c r="A1454" s="1">
        <v>101374</v>
      </c>
      <c r="B1454" s="2" t="s">
        <v>222</v>
      </c>
      <c r="C1454" s="2" t="s">
        <v>100</v>
      </c>
      <c r="D1454" s="2" t="s">
        <v>16</v>
      </c>
      <c r="E1454" s="2" t="s">
        <v>70</v>
      </c>
      <c r="F1454" s="2" t="s">
        <v>83</v>
      </c>
      <c r="G1454" s="1">
        <v>0</v>
      </c>
      <c r="H1454" s="1">
        <v>585</v>
      </c>
      <c r="I1454" s="2" t="s">
        <v>56</v>
      </c>
      <c r="J1454" s="2" t="s">
        <v>26</v>
      </c>
      <c r="K1454" s="1">
        <v>114.28</v>
      </c>
      <c r="L1454" s="3">
        <v>45467</v>
      </c>
    </row>
    <row r="1455" spans="1:12" x14ac:dyDescent="0.25">
      <c r="A1455" s="1">
        <v>101226</v>
      </c>
      <c r="B1455" s="2" t="s">
        <v>280</v>
      </c>
      <c r="C1455" s="2" t="s">
        <v>187</v>
      </c>
      <c r="D1455" s="2" t="s">
        <v>41</v>
      </c>
      <c r="E1455" s="2" t="s">
        <v>55</v>
      </c>
      <c r="F1455" s="2" t="s">
        <v>18</v>
      </c>
      <c r="G1455" s="1">
        <v>0</v>
      </c>
      <c r="H1455" s="1">
        <v>621</v>
      </c>
      <c r="I1455" s="2" t="s">
        <v>35</v>
      </c>
      <c r="J1455" s="2" t="s">
        <v>20</v>
      </c>
      <c r="K1455" s="1">
        <v>452</v>
      </c>
      <c r="L1455" s="3">
        <v>45466</v>
      </c>
    </row>
    <row r="1456" spans="1:12" x14ac:dyDescent="0.25">
      <c r="A1456" s="1">
        <v>100985</v>
      </c>
      <c r="B1456" s="2" t="s">
        <v>599</v>
      </c>
      <c r="C1456" s="2" t="s">
        <v>52</v>
      </c>
      <c r="D1456" s="2" t="s">
        <v>64</v>
      </c>
      <c r="E1456" s="2" t="s">
        <v>35</v>
      </c>
      <c r="F1456" s="2" t="s">
        <v>18</v>
      </c>
      <c r="G1456" s="1">
        <v>0</v>
      </c>
      <c r="H1456" s="1">
        <v>552</v>
      </c>
      <c r="I1456" s="2" t="s">
        <v>56</v>
      </c>
      <c r="J1456" s="2" t="s">
        <v>33</v>
      </c>
      <c r="K1456" s="1">
        <v>398.1</v>
      </c>
      <c r="L1456" s="3">
        <v>45466</v>
      </c>
    </row>
    <row r="1457" spans="1:12" x14ac:dyDescent="0.25">
      <c r="A1457" s="1">
        <v>100723</v>
      </c>
      <c r="B1457" s="2" t="s">
        <v>27</v>
      </c>
      <c r="C1457" s="2" t="s">
        <v>35</v>
      </c>
      <c r="D1457" s="2" t="s">
        <v>16</v>
      </c>
      <c r="E1457" s="2" t="s">
        <v>81</v>
      </c>
      <c r="F1457" s="2" t="s">
        <v>83</v>
      </c>
      <c r="G1457" s="1">
        <v>0</v>
      </c>
      <c r="H1457" s="1">
        <v>849</v>
      </c>
      <c r="I1457" s="2" t="s">
        <v>37</v>
      </c>
      <c r="J1457" s="2" t="s">
        <v>26</v>
      </c>
      <c r="K1457" s="1">
        <v>385.48</v>
      </c>
      <c r="L1457" s="3">
        <v>45466</v>
      </c>
    </row>
    <row r="1458" spans="1:12" x14ac:dyDescent="0.25">
      <c r="A1458" s="1">
        <v>100982</v>
      </c>
      <c r="B1458" s="2" t="s">
        <v>671</v>
      </c>
      <c r="C1458" s="2" t="s">
        <v>122</v>
      </c>
      <c r="D1458" s="2" t="s">
        <v>41</v>
      </c>
      <c r="E1458" s="2" t="s">
        <v>17</v>
      </c>
      <c r="F1458" s="2" t="s">
        <v>18</v>
      </c>
      <c r="G1458" s="1">
        <v>0</v>
      </c>
      <c r="H1458" s="1">
        <v>302</v>
      </c>
      <c r="I1458" s="2" t="s">
        <v>19</v>
      </c>
      <c r="J1458" s="2" t="s">
        <v>20</v>
      </c>
      <c r="K1458" s="1">
        <v>353.52</v>
      </c>
      <c r="L1458" s="3">
        <v>45466</v>
      </c>
    </row>
    <row r="1459" spans="1:12" x14ac:dyDescent="0.25">
      <c r="A1459" s="1">
        <v>100199</v>
      </c>
      <c r="B1459" s="2" t="s">
        <v>87</v>
      </c>
      <c r="C1459" s="2" t="s">
        <v>47</v>
      </c>
      <c r="D1459" s="2" t="s">
        <v>16</v>
      </c>
      <c r="E1459" s="2" t="s">
        <v>55</v>
      </c>
      <c r="F1459" s="2" t="s">
        <v>83</v>
      </c>
      <c r="G1459" s="1">
        <v>0</v>
      </c>
      <c r="H1459" s="1">
        <v>892</v>
      </c>
      <c r="I1459" s="2" t="s">
        <v>32</v>
      </c>
      <c r="J1459" s="2" t="s">
        <v>20</v>
      </c>
      <c r="K1459" s="1">
        <v>215.56</v>
      </c>
      <c r="L1459" s="3">
        <v>45466</v>
      </c>
    </row>
    <row r="1460" spans="1:12" x14ac:dyDescent="0.25">
      <c r="A1460" s="1">
        <v>100831</v>
      </c>
      <c r="B1460" s="2" t="s">
        <v>1303</v>
      </c>
      <c r="C1460" s="2" t="s">
        <v>126</v>
      </c>
      <c r="D1460" s="2" t="s">
        <v>41</v>
      </c>
      <c r="E1460" s="2" t="s">
        <v>31</v>
      </c>
      <c r="F1460" s="2" t="s">
        <v>18</v>
      </c>
      <c r="G1460" s="1">
        <v>0</v>
      </c>
      <c r="H1460" s="1">
        <v>788</v>
      </c>
      <c r="I1460" s="2" t="s">
        <v>32</v>
      </c>
      <c r="J1460" s="2" t="s">
        <v>20</v>
      </c>
      <c r="K1460" s="1">
        <v>936.71</v>
      </c>
      <c r="L1460" s="3">
        <v>45465</v>
      </c>
    </row>
    <row r="1461" spans="1:12" x14ac:dyDescent="0.25">
      <c r="A1461" s="1">
        <v>100783</v>
      </c>
      <c r="B1461" s="2" t="s">
        <v>560</v>
      </c>
      <c r="C1461" s="2" t="s">
        <v>39</v>
      </c>
      <c r="D1461" s="2" t="s">
        <v>106</v>
      </c>
      <c r="E1461" s="2" t="s">
        <v>55</v>
      </c>
      <c r="F1461" s="2" t="s">
        <v>42</v>
      </c>
      <c r="G1461" s="1">
        <v>56</v>
      </c>
      <c r="H1461" s="1">
        <v>890</v>
      </c>
      <c r="I1461" s="2" t="s">
        <v>19</v>
      </c>
      <c r="J1461" s="2" t="s">
        <v>33</v>
      </c>
      <c r="K1461" s="1">
        <v>207.97</v>
      </c>
      <c r="L1461" s="3">
        <v>45465</v>
      </c>
    </row>
    <row r="1462" spans="1:12" x14ac:dyDescent="0.25">
      <c r="A1462" s="1">
        <v>102136</v>
      </c>
      <c r="B1462" s="2" t="s">
        <v>563</v>
      </c>
      <c r="C1462" s="2" t="s">
        <v>58</v>
      </c>
      <c r="D1462" s="2" t="s">
        <v>50</v>
      </c>
      <c r="E1462" s="2" t="s">
        <v>78</v>
      </c>
      <c r="F1462" s="2" t="s">
        <v>18</v>
      </c>
      <c r="G1462" s="1">
        <v>0</v>
      </c>
      <c r="H1462" s="1">
        <v>893</v>
      </c>
      <c r="I1462" s="2" t="s">
        <v>45</v>
      </c>
      <c r="J1462" s="2" t="s">
        <v>26</v>
      </c>
      <c r="K1462" s="1">
        <v>130.65</v>
      </c>
      <c r="L1462" s="3">
        <v>45465</v>
      </c>
    </row>
    <row r="1463" spans="1:12" x14ac:dyDescent="0.25">
      <c r="A1463" s="1">
        <v>100804</v>
      </c>
      <c r="B1463" s="2" t="s">
        <v>358</v>
      </c>
      <c r="C1463" s="2" t="s">
        <v>110</v>
      </c>
      <c r="D1463" s="2" t="s">
        <v>41</v>
      </c>
      <c r="E1463" s="2" t="s">
        <v>60</v>
      </c>
      <c r="F1463" s="2" t="s">
        <v>18</v>
      </c>
      <c r="G1463" s="1">
        <v>0</v>
      </c>
      <c r="H1463" s="1">
        <v>481</v>
      </c>
      <c r="I1463" s="2" t="s">
        <v>19</v>
      </c>
      <c r="J1463" s="2" t="s">
        <v>20</v>
      </c>
      <c r="K1463" s="1">
        <v>477</v>
      </c>
      <c r="L1463" s="3">
        <v>45464</v>
      </c>
    </row>
    <row r="1464" spans="1:12" x14ac:dyDescent="0.25">
      <c r="A1464" s="1">
        <v>101305</v>
      </c>
      <c r="B1464" s="2" t="s">
        <v>619</v>
      </c>
      <c r="C1464" s="2" t="s">
        <v>244</v>
      </c>
      <c r="D1464" s="2" t="s">
        <v>50</v>
      </c>
      <c r="E1464" s="2" t="s">
        <v>70</v>
      </c>
      <c r="F1464" s="2" t="s">
        <v>18</v>
      </c>
      <c r="G1464" s="1">
        <v>0</v>
      </c>
      <c r="H1464" s="1">
        <v>351</v>
      </c>
      <c r="I1464" s="2" t="s">
        <v>45</v>
      </c>
      <c r="J1464" s="2" t="s">
        <v>20</v>
      </c>
      <c r="K1464" s="1">
        <v>474.78</v>
      </c>
      <c r="L1464" s="3">
        <v>45464</v>
      </c>
    </row>
    <row r="1465" spans="1:12" x14ac:dyDescent="0.25">
      <c r="A1465" s="1">
        <v>100523</v>
      </c>
      <c r="B1465" s="2" t="s">
        <v>12</v>
      </c>
      <c r="C1465" s="2" t="s">
        <v>13</v>
      </c>
      <c r="D1465" s="2" t="s">
        <v>50</v>
      </c>
      <c r="E1465" s="2" t="s">
        <v>60</v>
      </c>
      <c r="F1465" s="2" t="s">
        <v>18</v>
      </c>
      <c r="G1465" s="1">
        <v>0</v>
      </c>
      <c r="H1465" s="1">
        <v>753</v>
      </c>
      <c r="I1465" s="2" t="s">
        <v>19</v>
      </c>
      <c r="J1465" s="2" t="s">
        <v>20</v>
      </c>
      <c r="K1465" s="1">
        <v>401.14</v>
      </c>
      <c r="L1465" s="3">
        <v>45464</v>
      </c>
    </row>
    <row r="1466" spans="1:12" x14ac:dyDescent="0.25">
      <c r="A1466" s="1">
        <v>100119</v>
      </c>
      <c r="B1466" s="2" t="s">
        <v>581</v>
      </c>
      <c r="C1466" s="2" t="s">
        <v>103</v>
      </c>
      <c r="D1466" s="2" t="s">
        <v>106</v>
      </c>
      <c r="E1466" s="2" t="s">
        <v>55</v>
      </c>
      <c r="F1466" s="2" t="s">
        <v>18</v>
      </c>
      <c r="G1466" s="1">
        <v>0</v>
      </c>
      <c r="H1466" s="1">
        <v>435</v>
      </c>
      <c r="I1466" s="2" t="s">
        <v>45</v>
      </c>
      <c r="J1466" s="2" t="s">
        <v>20</v>
      </c>
      <c r="K1466" s="1">
        <v>391.45</v>
      </c>
      <c r="L1466" s="3">
        <v>45464</v>
      </c>
    </row>
    <row r="1467" spans="1:12" x14ac:dyDescent="0.25">
      <c r="A1467" s="1">
        <v>100143</v>
      </c>
      <c r="B1467" s="2" t="s">
        <v>525</v>
      </c>
      <c r="C1467" s="2" t="s">
        <v>58</v>
      </c>
      <c r="D1467" s="2" t="s">
        <v>41</v>
      </c>
      <c r="E1467" s="2" t="s">
        <v>70</v>
      </c>
      <c r="F1467" s="2" t="s">
        <v>25</v>
      </c>
      <c r="G1467" s="1">
        <v>19</v>
      </c>
      <c r="H1467" s="1">
        <v>501</v>
      </c>
      <c r="I1467" s="2" t="s">
        <v>35</v>
      </c>
      <c r="J1467" s="2" t="s">
        <v>20</v>
      </c>
      <c r="K1467" s="1">
        <v>383.97</v>
      </c>
      <c r="L1467" s="3">
        <v>45464</v>
      </c>
    </row>
    <row r="1468" spans="1:12" x14ac:dyDescent="0.25">
      <c r="A1468" s="1">
        <v>101376</v>
      </c>
      <c r="B1468" s="2" t="s">
        <v>278</v>
      </c>
      <c r="C1468" s="2" t="s">
        <v>62</v>
      </c>
      <c r="D1468" s="2" t="s">
        <v>16</v>
      </c>
      <c r="E1468" s="2" t="s">
        <v>60</v>
      </c>
      <c r="F1468" s="2" t="s">
        <v>18</v>
      </c>
      <c r="G1468" s="1">
        <v>0</v>
      </c>
      <c r="H1468" s="1">
        <v>713</v>
      </c>
      <c r="I1468" s="2" t="s">
        <v>56</v>
      </c>
      <c r="J1468" s="2" t="s">
        <v>20</v>
      </c>
      <c r="K1468" s="1">
        <v>345.42</v>
      </c>
      <c r="L1468" s="3">
        <v>45464</v>
      </c>
    </row>
    <row r="1469" spans="1:12" x14ac:dyDescent="0.25">
      <c r="A1469" s="1">
        <v>101139</v>
      </c>
      <c r="B1469" s="2" t="s">
        <v>474</v>
      </c>
      <c r="C1469" s="2" t="s">
        <v>270</v>
      </c>
      <c r="D1469" s="2" t="s">
        <v>50</v>
      </c>
      <c r="E1469" s="2" t="s">
        <v>17</v>
      </c>
      <c r="F1469" s="2" t="s">
        <v>25</v>
      </c>
      <c r="G1469" s="1">
        <v>13</v>
      </c>
      <c r="H1469" s="1">
        <v>483</v>
      </c>
      <c r="I1469" s="2" t="s">
        <v>37</v>
      </c>
      <c r="J1469" s="2" t="s">
        <v>33</v>
      </c>
      <c r="K1469" s="1">
        <v>192.47</v>
      </c>
      <c r="L1469" s="3">
        <v>45464</v>
      </c>
    </row>
    <row r="1470" spans="1:12" x14ac:dyDescent="0.25">
      <c r="A1470" s="1">
        <v>100419</v>
      </c>
      <c r="B1470" s="2" t="s">
        <v>322</v>
      </c>
      <c r="C1470" s="2" t="s">
        <v>13</v>
      </c>
      <c r="D1470" s="2" t="s">
        <v>50</v>
      </c>
      <c r="E1470" s="2" t="s">
        <v>70</v>
      </c>
      <c r="F1470" s="2" t="s">
        <v>83</v>
      </c>
      <c r="G1470" s="1">
        <v>0</v>
      </c>
      <c r="H1470" s="1">
        <v>623</v>
      </c>
      <c r="I1470" s="2" t="s">
        <v>56</v>
      </c>
      <c r="J1470" s="2" t="s">
        <v>26</v>
      </c>
      <c r="K1470" s="1">
        <v>178.64</v>
      </c>
      <c r="L1470" s="3">
        <v>45464</v>
      </c>
    </row>
    <row r="1471" spans="1:12" x14ac:dyDescent="0.25">
      <c r="A1471" s="1">
        <v>100508</v>
      </c>
      <c r="B1471" s="2" t="s">
        <v>767</v>
      </c>
      <c r="C1471" s="2" t="s">
        <v>110</v>
      </c>
      <c r="D1471" s="2" t="s">
        <v>16</v>
      </c>
      <c r="E1471" s="2" t="s">
        <v>55</v>
      </c>
      <c r="F1471" s="2" t="s">
        <v>18</v>
      </c>
      <c r="G1471" s="1">
        <v>0</v>
      </c>
      <c r="H1471" s="1">
        <v>543</v>
      </c>
      <c r="I1471" s="2" t="s">
        <v>56</v>
      </c>
      <c r="J1471" s="2" t="s">
        <v>20</v>
      </c>
      <c r="K1471" s="1">
        <v>1025.51</v>
      </c>
      <c r="L1471" s="3">
        <v>45463</v>
      </c>
    </row>
    <row r="1472" spans="1:12" x14ac:dyDescent="0.25">
      <c r="A1472" s="1">
        <v>101175</v>
      </c>
      <c r="B1472" s="2" t="s">
        <v>319</v>
      </c>
      <c r="C1472" s="2" t="s">
        <v>100</v>
      </c>
      <c r="D1472" s="2" t="s">
        <v>41</v>
      </c>
      <c r="E1472" s="2" t="s">
        <v>55</v>
      </c>
      <c r="F1472" s="2" t="s">
        <v>18</v>
      </c>
      <c r="G1472" s="1">
        <v>0</v>
      </c>
      <c r="H1472" s="1">
        <v>411</v>
      </c>
      <c r="I1472" s="2" t="s">
        <v>35</v>
      </c>
      <c r="J1472" s="2" t="s">
        <v>20</v>
      </c>
      <c r="K1472" s="1">
        <v>261.49</v>
      </c>
      <c r="L1472" s="3">
        <v>45463</v>
      </c>
    </row>
    <row r="1473" spans="1:12" x14ac:dyDescent="0.25">
      <c r="A1473" s="1">
        <v>100916</v>
      </c>
      <c r="B1473" s="2" t="s">
        <v>553</v>
      </c>
      <c r="C1473" s="2" t="s">
        <v>72</v>
      </c>
      <c r="D1473" s="2" t="s">
        <v>16</v>
      </c>
      <c r="E1473" s="2" t="s">
        <v>60</v>
      </c>
      <c r="F1473" s="2" t="s">
        <v>18</v>
      </c>
      <c r="G1473" s="1">
        <v>0</v>
      </c>
      <c r="H1473" s="1">
        <v>638</v>
      </c>
      <c r="I1473" s="2" t="s">
        <v>56</v>
      </c>
      <c r="J1473" s="2" t="s">
        <v>20</v>
      </c>
      <c r="K1473" s="1">
        <v>91.89</v>
      </c>
      <c r="L1473" s="3">
        <v>45463</v>
      </c>
    </row>
    <row r="1474" spans="1:12" x14ac:dyDescent="0.25">
      <c r="A1474" s="1">
        <v>100619</v>
      </c>
      <c r="B1474" s="2" t="s">
        <v>955</v>
      </c>
      <c r="C1474" s="2" t="s">
        <v>39</v>
      </c>
      <c r="D1474" s="2" t="s">
        <v>16</v>
      </c>
      <c r="E1474" s="2" t="s">
        <v>78</v>
      </c>
      <c r="F1474" s="2" t="s">
        <v>18</v>
      </c>
      <c r="G1474" s="1">
        <v>0</v>
      </c>
      <c r="H1474" s="1">
        <v>406</v>
      </c>
      <c r="I1474" s="2" t="s">
        <v>37</v>
      </c>
      <c r="J1474" s="2" t="s">
        <v>33</v>
      </c>
      <c r="K1474" s="1">
        <v>80.17</v>
      </c>
      <c r="L1474" s="3">
        <v>45463</v>
      </c>
    </row>
    <row r="1475" spans="1:12" x14ac:dyDescent="0.25">
      <c r="A1475" s="1">
        <v>101604</v>
      </c>
      <c r="B1475" s="2" t="s">
        <v>570</v>
      </c>
      <c r="C1475" s="2" t="s">
        <v>39</v>
      </c>
      <c r="D1475" s="2" t="s">
        <v>41</v>
      </c>
      <c r="E1475" s="2" t="s">
        <v>35</v>
      </c>
      <c r="F1475" s="2" t="s">
        <v>18</v>
      </c>
      <c r="G1475" s="1">
        <v>0</v>
      </c>
      <c r="H1475" s="1">
        <v>371</v>
      </c>
      <c r="I1475" s="2" t="s">
        <v>45</v>
      </c>
      <c r="J1475" s="2" t="s">
        <v>33</v>
      </c>
      <c r="K1475" s="1">
        <v>806.14</v>
      </c>
      <c r="L1475" s="3">
        <v>45462</v>
      </c>
    </row>
    <row r="1476" spans="1:12" x14ac:dyDescent="0.25">
      <c r="A1476" s="1">
        <v>101107</v>
      </c>
      <c r="B1476" s="2" t="s">
        <v>798</v>
      </c>
      <c r="C1476" s="2" t="s">
        <v>35</v>
      </c>
      <c r="D1476" s="2" t="s">
        <v>16</v>
      </c>
      <c r="E1476" s="2" t="s">
        <v>60</v>
      </c>
      <c r="F1476" s="2" t="s">
        <v>25</v>
      </c>
      <c r="G1476" s="1">
        <v>6</v>
      </c>
      <c r="H1476" s="1">
        <v>555</v>
      </c>
      <c r="I1476" s="2" t="s">
        <v>19</v>
      </c>
      <c r="J1476" s="2" t="s">
        <v>20</v>
      </c>
      <c r="K1476" s="1">
        <v>595.84</v>
      </c>
      <c r="L1476" s="3">
        <v>45462</v>
      </c>
    </row>
    <row r="1477" spans="1:12" x14ac:dyDescent="0.25">
      <c r="A1477" s="1">
        <v>101273</v>
      </c>
      <c r="B1477" s="2" t="s">
        <v>34</v>
      </c>
      <c r="C1477" s="2" t="s">
        <v>13</v>
      </c>
      <c r="D1477" s="2" t="s">
        <v>64</v>
      </c>
      <c r="E1477" s="2" t="s">
        <v>31</v>
      </c>
      <c r="F1477" s="2" t="s">
        <v>83</v>
      </c>
      <c r="G1477" s="1">
        <v>0</v>
      </c>
      <c r="H1477" s="1">
        <v>672</v>
      </c>
      <c r="I1477" s="2" t="s">
        <v>56</v>
      </c>
      <c r="J1477" s="2" t="s">
        <v>26</v>
      </c>
      <c r="K1477" s="1">
        <v>532.29999999999995</v>
      </c>
      <c r="L1477" s="3">
        <v>45462</v>
      </c>
    </row>
    <row r="1478" spans="1:12" x14ac:dyDescent="0.25">
      <c r="A1478" s="1">
        <v>100748</v>
      </c>
      <c r="B1478" s="2" t="s">
        <v>560</v>
      </c>
      <c r="C1478" s="2" t="s">
        <v>35</v>
      </c>
      <c r="D1478" s="2" t="s">
        <v>64</v>
      </c>
      <c r="E1478" s="2" t="s">
        <v>17</v>
      </c>
      <c r="F1478" s="2" t="s">
        <v>83</v>
      </c>
      <c r="G1478" s="1">
        <v>0</v>
      </c>
      <c r="H1478" s="1">
        <v>890</v>
      </c>
      <c r="I1478" s="2" t="s">
        <v>19</v>
      </c>
      <c r="J1478" s="2" t="s">
        <v>33</v>
      </c>
      <c r="K1478" s="1">
        <v>483.83</v>
      </c>
      <c r="L1478" s="3">
        <v>45462</v>
      </c>
    </row>
    <row r="1479" spans="1:12" x14ac:dyDescent="0.25">
      <c r="A1479" s="1">
        <v>102112</v>
      </c>
      <c r="B1479" s="2" t="s">
        <v>355</v>
      </c>
      <c r="C1479" s="2" t="s">
        <v>244</v>
      </c>
      <c r="D1479" s="2" t="s">
        <v>16</v>
      </c>
      <c r="E1479" s="2" t="s">
        <v>55</v>
      </c>
      <c r="F1479" s="2" t="s">
        <v>18</v>
      </c>
      <c r="G1479" s="1">
        <v>0</v>
      </c>
      <c r="H1479" s="1">
        <v>746</v>
      </c>
      <c r="I1479" s="2" t="s">
        <v>37</v>
      </c>
      <c r="J1479" s="2" t="s">
        <v>26</v>
      </c>
      <c r="K1479" s="1">
        <v>478.8</v>
      </c>
      <c r="L1479" s="3">
        <v>45462</v>
      </c>
    </row>
    <row r="1480" spans="1:12" x14ac:dyDescent="0.25">
      <c r="A1480" s="1">
        <v>101949</v>
      </c>
      <c r="B1480" s="2" t="s">
        <v>286</v>
      </c>
      <c r="C1480" s="2" t="s">
        <v>168</v>
      </c>
      <c r="D1480" s="2" t="s">
        <v>41</v>
      </c>
      <c r="E1480" s="2" t="s">
        <v>31</v>
      </c>
      <c r="F1480" s="2" t="s">
        <v>18</v>
      </c>
      <c r="G1480" s="1">
        <v>0</v>
      </c>
      <c r="H1480" s="1">
        <v>434</v>
      </c>
      <c r="I1480" s="2" t="s">
        <v>19</v>
      </c>
      <c r="J1480" s="2" t="s">
        <v>33</v>
      </c>
      <c r="K1480" s="1">
        <v>475.42</v>
      </c>
      <c r="L1480" s="3">
        <v>45461</v>
      </c>
    </row>
    <row r="1481" spans="1:12" x14ac:dyDescent="0.25">
      <c r="A1481" s="1">
        <v>100066</v>
      </c>
      <c r="B1481" s="2" t="s">
        <v>202</v>
      </c>
      <c r="C1481" s="2" t="s">
        <v>95</v>
      </c>
      <c r="D1481" s="2" t="s">
        <v>50</v>
      </c>
      <c r="E1481" s="2" t="s">
        <v>55</v>
      </c>
      <c r="F1481" s="2" t="s">
        <v>25</v>
      </c>
      <c r="G1481" s="1">
        <v>2</v>
      </c>
      <c r="H1481" s="1">
        <v>570</v>
      </c>
      <c r="I1481" s="2" t="s">
        <v>56</v>
      </c>
      <c r="J1481" s="2" t="s">
        <v>33</v>
      </c>
      <c r="K1481" s="1">
        <v>318.02</v>
      </c>
      <c r="L1481" s="3">
        <v>45461</v>
      </c>
    </row>
    <row r="1482" spans="1:12" x14ac:dyDescent="0.25">
      <c r="A1482" s="1">
        <v>101990</v>
      </c>
      <c r="B1482" s="2" t="s">
        <v>364</v>
      </c>
      <c r="C1482" s="2" t="s">
        <v>103</v>
      </c>
      <c r="D1482" s="2" t="s">
        <v>41</v>
      </c>
      <c r="E1482" s="2" t="s">
        <v>60</v>
      </c>
      <c r="F1482" s="2" t="s">
        <v>83</v>
      </c>
      <c r="G1482" s="1">
        <v>0</v>
      </c>
      <c r="H1482" s="1">
        <v>351</v>
      </c>
      <c r="I1482" s="2" t="s">
        <v>56</v>
      </c>
      <c r="J1482" s="2" t="s">
        <v>20</v>
      </c>
      <c r="K1482" s="1">
        <v>247.67</v>
      </c>
      <c r="L1482" s="3">
        <v>45461</v>
      </c>
    </row>
    <row r="1483" spans="1:12" x14ac:dyDescent="0.25">
      <c r="A1483" s="1">
        <v>101002</v>
      </c>
      <c r="B1483" s="2" t="s">
        <v>75</v>
      </c>
      <c r="C1483" s="2" t="s">
        <v>39</v>
      </c>
      <c r="D1483" s="2" t="s">
        <v>16</v>
      </c>
      <c r="E1483" s="2" t="s">
        <v>70</v>
      </c>
      <c r="F1483" s="2" t="s">
        <v>42</v>
      </c>
      <c r="G1483" s="1">
        <v>177</v>
      </c>
      <c r="H1483" s="1">
        <v>554</v>
      </c>
      <c r="I1483" s="2" t="s">
        <v>37</v>
      </c>
      <c r="J1483" s="2" t="s">
        <v>26</v>
      </c>
      <c r="K1483" s="1">
        <v>192.86</v>
      </c>
      <c r="L1483" s="3">
        <v>45461</v>
      </c>
    </row>
    <row r="1484" spans="1:12" x14ac:dyDescent="0.25">
      <c r="A1484" s="1">
        <v>100618</v>
      </c>
      <c r="B1484" s="2" t="s">
        <v>908</v>
      </c>
      <c r="C1484" s="2" t="s">
        <v>110</v>
      </c>
      <c r="D1484" s="2" t="s">
        <v>41</v>
      </c>
      <c r="E1484" s="2" t="s">
        <v>55</v>
      </c>
      <c r="F1484" s="2" t="s">
        <v>18</v>
      </c>
      <c r="G1484" s="1">
        <v>0</v>
      </c>
      <c r="H1484" s="1">
        <v>550</v>
      </c>
      <c r="I1484" s="2" t="s">
        <v>56</v>
      </c>
      <c r="J1484" s="2" t="s">
        <v>26</v>
      </c>
      <c r="K1484" s="1">
        <v>108.94</v>
      </c>
      <c r="L1484" s="3">
        <v>45461</v>
      </c>
    </row>
    <row r="1485" spans="1:12" x14ac:dyDescent="0.25">
      <c r="A1485" s="1">
        <v>102151</v>
      </c>
      <c r="B1485" s="2" t="s">
        <v>619</v>
      </c>
      <c r="C1485" s="2" t="s">
        <v>244</v>
      </c>
      <c r="D1485" s="2" t="s">
        <v>106</v>
      </c>
      <c r="E1485" s="2" t="s">
        <v>35</v>
      </c>
      <c r="F1485" s="2" t="s">
        <v>83</v>
      </c>
      <c r="G1485" s="1">
        <v>0</v>
      </c>
      <c r="H1485" s="1">
        <v>351</v>
      </c>
      <c r="I1485" s="2" t="s">
        <v>45</v>
      </c>
      <c r="J1485" s="2" t="s">
        <v>20</v>
      </c>
      <c r="K1485" s="1"/>
      <c r="L1485" s="3">
        <v>45461</v>
      </c>
    </row>
    <row r="1486" spans="1:12" x14ac:dyDescent="0.25">
      <c r="A1486" s="1">
        <v>100978</v>
      </c>
      <c r="B1486" s="2" t="s">
        <v>1663</v>
      </c>
      <c r="C1486" s="2" t="s">
        <v>100</v>
      </c>
      <c r="D1486" s="2" t="s">
        <v>50</v>
      </c>
      <c r="E1486" s="2" t="s">
        <v>60</v>
      </c>
      <c r="F1486" s="2" t="s">
        <v>25</v>
      </c>
      <c r="G1486" s="1">
        <v>3</v>
      </c>
      <c r="H1486" s="1">
        <v>452</v>
      </c>
      <c r="I1486" s="2" t="s">
        <v>45</v>
      </c>
      <c r="J1486" s="2" t="s">
        <v>26</v>
      </c>
      <c r="K1486" s="1">
        <v>628.08000000000004</v>
      </c>
      <c r="L1486" s="3">
        <v>45460</v>
      </c>
    </row>
    <row r="1487" spans="1:12" x14ac:dyDescent="0.25">
      <c r="A1487" s="1">
        <v>101725</v>
      </c>
      <c r="B1487" s="2" t="s">
        <v>299</v>
      </c>
      <c r="C1487" s="2" t="s">
        <v>22</v>
      </c>
      <c r="D1487" s="2" t="s">
        <v>64</v>
      </c>
      <c r="E1487" s="2" t="s">
        <v>31</v>
      </c>
      <c r="F1487" s="2" t="s">
        <v>42</v>
      </c>
      <c r="G1487" s="1">
        <v>59</v>
      </c>
      <c r="H1487" s="1">
        <v>855</v>
      </c>
      <c r="I1487" s="2" t="s">
        <v>37</v>
      </c>
      <c r="J1487" s="2" t="s">
        <v>20</v>
      </c>
      <c r="K1487" s="1">
        <v>497.34</v>
      </c>
      <c r="L1487" s="3">
        <v>45460</v>
      </c>
    </row>
    <row r="1488" spans="1:12" x14ac:dyDescent="0.25">
      <c r="A1488" s="1">
        <v>102199</v>
      </c>
      <c r="B1488" s="2" t="s">
        <v>313</v>
      </c>
      <c r="C1488" s="2" t="s">
        <v>58</v>
      </c>
      <c r="D1488" s="2" t="s">
        <v>106</v>
      </c>
      <c r="E1488" s="2" t="s">
        <v>55</v>
      </c>
      <c r="F1488" s="2" t="s">
        <v>83</v>
      </c>
      <c r="G1488" s="1">
        <v>0</v>
      </c>
      <c r="H1488" s="1">
        <v>716</v>
      </c>
      <c r="I1488" s="2" t="s">
        <v>19</v>
      </c>
      <c r="J1488" s="2" t="s">
        <v>20</v>
      </c>
      <c r="K1488" s="1">
        <v>428.93</v>
      </c>
      <c r="L1488" s="3">
        <v>45460</v>
      </c>
    </row>
    <row r="1489" spans="1:12" x14ac:dyDescent="0.25">
      <c r="A1489" s="1">
        <v>100630</v>
      </c>
      <c r="B1489" s="2" t="s">
        <v>534</v>
      </c>
      <c r="C1489" s="2" t="s">
        <v>39</v>
      </c>
      <c r="D1489" s="2" t="s">
        <v>41</v>
      </c>
      <c r="E1489" s="2" t="s">
        <v>81</v>
      </c>
      <c r="F1489" s="2" t="s">
        <v>25</v>
      </c>
      <c r="G1489" s="1">
        <v>28</v>
      </c>
      <c r="H1489" s="1">
        <v>592</v>
      </c>
      <c r="I1489" s="2" t="s">
        <v>37</v>
      </c>
      <c r="J1489" s="2" t="s">
        <v>20</v>
      </c>
      <c r="K1489" s="1">
        <v>316.54000000000002</v>
      </c>
      <c r="L1489" s="3">
        <v>45460</v>
      </c>
    </row>
    <row r="1490" spans="1:12" x14ac:dyDescent="0.25">
      <c r="A1490" s="1">
        <v>100881</v>
      </c>
      <c r="B1490" s="2" t="s">
        <v>222</v>
      </c>
      <c r="C1490" s="2" t="s">
        <v>100</v>
      </c>
      <c r="D1490" s="2" t="s">
        <v>50</v>
      </c>
      <c r="E1490" s="2" t="s">
        <v>17</v>
      </c>
      <c r="F1490" s="2" t="s">
        <v>42</v>
      </c>
      <c r="G1490" s="1">
        <v>118</v>
      </c>
      <c r="H1490" s="1">
        <v>585</v>
      </c>
      <c r="I1490" s="2" t="s">
        <v>37</v>
      </c>
      <c r="J1490" s="2" t="s">
        <v>20</v>
      </c>
      <c r="K1490" s="1">
        <v>273.64</v>
      </c>
      <c r="L1490" s="3">
        <v>45460</v>
      </c>
    </row>
    <row r="1491" spans="1:12" x14ac:dyDescent="0.25">
      <c r="A1491" s="1">
        <v>100358</v>
      </c>
      <c r="B1491" s="2" t="s">
        <v>742</v>
      </c>
      <c r="C1491" s="2" t="s">
        <v>100</v>
      </c>
      <c r="D1491" s="2" t="s">
        <v>50</v>
      </c>
      <c r="E1491" s="2" t="s">
        <v>31</v>
      </c>
      <c r="F1491" s="2" t="s">
        <v>18</v>
      </c>
      <c r="G1491" s="1">
        <v>0</v>
      </c>
      <c r="H1491" s="1">
        <v>571</v>
      </c>
      <c r="I1491" s="2" t="s">
        <v>45</v>
      </c>
      <c r="J1491" s="2" t="s">
        <v>20</v>
      </c>
      <c r="K1491" s="1">
        <v>176.68</v>
      </c>
      <c r="L1491" s="3">
        <v>45460</v>
      </c>
    </row>
    <row r="1492" spans="1:12" x14ac:dyDescent="0.25">
      <c r="A1492" s="1">
        <v>101015</v>
      </c>
      <c r="B1492" s="2" t="s">
        <v>786</v>
      </c>
      <c r="C1492" s="2" t="s">
        <v>95</v>
      </c>
      <c r="D1492" s="2" t="s">
        <v>16</v>
      </c>
      <c r="E1492" s="2" t="s">
        <v>78</v>
      </c>
      <c r="F1492" s="2" t="s">
        <v>18</v>
      </c>
      <c r="G1492" s="1">
        <v>0</v>
      </c>
      <c r="H1492" s="1">
        <v>835</v>
      </c>
      <c r="I1492" s="2" t="s">
        <v>19</v>
      </c>
      <c r="J1492" s="2" t="s">
        <v>20</v>
      </c>
      <c r="K1492" s="1">
        <v>84.29</v>
      </c>
      <c r="L1492" s="3">
        <v>45460</v>
      </c>
    </row>
    <row r="1493" spans="1:12" x14ac:dyDescent="0.25">
      <c r="A1493" s="1">
        <v>100538</v>
      </c>
      <c r="B1493" s="2" t="s">
        <v>512</v>
      </c>
      <c r="C1493" s="2" t="s">
        <v>152</v>
      </c>
      <c r="D1493" s="2" t="s">
        <v>41</v>
      </c>
      <c r="E1493" s="2" t="s">
        <v>60</v>
      </c>
      <c r="F1493" s="2" t="s">
        <v>25</v>
      </c>
      <c r="G1493" s="1">
        <v>15</v>
      </c>
      <c r="H1493" s="1">
        <v>853</v>
      </c>
      <c r="I1493" s="2" t="s">
        <v>56</v>
      </c>
      <c r="J1493" s="2" t="s">
        <v>33</v>
      </c>
      <c r="K1493" s="1">
        <v>542.04</v>
      </c>
      <c r="L1493" s="3">
        <v>45459</v>
      </c>
    </row>
    <row r="1494" spans="1:12" x14ac:dyDescent="0.25">
      <c r="A1494" s="1">
        <v>100733</v>
      </c>
      <c r="B1494" s="2" t="s">
        <v>136</v>
      </c>
      <c r="C1494" s="2" t="s">
        <v>58</v>
      </c>
      <c r="D1494" s="2" t="s">
        <v>106</v>
      </c>
      <c r="E1494" s="2" t="s">
        <v>31</v>
      </c>
      <c r="F1494" s="2" t="s">
        <v>18</v>
      </c>
      <c r="G1494" s="1">
        <v>0</v>
      </c>
      <c r="H1494" s="1">
        <v>540</v>
      </c>
      <c r="I1494" s="2" t="s">
        <v>37</v>
      </c>
      <c r="J1494" s="2" t="s">
        <v>20</v>
      </c>
      <c r="K1494" s="1">
        <v>356.53</v>
      </c>
      <c r="L1494" s="3">
        <v>45459</v>
      </c>
    </row>
    <row r="1495" spans="1:12" x14ac:dyDescent="0.25">
      <c r="A1495" s="1">
        <v>100776</v>
      </c>
      <c r="B1495" s="2" t="s">
        <v>43</v>
      </c>
      <c r="C1495" s="2" t="s">
        <v>22</v>
      </c>
      <c r="D1495" s="2" t="s">
        <v>41</v>
      </c>
      <c r="E1495" s="2" t="s">
        <v>31</v>
      </c>
      <c r="F1495" s="2" t="s">
        <v>18</v>
      </c>
      <c r="G1495" s="1">
        <v>0</v>
      </c>
      <c r="H1495" s="1">
        <v>396</v>
      </c>
      <c r="I1495" s="2" t="s">
        <v>32</v>
      </c>
      <c r="J1495" s="2" t="s">
        <v>20</v>
      </c>
      <c r="K1495" s="1">
        <v>98.94</v>
      </c>
      <c r="L1495" s="3">
        <v>45459</v>
      </c>
    </row>
    <row r="1496" spans="1:12" x14ac:dyDescent="0.25">
      <c r="A1496" s="1">
        <v>100641</v>
      </c>
      <c r="B1496" s="2" t="s">
        <v>734</v>
      </c>
      <c r="C1496" s="2" t="s">
        <v>218</v>
      </c>
      <c r="D1496" s="2" t="s">
        <v>16</v>
      </c>
      <c r="E1496" s="2" t="s">
        <v>78</v>
      </c>
      <c r="F1496" s="2" t="s">
        <v>42</v>
      </c>
      <c r="G1496" s="1">
        <v>155</v>
      </c>
      <c r="H1496" s="1">
        <v>865</v>
      </c>
      <c r="I1496" s="2" t="s">
        <v>32</v>
      </c>
      <c r="J1496" s="2" t="s">
        <v>20</v>
      </c>
      <c r="K1496" s="1">
        <v>1341.39</v>
      </c>
      <c r="L1496" s="3">
        <v>45458</v>
      </c>
    </row>
    <row r="1497" spans="1:12" x14ac:dyDescent="0.25">
      <c r="A1497" s="1">
        <v>100935</v>
      </c>
      <c r="B1497" s="2" t="s">
        <v>728</v>
      </c>
      <c r="C1497" s="2" t="s">
        <v>85</v>
      </c>
      <c r="D1497" s="2" t="s">
        <v>64</v>
      </c>
      <c r="E1497" s="2" t="s">
        <v>17</v>
      </c>
      <c r="F1497" s="2" t="s">
        <v>18</v>
      </c>
      <c r="G1497" s="1">
        <v>0</v>
      </c>
      <c r="H1497" s="1">
        <v>653</v>
      </c>
      <c r="I1497" s="2" t="s">
        <v>56</v>
      </c>
      <c r="J1497" s="2" t="s">
        <v>33</v>
      </c>
      <c r="K1497" s="1">
        <v>775.36</v>
      </c>
      <c r="L1497" s="3">
        <v>45458</v>
      </c>
    </row>
    <row r="1498" spans="1:12" x14ac:dyDescent="0.25">
      <c r="A1498" s="1">
        <v>100778</v>
      </c>
      <c r="B1498" s="2" t="s">
        <v>51</v>
      </c>
      <c r="C1498" s="2" t="s">
        <v>52</v>
      </c>
      <c r="D1498" s="2" t="s">
        <v>106</v>
      </c>
      <c r="E1498" s="2" t="s">
        <v>60</v>
      </c>
      <c r="F1498" s="2" t="s">
        <v>18</v>
      </c>
      <c r="G1498" s="1">
        <v>0</v>
      </c>
      <c r="H1498" s="1">
        <v>567</v>
      </c>
      <c r="I1498" s="2" t="s">
        <v>19</v>
      </c>
      <c r="J1498" s="2" t="s">
        <v>26</v>
      </c>
      <c r="K1498" s="1">
        <v>196.86</v>
      </c>
      <c r="L1498" s="3">
        <v>45458</v>
      </c>
    </row>
    <row r="1499" spans="1:12" x14ac:dyDescent="0.25">
      <c r="A1499" s="1">
        <v>101055</v>
      </c>
      <c r="B1499" s="2" t="s">
        <v>177</v>
      </c>
      <c r="C1499" s="2" t="s">
        <v>85</v>
      </c>
      <c r="D1499" s="2" t="s">
        <v>106</v>
      </c>
      <c r="E1499" s="2" t="s">
        <v>60</v>
      </c>
      <c r="F1499" s="2" t="s">
        <v>25</v>
      </c>
      <c r="G1499" s="1">
        <v>28</v>
      </c>
      <c r="H1499" s="1">
        <v>375</v>
      </c>
      <c r="I1499" s="2" t="s">
        <v>37</v>
      </c>
      <c r="J1499" s="2" t="s">
        <v>20</v>
      </c>
      <c r="K1499" s="1">
        <v>174.23</v>
      </c>
      <c r="L1499" s="3">
        <v>45458</v>
      </c>
    </row>
    <row r="1500" spans="1:12" x14ac:dyDescent="0.25">
      <c r="A1500" s="1">
        <v>101641</v>
      </c>
      <c r="B1500" s="2" t="s">
        <v>220</v>
      </c>
      <c r="C1500" s="2" t="s">
        <v>152</v>
      </c>
      <c r="D1500" s="2" t="s">
        <v>106</v>
      </c>
      <c r="E1500" s="2" t="s">
        <v>17</v>
      </c>
      <c r="F1500" s="2" t="s">
        <v>42</v>
      </c>
      <c r="G1500" s="1">
        <v>140</v>
      </c>
      <c r="H1500" s="1">
        <v>710</v>
      </c>
      <c r="I1500" s="2" t="s">
        <v>45</v>
      </c>
      <c r="J1500" s="2" t="s">
        <v>20</v>
      </c>
      <c r="K1500" s="1">
        <v>728.41</v>
      </c>
      <c r="L1500" s="3">
        <v>45457</v>
      </c>
    </row>
    <row r="1501" spans="1:12" x14ac:dyDescent="0.25">
      <c r="A1501" s="1">
        <v>100521</v>
      </c>
      <c r="B1501" s="2" t="s">
        <v>272</v>
      </c>
      <c r="C1501" s="2" t="s">
        <v>100</v>
      </c>
      <c r="D1501" s="2" t="s">
        <v>50</v>
      </c>
      <c r="E1501" s="2" t="s">
        <v>31</v>
      </c>
      <c r="F1501" s="2" t="s">
        <v>18</v>
      </c>
      <c r="G1501" s="1">
        <v>0</v>
      </c>
      <c r="H1501" s="1">
        <v>666</v>
      </c>
      <c r="I1501" s="2" t="s">
        <v>19</v>
      </c>
      <c r="J1501" s="2" t="s">
        <v>20</v>
      </c>
      <c r="K1501" s="1">
        <v>521.04999999999995</v>
      </c>
      <c r="L1501" s="3">
        <v>45457</v>
      </c>
    </row>
    <row r="1502" spans="1:12" x14ac:dyDescent="0.25">
      <c r="A1502" s="1">
        <v>101763</v>
      </c>
      <c r="B1502" s="2" t="s">
        <v>1175</v>
      </c>
      <c r="C1502" s="2" t="s">
        <v>142</v>
      </c>
      <c r="D1502" s="2" t="s">
        <v>64</v>
      </c>
      <c r="E1502" s="2" t="s">
        <v>55</v>
      </c>
      <c r="F1502" s="2" t="s">
        <v>18</v>
      </c>
      <c r="G1502" s="1">
        <v>0</v>
      </c>
      <c r="H1502" s="1">
        <v>573</v>
      </c>
      <c r="I1502" s="2" t="s">
        <v>32</v>
      </c>
      <c r="J1502" s="2" t="s">
        <v>33</v>
      </c>
      <c r="K1502" s="1">
        <v>479.43</v>
      </c>
      <c r="L1502" s="3">
        <v>45457</v>
      </c>
    </row>
    <row r="1503" spans="1:12" x14ac:dyDescent="0.25">
      <c r="A1503" s="1">
        <v>101613</v>
      </c>
      <c r="B1503" s="2" t="s">
        <v>340</v>
      </c>
      <c r="C1503" s="2" t="s">
        <v>100</v>
      </c>
      <c r="D1503" s="2" t="s">
        <v>106</v>
      </c>
      <c r="E1503" s="2" t="s">
        <v>81</v>
      </c>
      <c r="F1503" s="2" t="s">
        <v>18</v>
      </c>
      <c r="G1503" s="1">
        <v>0</v>
      </c>
      <c r="H1503" s="1">
        <v>705</v>
      </c>
      <c r="I1503" s="2" t="s">
        <v>56</v>
      </c>
      <c r="J1503" s="2" t="s">
        <v>20</v>
      </c>
      <c r="K1503" s="1">
        <v>423.72</v>
      </c>
      <c r="L1503" s="3">
        <v>45457</v>
      </c>
    </row>
    <row r="1504" spans="1:12" x14ac:dyDescent="0.25">
      <c r="A1504" s="1">
        <v>100787</v>
      </c>
      <c r="B1504" s="2" t="s">
        <v>200</v>
      </c>
      <c r="C1504" s="2" t="s">
        <v>142</v>
      </c>
      <c r="D1504" s="2" t="s">
        <v>106</v>
      </c>
      <c r="E1504" s="2" t="s">
        <v>60</v>
      </c>
      <c r="F1504" s="2" t="s">
        <v>42</v>
      </c>
      <c r="G1504" s="1">
        <v>113</v>
      </c>
      <c r="H1504" s="1">
        <v>784</v>
      </c>
      <c r="I1504" s="2" t="s">
        <v>19</v>
      </c>
      <c r="J1504" s="2" t="s">
        <v>26</v>
      </c>
      <c r="K1504" s="1">
        <v>195.37</v>
      </c>
      <c r="L1504" s="3">
        <v>45457</v>
      </c>
    </row>
    <row r="1505" spans="1:12" x14ac:dyDescent="0.25">
      <c r="A1505" s="1">
        <v>100376</v>
      </c>
      <c r="B1505" s="2" t="s">
        <v>750</v>
      </c>
      <c r="C1505" s="2" t="s">
        <v>52</v>
      </c>
      <c r="D1505" s="2" t="s">
        <v>41</v>
      </c>
      <c r="E1505" s="2" t="s">
        <v>31</v>
      </c>
      <c r="F1505" s="2" t="s">
        <v>25</v>
      </c>
      <c r="G1505" s="1">
        <v>6</v>
      </c>
      <c r="H1505" s="1">
        <v>856</v>
      </c>
      <c r="I1505" s="2" t="s">
        <v>45</v>
      </c>
      <c r="J1505" s="2" t="s">
        <v>20</v>
      </c>
      <c r="K1505" s="1">
        <v>696.18</v>
      </c>
      <c r="L1505" s="3">
        <v>45456</v>
      </c>
    </row>
    <row r="1506" spans="1:12" x14ac:dyDescent="0.25">
      <c r="A1506" s="1">
        <v>100602</v>
      </c>
      <c r="B1506" s="2" t="s">
        <v>402</v>
      </c>
      <c r="C1506" s="2" t="s">
        <v>95</v>
      </c>
      <c r="D1506" s="2" t="s">
        <v>50</v>
      </c>
      <c r="E1506" s="2" t="s">
        <v>31</v>
      </c>
      <c r="F1506" s="2" t="s">
        <v>18</v>
      </c>
      <c r="G1506" s="1">
        <v>0</v>
      </c>
      <c r="H1506" s="1">
        <v>355</v>
      </c>
      <c r="I1506" s="2" t="s">
        <v>32</v>
      </c>
      <c r="J1506" s="2" t="s">
        <v>26</v>
      </c>
      <c r="K1506" s="1">
        <v>523.30999999999995</v>
      </c>
      <c r="L1506" s="3">
        <v>45456</v>
      </c>
    </row>
    <row r="1507" spans="1:12" x14ac:dyDescent="0.25">
      <c r="A1507" s="1">
        <v>101825</v>
      </c>
      <c r="B1507" s="2" t="s">
        <v>355</v>
      </c>
      <c r="C1507" s="2" t="s">
        <v>244</v>
      </c>
      <c r="D1507" s="2" t="s">
        <v>41</v>
      </c>
      <c r="E1507" s="2" t="s">
        <v>55</v>
      </c>
      <c r="F1507" s="2" t="s">
        <v>18</v>
      </c>
      <c r="G1507" s="1">
        <v>0</v>
      </c>
      <c r="H1507" s="1">
        <v>746</v>
      </c>
      <c r="I1507" s="2" t="s">
        <v>35</v>
      </c>
      <c r="J1507" s="2" t="s">
        <v>33</v>
      </c>
      <c r="K1507" s="1">
        <v>270.02</v>
      </c>
      <c r="L1507" s="3">
        <v>45456</v>
      </c>
    </row>
    <row r="1508" spans="1:12" x14ac:dyDescent="0.25">
      <c r="A1508" s="1">
        <v>100635</v>
      </c>
      <c r="B1508" s="2" t="s">
        <v>1206</v>
      </c>
      <c r="C1508" s="2" t="s">
        <v>22</v>
      </c>
      <c r="D1508" s="2" t="s">
        <v>64</v>
      </c>
      <c r="E1508" s="2" t="s">
        <v>55</v>
      </c>
      <c r="F1508" s="2" t="s">
        <v>25</v>
      </c>
      <c r="G1508" s="1">
        <v>5</v>
      </c>
      <c r="H1508" s="1">
        <v>607</v>
      </c>
      <c r="I1508" s="2" t="s">
        <v>19</v>
      </c>
      <c r="J1508" s="2" t="s">
        <v>26</v>
      </c>
      <c r="K1508" s="1">
        <v>688.86</v>
      </c>
      <c r="L1508" s="3">
        <v>45455</v>
      </c>
    </row>
    <row r="1509" spans="1:12" x14ac:dyDescent="0.25">
      <c r="A1509" s="1">
        <v>100030</v>
      </c>
      <c r="B1509" s="2" t="s">
        <v>307</v>
      </c>
      <c r="C1509" s="2" t="s">
        <v>58</v>
      </c>
      <c r="D1509" s="2" t="s">
        <v>16</v>
      </c>
      <c r="E1509" s="2" t="s">
        <v>31</v>
      </c>
      <c r="F1509" s="2" t="s">
        <v>18</v>
      </c>
      <c r="G1509" s="1">
        <v>0</v>
      </c>
      <c r="H1509" s="1">
        <v>616</v>
      </c>
      <c r="I1509" s="2" t="s">
        <v>35</v>
      </c>
      <c r="J1509" s="2" t="s">
        <v>33</v>
      </c>
      <c r="K1509" s="1">
        <v>668.79</v>
      </c>
      <c r="L1509" s="3">
        <v>45455</v>
      </c>
    </row>
    <row r="1510" spans="1:12" x14ac:dyDescent="0.25">
      <c r="A1510" s="1">
        <v>100212</v>
      </c>
      <c r="B1510" s="2" t="s">
        <v>371</v>
      </c>
      <c r="C1510" s="2" t="s">
        <v>52</v>
      </c>
      <c r="D1510" s="2" t="s">
        <v>16</v>
      </c>
      <c r="E1510" s="2" t="s">
        <v>55</v>
      </c>
      <c r="F1510" s="2" t="s">
        <v>25</v>
      </c>
      <c r="G1510" s="1">
        <v>14</v>
      </c>
      <c r="H1510" s="1">
        <v>339</v>
      </c>
      <c r="I1510" s="2" t="s">
        <v>37</v>
      </c>
      <c r="J1510" s="2" t="s">
        <v>26</v>
      </c>
      <c r="K1510" s="1">
        <v>421.78</v>
      </c>
      <c r="L1510" s="3">
        <v>45455</v>
      </c>
    </row>
    <row r="1511" spans="1:12" x14ac:dyDescent="0.25">
      <c r="A1511" s="1">
        <v>100174</v>
      </c>
      <c r="B1511" s="2" t="s">
        <v>429</v>
      </c>
      <c r="C1511" s="2" t="s">
        <v>52</v>
      </c>
      <c r="D1511" s="2" t="s">
        <v>64</v>
      </c>
      <c r="E1511" s="2" t="s">
        <v>78</v>
      </c>
      <c r="F1511" s="2" t="s">
        <v>18</v>
      </c>
      <c r="G1511" s="1">
        <v>0</v>
      </c>
      <c r="H1511" s="1">
        <v>568</v>
      </c>
      <c r="I1511" s="2" t="s">
        <v>45</v>
      </c>
      <c r="J1511" s="2" t="s">
        <v>20</v>
      </c>
      <c r="K1511" s="1">
        <v>210.9</v>
      </c>
      <c r="L1511" s="3">
        <v>45455</v>
      </c>
    </row>
    <row r="1512" spans="1:12" x14ac:dyDescent="0.25">
      <c r="A1512" s="1">
        <v>100611</v>
      </c>
      <c r="B1512" s="2" t="s">
        <v>616</v>
      </c>
      <c r="C1512" s="2" t="s">
        <v>95</v>
      </c>
      <c r="D1512" s="2" t="s">
        <v>106</v>
      </c>
      <c r="E1512" s="2" t="s">
        <v>78</v>
      </c>
      <c r="F1512" s="2" t="s">
        <v>18</v>
      </c>
      <c r="G1512" s="1">
        <v>0</v>
      </c>
      <c r="H1512" s="1">
        <v>898</v>
      </c>
      <c r="I1512" s="2" t="s">
        <v>45</v>
      </c>
      <c r="J1512" s="2" t="s">
        <v>20</v>
      </c>
      <c r="K1512" s="1">
        <v>254.52</v>
      </c>
      <c r="L1512" s="3">
        <v>45454</v>
      </c>
    </row>
    <row r="1513" spans="1:12" x14ac:dyDescent="0.25">
      <c r="A1513" s="1">
        <v>102171</v>
      </c>
      <c r="B1513" s="2" t="s">
        <v>184</v>
      </c>
      <c r="C1513" s="2" t="s">
        <v>62</v>
      </c>
      <c r="D1513" s="2" t="s">
        <v>41</v>
      </c>
      <c r="E1513" s="2" t="s">
        <v>55</v>
      </c>
      <c r="F1513" s="2" t="s">
        <v>18</v>
      </c>
      <c r="G1513" s="1">
        <v>0</v>
      </c>
      <c r="H1513" s="1">
        <v>571</v>
      </c>
      <c r="I1513" s="2" t="s">
        <v>45</v>
      </c>
      <c r="J1513" s="2" t="s">
        <v>33</v>
      </c>
      <c r="K1513" s="1">
        <v>1030.06</v>
      </c>
      <c r="L1513" s="3">
        <v>45453</v>
      </c>
    </row>
    <row r="1514" spans="1:12" x14ac:dyDescent="0.25">
      <c r="A1514" s="1">
        <v>100502</v>
      </c>
      <c r="B1514" s="2" t="s">
        <v>222</v>
      </c>
      <c r="C1514" s="2" t="s">
        <v>100</v>
      </c>
      <c r="D1514" s="2" t="s">
        <v>16</v>
      </c>
      <c r="E1514" s="2" t="s">
        <v>55</v>
      </c>
      <c r="F1514" s="2" t="s">
        <v>83</v>
      </c>
      <c r="G1514" s="1">
        <v>0</v>
      </c>
      <c r="H1514" s="1">
        <v>585</v>
      </c>
      <c r="I1514" s="2" t="s">
        <v>37</v>
      </c>
      <c r="J1514" s="2" t="s">
        <v>33</v>
      </c>
      <c r="K1514" s="1">
        <v>998.76</v>
      </c>
      <c r="L1514" s="3">
        <v>45453</v>
      </c>
    </row>
    <row r="1515" spans="1:12" x14ac:dyDescent="0.25">
      <c r="A1515" s="1">
        <v>101209</v>
      </c>
      <c r="B1515" s="2" t="s">
        <v>798</v>
      </c>
      <c r="C1515" s="2" t="s">
        <v>149</v>
      </c>
      <c r="D1515" s="2" t="s">
        <v>50</v>
      </c>
      <c r="E1515" s="2" t="s">
        <v>70</v>
      </c>
      <c r="F1515" s="2" t="s">
        <v>18</v>
      </c>
      <c r="G1515" s="1">
        <v>0</v>
      </c>
      <c r="H1515" s="1">
        <v>555</v>
      </c>
      <c r="I1515" s="2" t="s">
        <v>19</v>
      </c>
      <c r="J1515" s="2" t="s">
        <v>20</v>
      </c>
      <c r="K1515" s="1">
        <v>642</v>
      </c>
      <c r="L1515" s="3">
        <v>45453</v>
      </c>
    </row>
    <row r="1516" spans="1:12" x14ac:dyDescent="0.25">
      <c r="A1516" s="1">
        <v>101227</v>
      </c>
      <c r="B1516" s="2" t="s">
        <v>162</v>
      </c>
      <c r="C1516" s="2" t="s">
        <v>13</v>
      </c>
      <c r="D1516" s="2" t="s">
        <v>16</v>
      </c>
      <c r="E1516" s="2" t="s">
        <v>35</v>
      </c>
      <c r="F1516" s="2" t="s">
        <v>25</v>
      </c>
      <c r="G1516" s="1">
        <v>19</v>
      </c>
      <c r="H1516" s="1">
        <v>410</v>
      </c>
      <c r="I1516" s="2" t="s">
        <v>32</v>
      </c>
      <c r="J1516" s="2" t="s">
        <v>20</v>
      </c>
      <c r="K1516" s="1">
        <v>340.73</v>
      </c>
      <c r="L1516" s="3">
        <v>45453</v>
      </c>
    </row>
    <row r="1517" spans="1:12" x14ac:dyDescent="0.25">
      <c r="A1517" s="1">
        <v>100491</v>
      </c>
      <c r="B1517" s="2" t="s">
        <v>262</v>
      </c>
      <c r="C1517" s="2" t="s">
        <v>134</v>
      </c>
      <c r="D1517" s="2" t="s">
        <v>106</v>
      </c>
      <c r="E1517" s="2" t="s">
        <v>70</v>
      </c>
      <c r="F1517" s="2" t="s">
        <v>18</v>
      </c>
      <c r="G1517" s="1">
        <v>0</v>
      </c>
      <c r="H1517" s="1">
        <v>399</v>
      </c>
      <c r="I1517" s="2" t="s">
        <v>19</v>
      </c>
      <c r="J1517" s="2" t="s">
        <v>20</v>
      </c>
      <c r="K1517" s="1">
        <v>217.67</v>
      </c>
      <c r="L1517" s="3">
        <v>45453</v>
      </c>
    </row>
    <row r="1518" spans="1:12" x14ac:dyDescent="0.25">
      <c r="A1518" s="1">
        <v>100660</v>
      </c>
      <c r="B1518" s="2" t="s">
        <v>68</v>
      </c>
      <c r="C1518" s="2" t="s">
        <v>52</v>
      </c>
      <c r="D1518" s="2" t="s">
        <v>50</v>
      </c>
      <c r="E1518" s="2" t="s">
        <v>60</v>
      </c>
      <c r="F1518" s="2" t="s">
        <v>42</v>
      </c>
      <c r="G1518" s="1">
        <v>50</v>
      </c>
      <c r="H1518" s="1">
        <v>309</v>
      </c>
      <c r="I1518" s="2" t="s">
        <v>37</v>
      </c>
      <c r="J1518" s="2" t="s">
        <v>20</v>
      </c>
      <c r="K1518" s="1">
        <v>104.35</v>
      </c>
      <c r="L1518" s="3">
        <v>45453</v>
      </c>
    </row>
    <row r="1519" spans="1:12" x14ac:dyDescent="0.25">
      <c r="A1519" s="1">
        <v>101812</v>
      </c>
      <c r="B1519" s="2" t="s">
        <v>194</v>
      </c>
      <c r="C1519" s="2" t="s">
        <v>47</v>
      </c>
      <c r="D1519" s="2" t="s">
        <v>50</v>
      </c>
      <c r="E1519" s="2" t="s">
        <v>17</v>
      </c>
      <c r="F1519" s="2" t="s">
        <v>25</v>
      </c>
      <c r="G1519" s="1">
        <v>27</v>
      </c>
      <c r="H1519" s="1">
        <v>308</v>
      </c>
      <c r="I1519" s="2" t="s">
        <v>32</v>
      </c>
      <c r="J1519" s="2" t="s">
        <v>20</v>
      </c>
      <c r="K1519" s="1">
        <v>396.19</v>
      </c>
      <c r="L1519" s="3">
        <v>45452</v>
      </c>
    </row>
    <row r="1520" spans="1:12" x14ac:dyDescent="0.25">
      <c r="A1520" s="1">
        <v>101147</v>
      </c>
      <c r="B1520" s="2" t="s">
        <v>1402</v>
      </c>
      <c r="C1520" s="2" t="s">
        <v>100</v>
      </c>
      <c r="D1520" s="2" t="s">
        <v>16</v>
      </c>
      <c r="E1520" s="2" t="s">
        <v>55</v>
      </c>
      <c r="F1520" s="2" t="s">
        <v>25</v>
      </c>
      <c r="G1520" s="1">
        <v>11</v>
      </c>
      <c r="H1520" s="1">
        <v>588</v>
      </c>
      <c r="I1520" s="2" t="s">
        <v>19</v>
      </c>
      <c r="J1520" s="2" t="s">
        <v>20</v>
      </c>
      <c r="K1520" s="1">
        <v>101.8</v>
      </c>
      <c r="L1520" s="3">
        <v>45452</v>
      </c>
    </row>
    <row r="1521" spans="1:12" x14ac:dyDescent="0.25">
      <c r="A1521" s="1">
        <v>101600</v>
      </c>
      <c r="B1521" s="2" t="s">
        <v>12</v>
      </c>
      <c r="C1521" s="2" t="s">
        <v>13</v>
      </c>
      <c r="D1521" s="2" t="s">
        <v>64</v>
      </c>
      <c r="E1521" s="2" t="s">
        <v>60</v>
      </c>
      <c r="F1521" s="2" t="s">
        <v>18</v>
      </c>
      <c r="G1521" s="1">
        <v>0</v>
      </c>
      <c r="H1521" s="1">
        <v>753</v>
      </c>
      <c r="I1521" s="2" t="s">
        <v>19</v>
      </c>
      <c r="J1521" s="2" t="s">
        <v>35</v>
      </c>
      <c r="K1521" s="1">
        <v>31.43</v>
      </c>
      <c r="L1521" s="3">
        <v>45452</v>
      </c>
    </row>
    <row r="1522" spans="1:12" x14ac:dyDescent="0.25">
      <c r="A1522" s="1">
        <v>100231</v>
      </c>
      <c r="B1522" s="2" t="s">
        <v>497</v>
      </c>
      <c r="C1522" s="2" t="s">
        <v>142</v>
      </c>
      <c r="D1522" s="2" t="s">
        <v>64</v>
      </c>
      <c r="E1522" s="2" t="s">
        <v>78</v>
      </c>
      <c r="F1522" s="2" t="s">
        <v>42</v>
      </c>
      <c r="G1522" s="1">
        <v>57</v>
      </c>
      <c r="H1522" s="1">
        <v>465</v>
      </c>
      <c r="I1522" s="2" t="s">
        <v>45</v>
      </c>
      <c r="J1522" s="2" t="s">
        <v>26</v>
      </c>
      <c r="K1522" s="1">
        <v>1017.63</v>
      </c>
      <c r="L1522" s="3">
        <v>45451</v>
      </c>
    </row>
    <row r="1523" spans="1:12" x14ac:dyDescent="0.25">
      <c r="A1523" s="1">
        <v>100151</v>
      </c>
      <c r="B1523" s="2" t="s">
        <v>489</v>
      </c>
      <c r="C1523" s="2" t="s">
        <v>126</v>
      </c>
      <c r="D1523" s="2" t="s">
        <v>50</v>
      </c>
      <c r="E1523" s="2" t="s">
        <v>55</v>
      </c>
      <c r="F1523" s="2" t="s">
        <v>83</v>
      </c>
      <c r="G1523" s="1">
        <v>0</v>
      </c>
      <c r="H1523" s="1">
        <v>843</v>
      </c>
      <c r="I1523" s="2" t="s">
        <v>19</v>
      </c>
      <c r="J1523" s="2" t="s">
        <v>20</v>
      </c>
      <c r="K1523" s="1">
        <v>616.04999999999995</v>
      </c>
      <c r="L1523" s="3">
        <v>45451</v>
      </c>
    </row>
    <row r="1524" spans="1:12" x14ac:dyDescent="0.25">
      <c r="A1524" s="1">
        <v>101408</v>
      </c>
      <c r="B1524" s="2" t="s">
        <v>595</v>
      </c>
      <c r="C1524" s="2" t="s">
        <v>22</v>
      </c>
      <c r="D1524" s="2" t="s">
        <v>16</v>
      </c>
      <c r="E1524" s="2" t="s">
        <v>31</v>
      </c>
      <c r="F1524" s="2" t="s">
        <v>83</v>
      </c>
      <c r="G1524" s="1">
        <v>0</v>
      </c>
      <c r="H1524" s="1">
        <v>372</v>
      </c>
      <c r="I1524" s="2" t="s">
        <v>56</v>
      </c>
      <c r="J1524" s="2" t="s">
        <v>33</v>
      </c>
      <c r="K1524" s="1">
        <v>508.43</v>
      </c>
      <c r="L1524" s="3">
        <v>45451</v>
      </c>
    </row>
    <row r="1525" spans="1:12" x14ac:dyDescent="0.25">
      <c r="A1525" s="1">
        <v>101414</v>
      </c>
      <c r="B1525" s="2" t="s">
        <v>247</v>
      </c>
      <c r="C1525" s="2" t="s">
        <v>126</v>
      </c>
      <c r="D1525" s="2" t="s">
        <v>41</v>
      </c>
      <c r="E1525" s="2" t="s">
        <v>31</v>
      </c>
      <c r="F1525" s="2" t="s">
        <v>83</v>
      </c>
      <c r="G1525" s="1">
        <v>0</v>
      </c>
      <c r="H1525" s="1">
        <v>527</v>
      </c>
      <c r="I1525" s="2" t="s">
        <v>45</v>
      </c>
      <c r="J1525" s="2" t="s">
        <v>33</v>
      </c>
      <c r="K1525" s="1">
        <v>616.27</v>
      </c>
      <c r="L1525" s="3">
        <v>45450</v>
      </c>
    </row>
    <row r="1526" spans="1:12" x14ac:dyDescent="0.25">
      <c r="A1526" s="1">
        <v>101299</v>
      </c>
      <c r="B1526" s="2" t="s">
        <v>79</v>
      </c>
      <c r="C1526" s="2" t="s">
        <v>47</v>
      </c>
      <c r="D1526" s="2" t="s">
        <v>64</v>
      </c>
      <c r="E1526" s="2" t="s">
        <v>31</v>
      </c>
      <c r="F1526" s="2" t="s">
        <v>25</v>
      </c>
      <c r="G1526" s="1">
        <v>21</v>
      </c>
      <c r="H1526" s="1">
        <v>585</v>
      </c>
      <c r="I1526" s="2" t="s">
        <v>32</v>
      </c>
      <c r="J1526" s="2" t="s">
        <v>35</v>
      </c>
      <c r="K1526" s="1">
        <v>334.63</v>
      </c>
      <c r="L1526" s="3">
        <v>45450</v>
      </c>
    </row>
    <row r="1527" spans="1:12" x14ac:dyDescent="0.25">
      <c r="A1527" s="1">
        <v>100806</v>
      </c>
      <c r="B1527" s="2" t="s">
        <v>905</v>
      </c>
      <c r="C1527" s="2" t="s">
        <v>100</v>
      </c>
      <c r="D1527" s="2" t="s">
        <v>50</v>
      </c>
      <c r="E1527" s="2" t="s">
        <v>70</v>
      </c>
      <c r="F1527" s="2" t="s">
        <v>42</v>
      </c>
      <c r="G1527" s="1">
        <v>37</v>
      </c>
      <c r="H1527" s="1">
        <v>325</v>
      </c>
      <c r="I1527" s="2" t="s">
        <v>56</v>
      </c>
      <c r="J1527" s="2" t="s">
        <v>20</v>
      </c>
      <c r="K1527" s="1">
        <v>168.99</v>
      </c>
      <c r="L1527" s="3">
        <v>45450</v>
      </c>
    </row>
    <row r="1528" spans="1:12" x14ac:dyDescent="0.25">
      <c r="A1528" s="1">
        <v>100818</v>
      </c>
      <c r="B1528" s="2" t="s">
        <v>444</v>
      </c>
      <c r="C1528" s="2" t="s">
        <v>52</v>
      </c>
      <c r="D1528" s="2" t="s">
        <v>16</v>
      </c>
      <c r="E1528" s="2" t="s">
        <v>78</v>
      </c>
      <c r="F1528" s="2" t="s">
        <v>83</v>
      </c>
      <c r="G1528" s="1">
        <v>0</v>
      </c>
      <c r="H1528" s="1">
        <v>688</v>
      </c>
      <c r="I1528" s="2" t="s">
        <v>56</v>
      </c>
      <c r="J1528" s="2" t="s">
        <v>26</v>
      </c>
      <c r="K1528" s="1">
        <v>107.34</v>
      </c>
      <c r="L1528" s="3">
        <v>45450</v>
      </c>
    </row>
    <row r="1529" spans="1:12" x14ac:dyDescent="0.25">
      <c r="A1529" s="1">
        <v>101228</v>
      </c>
      <c r="B1529" s="2" t="s">
        <v>21</v>
      </c>
      <c r="C1529" s="2" t="s">
        <v>22</v>
      </c>
      <c r="D1529" s="2" t="s">
        <v>41</v>
      </c>
      <c r="E1529" s="2" t="s">
        <v>17</v>
      </c>
      <c r="F1529" s="2" t="s">
        <v>18</v>
      </c>
      <c r="G1529" s="1">
        <v>0</v>
      </c>
      <c r="H1529" s="1">
        <v>771</v>
      </c>
      <c r="I1529" s="2" t="s">
        <v>45</v>
      </c>
      <c r="J1529" s="2" t="s">
        <v>33</v>
      </c>
      <c r="K1529" s="1">
        <v>1003.74</v>
      </c>
      <c r="L1529" s="3">
        <v>45449</v>
      </c>
    </row>
    <row r="1530" spans="1:12" x14ac:dyDescent="0.25">
      <c r="A1530" s="1">
        <v>101963</v>
      </c>
      <c r="B1530" s="2" t="s">
        <v>225</v>
      </c>
      <c r="C1530" s="2" t="s">
        <v>142</v>
      </c>
      <c r="D1530" s="2" t="s">
        <v>50</v>
      </c>
      <c r="E1530" s="2" t="s">
        <v>70</v>
      </c>
      <c r="F1530" s="2" t="s">
        <v>25</v>
      </c>
      <c r="G1530" s="1">
        <v>23</v>
      </c>
      <c r="H1530" s="1">
        <v>741</v>
      </c>
      <c r="I1530" s="2" t="s">
        <v>56</v>
      </c>
      <c r="J1530" s="2" t="s">
        <v>20</v>
      </c>
      <c r="K1530" s="1">
        <v>800.93</v>
      </c>
      <c r="L1530" s="3">
        <v>45449</v>
      </c>
    </row>
    <row r="1531" spans="1:12" x14ac:dyDescent="0.25">
      <c r="A1531" s="1">
        <v>100127</v>
      </c>
      <c r="B1531" s="2" t="s">
        <v>292</v>
      </c>
      <c r="C1531" s="2" t="s">
        <v>149</v>
      </c>
      <c r="D1531" s="2" t="s">
        <v>50</v>
      </c>
      <c r="E1531" s="2" t="s">
        <v>60</v>
      </c>
      <c r="F1531" s="2" t="s">
        <v>83</v>
      </c>
      <c r="G1531" s="1" t="s">
        <v>35</v>
      </c>
      <c r="H1531" s="1">
        <v>466</v>
      </c>
      <c r="I1531" s="2" t="s">
        <v>32</v>
      </c>
      <c r="J1531" s="2" t="s">
        <v>33</v>
      </c>
      <c r="K1531" s="1">
        <v>479.24</v>
      </c>
      <c r="L1531" s="3">
        <v>45449</v>
      </c>
    </row>
    <row r="1532" spans="1:12" x14ac:dyDescent="0.25">
      <c r="A1532" s="1">
        <v>100429</v>
      </c>
      <c r="B1532" s="2" t="s">
        <v>537</v>
      </c>
      <c r="C1532" s="2" t="s">
        <v>187</v>
      </c>
      <c r="D1532" s="2" t="s">
        <v>50</v>
      </c>
      <c r="E1532" s="2" t="s">
        <v>35</v>
      </c>
      <c r="F1532" s="2" t="s">
        <v>18</v>
      </c>
      <c r="G1532" s="1">
        <v>0</v>
      </c>
      <c r="H1532" s="1">
        <v>874</v>
      </c>
      <c r="I1532" s="2" t="s">
        <v>19</v>
      </c>
      <c r="J1532" s="2" t="s">
        <v>26</v>
      </c>
      <c r="K1532" s="1">
        <v>187.26</v>
      </c>
      <c r="L1532" s="3">
        <v>45449</v>
      </c>
    </row>
    <row r="1533" spans="1:12" x14ac:dyDescent="0.25">
      <c r="A1533" s="1">
        <v>100157</v>
      </c>
      <c r="B1533" s="2" t="s">
        <v>478</v>
      </c>
      <c r="C1533" s="2" t="s">
        <v>218</v>
      </c>
      <c r="D1533" s="2" t="s">
        <v>106</v>
      </c>
      <c r="E1533" s="2" t="s">
        <v>31</v>
      </c>
      <c r="F1533" s="2" t="s">
        <v>83</v>
      </c>
      <c r="G1533" s="1">
        <v>0</v>
      </c>
      <c r="H1533" s="1">
        <v>712</v>
      </c>
      <c r="I1533" s="2" t="s">
        <v>19</v>
      </c>
      <c r="J1533" s="2" t="s">
        <v>33</v>
      </c>
      <c r="K1533" s="1">
        <v>564.77</v>
      </c>
      <c r="L1533" s="3">
        <v>45448</v>
      </c>
    </row>
    <row r="1534" spans="1:12" x14ac:dyDescent="0.25">
      <c r="A1534" s="1">
        <v>100616</v>
      </c>
      <c r="B1534" s="2" t="s">
        <v>1378</v>
      </c>
      <c r="C1534" s="2" t="s">
        <v>142</v>
      </c>
      <c r="D1534" s="2" t="s">
        <v>41</v>
      </c>
      <c r="E1534" s="2" t="s">
        <v>55</v>
      </c>
      <c r="F1534" s="2" t="s">
        <v>42</v>
      </c>
      <c r="G1534" s="1">
        <v>124</v>
      </c>
      <c r="H1534" s="1">
        <v>369</v>
      </c>
      <c r="I1534" s="2" t="s">
        <v>19</v>
      </c>
      <c r="J1534" s="2" t="s">
        <v>20</v>
      </c>
      <c r="K1534" s="1">
        <v>467.5</v>
      </c>
      <c r="L1534" s="3">
        <v>45448</v>
      </c>
    </row>
    <row r="1535" spans="1:12" x14ac:dyDescent="0.25">
      <c r="A1535" s="1">
        <v>102037</v>
      </c>
      <c r="B1535" s="2" t="s">
        <v>667</v>
      </c>
      <c r="C1535" s="2" t="s">
        <v>122</v>
      </c>
      <c r="D1535" s="2" t="s">
        <v>41</v>
      </c>
      <c r="E1535" s="2" t="s">
        <v>78</v>
      </c>
      <c r="F1535" s="2" t="s">
        <v>42</v>
      </c>
      <c r="G1535" s="1">
        <v>106</v>
      </c>
      <c r="H1535" s="1">
        <v>896</v>
      </c>
      <c r="I1535" s="2" t="s">
        <v>56</v>
      </c>
      <c r="J1535" s="2" t="s">
        <v>33</v>
      </c>
      <c r="K1535" s="1">
        <v>320.33999999999997</v>
      </c>
      <c r="L1535" s="3">
        <v>45448</v>
      </c>
    </row>
    <row r="1536" spans="1:12" x14ac:dyDescent="0.25">
      <c r="A1536" s="1">
        <v>100775</v>
      </c>
      <c r="B1536" s="2" t="s">
        <v>322</v>
      </c>
      <c r="C1536" s="2" t="s">
        <v>13</v>
      </c>
      <c r="D1536" s="2" t="s">
        <v>64</v>
      </c>
      <c r="E1536" s="2" t="s">
        <v>70</v>
      </c>
      <c r="F1536" s="2" t="s">
        <v>83</v>
      </c>
      <c r="G1536" s="1">
        <v>0</v>
      </c>
      <c r="H1536" s="1">
        <v>623</v>
      </c>
      <c r="I1536" s="2" t="s">
        <v>45</v>
      </c>
      <c r="J1536" s="2" t="s">
        <v>20</v>
      </c>
      <c r="K1536" s="1">
        <v>162</v>
      </c>
      <c r="L1536" s="3">
        <v>45448</v>
      </c>
    </row>
    <row r="1537" spans="1:12" x14ac:dyDescent="0.25">
      <c r="A1537" s="1">
        <v>100717</v>
      </c>
      <c r="B1537" s="2" t="s">
        <v>1059</v>
      </c>
      <c r="C1537" s="2" t="s">
        <v>149</v>
      </c>
      <c r="D1537" s="2" t="s">
        <v>106</v>
      </c>
      <c r="E1537" s="2" t="s">
        <v>81</v>
      </c>
      <c r="F1537" s="2" t="s">
        <v>25</v>
      </c>
      <c r="G1537" s="1">
        <v>28</v>
      </c>
      <c r="H1537" s="1">
        <v>571</v>
      </c>
      <c r="I1537" s="2" t="s">
        <v>45</v>
      </c>
      <c r="J1537" s="2" t="s">
        <v>20</v>
      </c>
      <c r="K1537" s="1">
        <v>94.46</v>
      </c>
      <c r="L1537" s="3">
        <v>45448</v>
      </c>
    </row>
    <row r="1538" spans="1:12" x14ac:dyDescent="0.25">
      <c r="A1538" s="1">
        <v>100870</v>
      </c>
      <c r="B1538" s="2" t="s">
        <v>34</v>
      </c>
      <c r="C1538" s="2" t="s">
        <v>13</v>
      </c>
      <c r="D1538" s="2" t="s">
        <v>50</v>
      </c>
      <c r="E1538" s="2" t="s">
        <v>55</v>
      </c>
      <c r="F1538" s="2" t="s">
        <v>83</v>
      </c>
      <c r="G1538" s="1">
        <v>0</v>
      </c>
      <c r="H1538" s="1">
        <v>672</v>
      </c>
      <c r="I1538" s="2" t="s">
        <v>37</v>
      </c>
      <c r="J1538" s="2" t="s">
        <v>33</v>
      </c>
      <c r="K1538" s="1">
        <v>329.28</v>
      </c>
      <c r="L1538" s="3">
        <v>45447</v>
      </c>
    </row>
    <row r="1539" spans="1:12" x14ac:dyDescent="0.25">
      <c r="A1539" s="1">
        <v>100063</v>
      </c>
      <c r="B1539" s="2" t="s">
        <v>995</v>
      </c>
      <c r="C1539" s="2" t="s">
        <v>134</v>
      </c>
      <c r="D1539" s="2" t="s">
        <v>16</v>
      </c>
      <c r="E1539" s="2" t="s">
        <v>60</v>
      </c>
      <c r="F1539" s="2" t="s">
        <v>83</v>
      </c>
      <c r="G1539" s="1">
        <v>0</v>
      </c>
      <c r="H1539" s="1">
        <v>866</v>
      </c>
      <c r="I1539" s="2" t="s">
        <v>32</v>
      </c>
      <c r="J1539" s="2" t="s">
        <v>33</v>
      </c>
      <c r="K1539" s="1">
        <v>297.88</v>
      </c>
      <c r="L1539" s="3">
        <v>45447</v>
      </c>
    </row>
    <row r="1540" spans="1:12" x14ac:dyDescent="0.25">
      <c r="A1540" s="1">
        <v>100275</v>
      </c>
      <c r="B1540" s="2" t="s">
        <v>278</v>
      </c>
      <c r="C1540" s="2" t="s">
        <v>62</v>
      </c>
      <c r="D1540" s="2" t="s">
        <v>41</v>
      </c>
      <c r="E1540" s="2" t="s">
        <v>78</v>
      </c>
      <c r="F1540" s="2" t="s">
        <v>83</v>
      </c>
      <c r="G1540" s="1">
        <v>0</v>
      </c>
      <c r="H1540" s="1">
        <v>713</v>
      </c>
      <c r="I1540" s="2" t="s">
        <v>37</v>
      </c>
      <c r="J1540" s="2" t="s">
        <v>20</v>
      </c>
      <c r="K1540" s="1">
        <v>221.69</v>
      </c>
      <c r="L1540" s="3">
        <v>45447</v>
      </c>
    </row>
    <row r="1541" spans="1:12" x14ac:dyDescent="0.25">
      <c r="A1541" s="1">
        <v>101569</v>
      </c>
      <c r="B1541" s="2" t="s">
        <v>1026</v>
      </c>
      <c r="C1541" s="2" t="s">
        <v>244</v>
      </c>
      <c r="D1541" s="2" t="s">
        <v>64</v>
      </c>
      <c r="E1541" s="2" t="s">
        <v>78</v>
      </c>
      <c r="F1541" s="2" t="s">
        <v>83</v>
      </c>
      <c r="G1541" s="1">
        <v>0</v>
      </c>
      <c r="H1541" s="1">
        <v>560</v>
      </c>
      <c r="I1541" s="2" t="s">
        <v>56</v>
      </c>
      <c r="J1541" s="2" t="s">
        <v>20</v>
      </c>
      <c r="K1541" s="1">
        <v>442.45</v>
      </c>
      <c r="L1541" s="3">
        <v>45446</v>
      </c>
    </row>
    <row r="1542" spans="1:12" x14ac:dyDescent="0.25">
      <c r="A1542" s="1">
        <v>100201</v>
      </c>
      <c r="B1542" s="2" t="s">
        <v>601</v>
      </c>
      <c r="C1542" s="2" t="s">
        <v>100</v>
      </c>
      <c r="D1542" s="2" t="s">
        <v>106</v>
      </c>
      <c r="E1542" s="2" t="s">
        <v>70</v>
      </c>
      <c r="F1542" s="2" t="s">
        <v>25</v>
      </c>
      <c r="G1542" s="1">
        <v>7</v>
      </c>
      <c r="H1542" s="1">
        <v>849</v>
      </c>
      <c r="I1542" s="2" t="s">
        <v>32</v>
      </c>
      <c r="J1542" s="2" t="s">
        <v>26</v>
      </c>
      <c r="K1542" s="1">
        <v>226.11</v>
      </c>
      <c r="L1542" s="3">
        <v>45446</v>
      </c>
    </row>
    <row r="1543" spans="1:12" x14ac:dyDescent="0.25">
      <c r="A1543" s="1">
        <v>100445</v>
      </c>
      <c r="B1543" s="2" t="s">
        <v>443</v>
      </c>
      <c r="C1543" s="2" t="s">
        <v>72</v>
      </c>
      <c r="D1543" s="2" t="s">
        <v>50</v>
      </c>
      <c r="E1543" s="2" t="s">
        <v>81</v>
      </c>
      <c r="F1543" s="2" t="s">
        <v>42</v>
      </c>
      <c r="G1543" s="1">
        <v>43</v>
      </c>
      <c r="H1543" s="1">
        <v>309</v>
      </c>
      <c r="I1543" s="2" t="s">
        <v>56</v>
      </c>
      <c r="J1543" s="2" t="s">
        <v>26</v>
      </c>
      <c r="K1543" s="1">
        <v>78.88</v>
      </c>
      <c r="L1543" s="3">
        <v>45446</v>
      </c>
    </row>
    <row r="1544" spans="1:12" x14ac:dyDescent="0.25">
      <c r="A1544" s="1">
        <v>101999</v>
      </c>
      <c r="B1544" s="2" t="s">
        <v>280</v>
      </c>
      <c r="C1544" s="2" t="s">
        <v>187</v>
      </c>
      <c r="D1544" s="2" t="s">
        <v>16</v>
      </c>
      <c r="E1544" s="2" t="s">
        <v>70</v>
      </c>
      <c r="F1544" s="2" t="s">
        <v>18</v>
      </c>
      <c r="G1544" s="1">
        <v>0</v>
      </c>
      <c r="H1544" s="1">
        <v>621</v>
      </c>
      <c r="I1544" s="2" t="s">
        <v>56</v>
      </c>
      <c r="J1544" s="2" t="s">
        <v>20</v>
      </c>
      <c r="K1544" s="1">
        <v>1134.23</v>
      </c>
      <c r="L1544" s="3">
        <v>45445</v>
      </c>
    </row>
    <row r="1545" spans="1:12" x14ac:dyDescent="0.25">
      <c r="A1545" s="1">
        <v>101591</v>
      </c>
      <c r="B1545" s="2" t="s">
        <v>315</v>
      </c>
      <c r="C1545" s="2" t="s">
        <v>22</v>
      </c>
      <c r="D1545" s="2" t="s">
        <v>16</v>
      </c>
      <c r="E1545" s="2" t="s">
        <v>31</v>
      </c>
      <c r="F1545" s="2" t="s">
        <v>83</v>
      </c>
      <c r="G1545" s="1">
        <v>0</v>
      </c>
      <c r="H1545" s="1">
        <v>509</v>
      </c>
      <c r="I1545" s="2" t="s">
        <v>45</v>
      </c>
      <c r="J1545" s="2" t="s">
        <v>33</v>
      </c>
      <c r="K1545" s="1">
        <v>469.6</v>
      </c>
      <c r="L1545" s="3">
        <v>45445</v>
      </c>
    </row>
    <row r="1546" spans="1:12" x14ac:dyDescent="0.25">
      <c r="A1546" s="1">
        <v>102169</v>
      </c>
      <c r="B1546" s="2" t="s">
        <v>65</v>
      </c>
      <c r="C1546" s="2" t="s">
        <v>62</v>
      </c>
      <c r="D1546" s="2" t="s">
        <v>106</v>
      </c>
      <c r="E1546" s="2" t="s">
        <v>31</v>
      </c>
      <c r="F1546" s="2" t="s">
        <v>83</v>
      </c>
      <c r="G1546" s="1">
        <v>0</v>
      </c>
      <c r="H1546" s="1">
        <v>542</v>
      </c>
      <c r="I1546" s="2" t="s">
        <v>37</v>
      </c>
      <c r="J1546" s="2" t="s">
        <v>35</v>
      </c>
      <c r="K1546" s="1">
        <v>314.95</v>
      </c>
      <c r="L1546" s="3">
        <v>45445</v>
      </c>
    </row>
    <row r="1547" spans="1:12" x14ac:dyDescent="0.25">
      <c r="A1547" s="1">
        <v>100426</v>
      </c>
      <c r="B1547" s="2" t="s">
        <v>34</v>
      </c>
      <c r="C1547" s="2" t="s">
        <v>13</v>
      </c>
      <c r="D1547" s="2" t="s">
        <v>41</v>
      </c>
      <c r="E1547" s="2" t="s">
        <v>60</v>
      </c>
      <c r="F1547" s="2" t="s">
        <v>83</v>
      </c>
      <c r="G1547" s="1">
        <v>0</v>
      </c>
      <c r="H1547" s="1">
        <v>672</v>
      </c>
      <c r="I1547" s="2" t="s">
        <v>32</v>
      </c>
      <c r="J1547" s="2" t="s">
        <v>20</v>
      </c>
      <c r="K1547" s="1">
        <v>56.17</v>
      </c>
      <c r="L1547" s="3">
        <v>45445</v>
      </c>
    </row>
    <row r="1548" spans="1:12" x14ac:dyDescent="0.25">
      <c r="A1548" s="1">
        <v>102047</v>
      </c>
      <c r="B1548" s="2" t="s">
        <v>734</v>
      </c>
      <c r="C1548" s="2" t="s">
        <v>218</v>
      </c>
      <c r="D1548" s="2" t="s">
        <v>41</v>
      </c>
      <c r="E1548" s="2" t="s">
        <v>17</v>
      </c>
      <c r="F1548" s="2" t="s">
        <v>18</v>
      </c>
      <c r="G1548" s="1">
        <v>0</v>
      </c>
      <c r="H1548" s="1">
        <v>865</v>
      </c>
      <c r="I1548" s="2" t="s">
        <v>32</v>
      </c>
      <c r="J1548" s="2" t="s">
        <v>33</v>
      </c>
      <c r="K1548" s="1">
        <v>733.45</v>
      </c>
      <c r="L1548" s="3">
        <v>45444</v>
      </c>
    </row>
    <row r="1549" spans="1:12" x14ac:dyDescent="0.25">
      <c r="A1549" s="1">
        <v>101833</v>
      </c>
      <c r="B1549" s="2" t="s">
        <v>1203</v>
      </c>
      <c r="C1549" s="2" t="s">
        <v>187</v>
      </c>
      <c r="D1549" s="2" t="s">
        <v>64</v>
      </c>
      <c r="E1549" s="2" t="s">
        <v>35</v>
      </c>
      <c r="F1549" s="2" t="s">
        <v>18</v>
      </c>
      <c r="G1549" s="1">
        <v>0</v>
      </c>
      <c r="H1549" s="1">
        <v>752</v>
      </c>
      <c r="I1549" s="2" t="s">
        <v>37</v>
      </c>
      <c r="J1549" s="2" t="s">
        <v>26</v>
      </c>
      <c r="K1549" s="1">
        <v>685.94</v>
      </c>
      <c r="L1549" s="3">
        <v>45444</v>
      </c>
    </row>
    <row r="1550" spans="1:12" x14ac:dyDescent="0.25">
      <c r="A1550" s="1">
        <v>101571</v>
      </c>
      <c r="B1550" s="2" t="s">
        <v>376</v>
      </c>
      <c r="C1550" s="2" t="s">
        <v>22</v>
      </c>
      <c r="D1550" s="2" t="s">
        <v>50</v>
      </c>
      <c r="E1550" s="2" t="s">
        <v>78</v>
      </c>
      <c r="F1550" s="2" t="s">
        <v>18</v>
      </c>
      <c r="G1550" s="1">
        <v>0</v>
      </c>
      <c r="H1550" s="1">
        <v>340</v>
      </c>
      <c r="I1550" s="2" t="s">
        <v>19</v>
      </c>
      <c r="J1550" s="2" t="s">
        <v>20</v>
      </c>
      <c r="K1550" s="1">
        <v>589.65</v>
      </c>
      <c r="L1550" s="3">
        <v>45444</v>
      </c>
    </row>
    <row r="1551" spans="1:12" x14ac:dyDescent="0.25">
      <c r="A1551" s="1">
        <v>101453</v>
      </c>
      <c r="B1551" s="2" t="s">
        <v>385</v>
      </c>
      <c r="C1551" s="2" t="s">
        <v>85</v>
      </c>
      <c r="D1551" s="2" t="s">
        <v>64</v>
      </c>
      <c r="E1551" s="2" t="s">
        <v>31</v>
      </c>
      <c r="F1551" s="2" t="s">
        <v>18</v>
      </c>
      <c r="G1551" s="1">
        <v>0</v>
      </c>
      <c r="H1551" s="1">
        <v>490</v>
      </c>
      <c r="I1551" s="2" t="s">
        <v>56</v>
      </c>
      <c r="J1551" s="2" t="s">
        <v>33</v>
      </c>
      <c r="K1551" s="1">
        <v>292.63</v>
      </c>
      <c r="L1551" s="3">
        <v>45444</v>
      </c>
    </row>
    <row r="1552" spans="1:12" x14ac:dyDescent="0.25">
      <c r="A1552" s="1">
        <v>101896</v>
      </c>
      <c r="B1552" s="2" t="s">
        <v>200</v>
      </c>
      <c r="C1552" s="2" t="s">
        <v>142</v>
      </c>
      <c r="D1552" s="2" t="s">
        <v>64</v>
      </c>
      <c r="E1552" s="2" t="s">
        <v>55</v>
      </c>
      <c r="F1552" s="2" t="s">
        <v>18</v>
      </c>
      <c r="G1552" s="1">
        <v>0</v>
      </c>
      <c r="H1552" s="1">
        <v>784</v>
      </c>
      <c r="I1552" s="2" t="s">
        <v>35</v>
      </c>
      <c r="J1552" s="2" t="s">
        <v>26</v>
      </c>
      <c r="K1552" s="1">
        <v>221.38</v>
      </c>
      <c r="L1552" s="3">
        <v>45444</v>
      </c>
    </row>
    <row r="1553" spans="1:12" x14ac:dyDescent="0.25">
      <c r="A1553" s="1">
        <v>102139</v>
      </c>
      <c r="B1553" s="2" t="s">
        <v>719</v>
      </c>
      <c r="C1553" s="2" t="s">
        <v>22</v>
      </c>
      <c r="D1553" s="2" t="s">
        <v>16</v>
      </c>
      <c r="E1553" s="2" t="s">
        <v>81</v>
      </c>
      <c r="F1553" s="2" t="s">
        <v>83</v>
      </c>
      <c r="G1553" s="1">
        <v>0</v>
      </c>
      <c r="H1553" s="1">
        <v>461</v>
      </c>
      <c r="I1553" s="2" t="s">
        <v>37</v>
      </c>
      <c r="J1553" s="2" t="s">
        <v>20</v>
      </c>
      <c r="K1553" s="1">
        <v>187.55</v>
      </c>
      <c r="L1553" s="3">
        <v>45444</v>
      </c>
    </row>
    <row r="1554" spans="1:12" x14ac:dyDescent="0.25">
      <c r="A1554" s="1">
        <v>100355</v>
      </c>
      <c r="B1554" s="2" t="s">
        <v>438</v>
      </c>
      <c r="C1554" s="2" t="s">
        <v>95</v>
      </c>
      <c r="D1554" s="2" t="s">
        <v>50</v>
      </c>
      <c r="E1554" s="2" t="s">
        <v>60</v>
      </c>
      <c r="F1554" s="2" t="s">
        <v>18</v>
      </c>
      <c r="G1554" s="1">
        <v>0</v>
      </c>
      <c r="H1554" s="1">
        <v>858</v>
      </c>
      <c r="I1554" s="2" t="s">
        <v>19</v>
      </c>
      <c r="J1554" s="2" t="s">
        <v>20</v>
      </c>
      <c r="K1554" s="1">
        <v>128.26</v>
      </c>
      <c r="L1554" s="3">
        <v>45444</v>
      </c>
    </row>
    <row r="1555" spans="1:12" x14ac:dyDescent="0.25">
      <c r="A1555" s="1">
        <v>100863</v>
      </c>
      <c r="B1555" s="2" t="s">
        <v>1091</v>
      </c>
      <c r="C1555" s="2" t="s">
        <v>270</v>
      </c>
      <c r="D1555" s="2" t="s">
        <v>16</v>
      </c>
      <c r="E1555" s="2" t="s">
        <v>17</v>
      </c>
      <c r="F1555" s="2" t="s">
        <v>18</v>
      </c>
      <c r="G1555" s="1">
        <v>0</v>
      </c>
      <c r="H1555" s="1">
        <v>817</v>
      </c>
      <c r="I1555" s="2" t="s">
        <v>56</v>
      </c>
      <c r="J1555" s="2" t="s">
        <v>20</v>
      </c>
      <c r="K1555" s="1">
        <v>1045.23</v>
      </c>
      <c r="L1555" s="3">
        <v>45443</v>
      </c>
    </row>
    <row r="1556" spans="1:12" x14ac:dyDescent="0.25">
      <c r="A1556" s="1">
        <v>100682</v>
      </c>
      <c r="B1556" s="2" t="s">
        <v>247</v>
      </c>
      <c r="C1556" s="2" t="s">
        <v>126</v>
      </c>
      <c r="D1556" s="2" t="s">
        <v>64</v>
      </c>
      <c r="E1556" s="2" t="s">
        <v>35</v>
      </c>
      <c r="F1556" s="2" t="s">
        <v>25</v>
      </c>
      <c r="G1556" s="1">
        <v>21</v>
      </c>
      <c r="H1556" s="1">
        <v>527</v>
      </c>
      <c r="I1556" s="2" t="s">
        <v>45</v>
      </c>
      <c r="J1556" s="2" t="s">
        <v>20</v>
      </c>
      <c r="K1556" s="1">
        <v>394.13</v>
      </c>
      <c r="L1556" s="3">
        <v>45443</v>
      </c>
    </row>
    <row r="1557" spans="1:12" x14ac:dyDescent="0.25">
      <c r="A1557" s="1">
        <v>102040</v>
      </c>
      <c r="B1557" s="2" t="s">
        <v>202</v>
      </c>
      <c r="C1557" s="2" t="s">
        <v>95</v>
      </c>
      <c r="D1557" s="2" t="s">
        <v>50</v>
      </c>
      <c r="E1557" s="2" t="s">
        <v>78</v>
      </c>
      <c r="F1557" s="2" t="s">
        <v>25</v>
      </c>
      <c r="G1557" s="1">
        <v>5</v>
      </c>
      <c r="H1557" s="1">
        <v>570</v>
      </c>
      <c r="I1557" s="2" t="s">
        <v>32</v>
      </c>
      <c r="J1557" s="2" t="s">
        <v>20</v>
      </c>
      <c r="K1557" s="1">
        <v>315.83</v>
      </c>
      <c r="L1557" s="3">
        <v>45443</v>
      </c>
    </row>
    <row r="1558" spans="1:12" x14ac:dyDescent="0.25">
      <c r="A1558" s="1">
        <v>101904</v>
      </c>
      <c r="B1558" s="2" t="s">
        <v>1163</v>
      </c>
      <c r="C1558" s="2" t="s">
        <v>13</v>
      </c>
      <c r="D1558" s="2" t="s">
        <v>41</v>
      </c>
      <c r="E1558" s="2" t="s">
        <v>55</v>
      </c>
      <c r="F1558" s="2" t="s">
        <v>25</v>
      </c>
      <c r="G1558" s="1">
        <v>1</v>
      </c>
      <c r="H1558" s="1">
        <v>850</v>
      </c>
      <c r="I1558" s="2" t="s">
        <v>32</v>
      </c>
      <c r="J1558" s="2" t="s">
        <v>20</v>
      </c>
      <c r="K1558" s="1">
        <v>605.49</v>
      </c>
      <c r="L1558" s="3">
        <v>45442</v>
      </c>
    </row>
    <row r="1559" spans="1:12" x14ac:dyDescent="0.25">
      <c r="A1559" s="1">
        <v>101339</v>
      </c>
      <c r="B1559" s="2" t="s">
        <v>595</v>
      </c>
      <c r="C1559" s="2" t="s">
        <v>22</v>
      </c>
      <c r="D1559" s="2" t="s">
        <v>16</v>
      </c>
      <c r="E1559" s="2" t="s">
        <v>55</v>
      </c>
      <c r="F1559" s="2" t="s">
        <v>83</v>
      </c>
      <c r="G1559" s="1">
        <v>0</v>
      </c>
      <c r="H1559" s="1">
        <v>372</v>
      </c>
      <c r="I1559" s="2" t="s">
        <v>32</v>
      </c>
      <c r="J1559" s="2" t="s">
        <v>20</v>
      </c>
      <c r="K1559" s="1">
        <v>389.59</v>
      </c>
      <c r="L1559" s="3">
        <v>45442</v>
      </c>
    </row>
    <row r="1560" spans="1:12" x14ac:dyDescent="0.25">
      <c r="A1560" s="1">
        <v>100187</v>
      </c>
      <c r="B1560" s="2" t="s">
        <v>545</v>
      </c>
      <c r="C1560" s="2" t="s">
        <v>126</v>
      </c>
      <c r="D1560" s="2" t="s">
        <v>64</v>
      </c>
      <c r="E1560" s="2" t="s">
        <v>81</v>
      </c>
      <c r="F1560" s="2" t="s">
        <v>18</v>
      </c>
      <c r="G1560" s="1">
        <v>0</v>
      </c>
      <c r="H1560" s="1">
        <v>494</v>
      </c>
      <c r="I1560" s="2" t="s">
        <v>56</v>
      </c>
      <c r="J1560" s="2" t="s">
        <v>20</v>
      </c>
      <c r="K1560" s="1">
        <v>341.19</v>
      </c>
      <c r="L1560" s="3">
        <v>45442</v>
      </c>
    </row>
    <row r="1561" spans="1:12" x14ac:dyDescent="0.25">
      <c r="A1561" s="1">
        <v>101401</v>
      </c>
      <c r="B1561" s="2" t="s">
        <v>585</v>
      </c>
      <c r="C1561" s="2" t="s">
        <v>270</v>
      </c>
      <c r="D1561" s="2" t="s">
        <v>16</v>
      </c>
      <c r="E1561" s="2" t="s">
        <v>70</v>
      </c>
      <c r="F1561" s="2" t="s">
        <v>83</v>
      </c>
      <c r="G1561" s="1">
        <v>0</v>
      </c>
      <c r="H1561" s="1">
        <v>814</v>
      </c>
      <c r="I1561" s="2" t="s">
        <v>56</v>
      </c>
      <c r="J1561" s="2" t="s">
        <v>20</v>
      </c>
      <c r="K1561" s="1">
        <v>306.08</v>
      </c>
      <c r="L1561" s="3">
        <v>45442</v>
      </c>
    </row>
    <row r="1562" spans="1:12" x14ac:dyDescent="0.25">
      <c r="A1562" s="1">
        <v>101219</v>
      </c>
      <c r="B1562" s="2" t="s">
        <v>43</v>
      </c>
      <c r="C1562" s="2" t="s">
        <v>22</v>
      </c>
      <c r="D1562" s="2" t="s">
        <v>64</v>
      </c>
      <c r="E1562" s="2" t="s">
        <v>35</v>
      </c>
      <c r="F1562" s="2" t="s">
        <v>25</v>
      </c>
      <c r="G1562" s="1">
        <v>16</v>
      </c>
      <c r="H1562" s="1">
        <v>396</v>
      </c>
      <c r="I1562" s="2" t="s">
        <v>45</v>
      </c>
      <c r="J1562" s="2" t="s">
        <v>20</v>
      </c>
      <c r="K1562" s="1">
        <v>274.60000000000002</v>
      </c>
      <c r="L1562" s="3">
        <v>45442</v>
      </c>
    </row>
    <row r="1563" spans="1:12" x14ac:dyDescent="0.25">
      <c r="A1563" s="1">
        <v>100752</v>
      </c>
      <c r="B1563" s="2" t="s">
        <v>118</v>
      </c>
      <c r="C1563" s="2" t="s">
        <v>35</v>
      </c>
      <c r="D1563" s="2" t="s">
        <v>50</v>
      </c>
      <c r="E1563" s="2" t="s">
        <v>81</v>
      </c>
      <c r="F1563" s="2" t="s">
        <v>42</v>
      </c>
      <c r="G1563" s="1">
        <v>179</v>
      </c>
      <c r="H1563" s="1">
        <v>463</v>
      </c>
      <c r="I1563" s="2" t="s">
        <v>19</v>
      </c>
      <c r="J1563" s="2" t="s">
        <v>20</v>
      </c>
      <c r="K1563" s="1">
        <v>506.19</v>
      </c>
      <c r="L1563" s="3">
        <v>45441</v>
      </c>
    </row>
    <row r="1564" spans="1:12" x14ac:dyDescent="0.25">
      <c r="A1564" s="1">
        <v>100563</v>
      </c>
      <c r="B1564" s="2" t="s">
        <v>136</v>
      </c>
      <c r="C1564" s="2" t="s">
        <v>58</v>
      </c>
      <c r="D1564" s="2" t="s">
        <v>41</v>
      </c>
      <c r="E1564" s="2" t="s">
        <v>55</v>
      </c>
      <c r="F1564" s="2" t="s">
        <v>18</v>
      </c>
      <c r="G1564" s="1">
        <v>0</v>
      </c>
      <c r="H1564" s="1">
        <v>540</v>
      </c>
      <c r="I1564" s="2" t="s">
        <v>19</v>
      </c>
      <c r="J1564" s="2" t="s">
        <v>20</v>
      </c>
      <c r="K1564" s="1">
        <v>451.87</v>
      </c>
      <c r="L1564" s="3">
        <v>45441</v>
      </c>
    </row>
    <row r="1565" spans="1:12" x14ac:dyDescent="0.25">
      <c r="A1565" s="1">
        <v>100241</v>
      </c>
      <c r="B1565" s="2" t="s">
        <v>179</v>
      </c>
      <c r="C1565" s="2" t="s">
        <v>149</v>
      </c>
      <c r="D1565" s="2" t="s">
        <v>64</v>
      </c>
      <c r="E1565" s="2" t="s">
        <v>60</v>
      </c>
      <c r="F1565" s="2" t="s">
        <v>18</v>
      </c>
      <c r="G1565" s="1">
        <v>0</v>
      </c>
      <c r="H1565" s="1">
        <v>518</v>
      </c>
      <c r="I1565" s="2" t="s">
        <v>32</v>
      </c>
      <c r="J1565" s="2" t="s">
        <v>20</v>
      </c>
      <c r="K1565" s="1">
        <v>366.46</v>
      </c>
      <c r="L1565" s="3">
        <v>45441</v>
      </c>
    </row>
    <row r="1566" spans="1:12" x14ac:dyDescent="0.25">
      <c r="A1566" s="1">
        <v>101543</v>
      </c>
      <c r="B1566" s="2" t="s">
        <v>129</v>
      </c>
      <c r="C1566" s="2" t="s">
        <v>13</v>
      </c>
      <c r="D1566" s="2" t="s">
        <v>16</v>
      </c>
      <c r="E1566" s="2" t="s">
        <v>31</v>
      </c>
      <c r="F1566" s="2" t="s">
        <v>42</v>
      </c>
      <c r="G1566" s="1">
        <v>145</v>
      </c>
      <c r="H1566" s="1">
        <v>336</v>
      </c>
      <c r="I1566" s="2" t="s">
        <v>19</v>
      </c>
      <c r="J1566" s="2" t="s">
        <v>26</v>
      </c>
      <c r="K1566" s="1">
        <v>287.87</v>
      </c>
      <c r="L1566" s="3">
        <v>45441</v>
      </c>
    </row>
    <row r="1567" spans="1:12" x14ac:dyDescent="0.25">
      <c r="A1567" s="1">
        <v>101008</v>
      </c>
      <c r="B1567" s="2" t="s">
        <v>61</v>
      </c>
      <c r="C1567" s="2" t="s">
        <v>62</v>
      </c>
      <c r="D1567" s="2" t="s">
        <v>16</v>
      </c>
      <c r="E1567" s="2" t="s">
        <v>55</v>
      </c>
      <c r="F1567" s="2" t="s">
        <v>42</v>
      </c>
      <c r="G1567" s="1">
        <v>166</v>
      </c>
      <c r="H1567" s="1">
        <v>542</v>
      </c>
      <c r="I1567" s="2" t="s">
        <v>32</v>
      </c>
      <c r="J1567" s="2" t="s">
        <v>33</v>
      </c>
      <c r="K1567" s="1">
        <v>182.89</v>
      </c>
      <c r="L1567" s="3">
        <v>45441</v>
      </c>
    </row>
    <row r="1568" spans="1:12" x14ac:dyDescent="0.25">
      <c r="A1568" s="1">
        <v>101866</v>
      </c>
      <c r="B1568" s="2" t="s">
        <v>371</v>
      </c>
      <c r="C1568" s="2" t="s">
        <v>52</v>
      </c>
      <c r="D1568" s="2" t="s">
        <v>64</v>
      </c>
      <c r="E1568" s="2" t="s">
        <v>70</v>
      </c>
      <c r="F1568" s="2" t="s">
        <v>42</v>
      </c>
      <c r="G1568" s="1">
        <v>146</v>
      </c>
      <c r="H1568" s="1">
        <v>339</v>
      </c>
      <c r="I1568" s="2" t="s">
        <v>32</v>
      </c>
      <c r="J1568" s="2" t="s">
        <v>20</v>
      </c>
      <c r="K1568" s="1">
        <v>100.74</v>
      </c>
      <c r="L1568" s="3">
        <v>45441</v>
      </c>
    </row>
    <row r="1569" spans="1:12" x14ac:dyDescent="0.25">
      <c r="A1569" s="1">
        <v>101185</v>
      </c>
      <c r="B1569" s="2" t="s">
        <v>225</v>
      </c>
      <c r="C1569" s="2" t="s">
        <v>142</v>
      </c>
      <c r="D1569" s="2" t="s">
        <v>106</v>
      </c>
      <c r="E1569" s="2" t="s">
        <v>70</v>
      </c>
      <c r="F1569" s="2" t="s">
        <v>25</v>
      </c>
      <c r="G1569" s="1">
        <v>7</v>
      </c>
      <c r="H1569" s="1">
        <v>741</v>
      </c>
      <c r="I1569" s="2" t="s">
        <v>45</v>
      </c>
      <c r="J1569" s="2" t="s">
        <v>20</v>
      </c>
      <c r="K1569" s="1">
        <v>544.41999999999996</v>
      </c>
      <c r="L1569" s="3">
        <v>45440</v>
      </c>
    </row>
    <row r="1570" spans="1:12" x14ac:dyDescent="0.25">
      <c r="A1570" s="1">
        <v>101349</v>
      </c>
      <c r="B1570" s="2" t="s">
        <v>1451</v>
      </c>
      <c r="C1570" s="2" t="s">
        <v>52</v>
      </c>
      <c r="D1570" s="2" t="s">
        <v>16</v>
      </c>
      <c r="E1570" s="2" t="s">
        <v>60</v>
      </c>
      <c r="F1570" s="2" t="s">
        <v>18</v>
      </c>
      <c r="G1570" s="1">
        <v>0</v>
      </c>
      <c r="H1570" s="1">
        <v>362</v>
      </c>
      <c r="I1570" s="2" t="s">
        <v>45</v>
      </c>
      <c r="J1570" s="2" t="s">
        <v>26</v>
      </c>
      <c r="K1570" s="1">
        <v>490.69</v>
      </c>
      <c r="L1570" s="3">
        <v>45440</v>
      </c>
    </row>
    <row r="1571" spans="1:12" x14ac:dyDescent="0.25">
      <c r="A1571" s="1">
        <v>101638</v>
      </c>
      <c r="B1571" s="2" t="s">
        <v>682</v>
      </c>
      <c r="C1571" s="2" t="s">
        <v>152</v>
      </c>
      <c r="D1571" s="2" t="s">
        <v>16</v>
      </c>
      <c r="E1571" s="2" t="s">
        <v>78</v>
      </c>
      <c r="F1571" s="2" t="s">
        <v>18</v>
      </c>
      <c r="G1571" s="1">
        <v>0</v>
      </c>
      <c r="H1571" s="1">
        <v>863</v>
      </c>
      <c r="I1571" s="2" t="s">
        <v>45</v>
      </c>
      <c r="J1571" s="2" t="s">
        <v>20</v>
      </c>
      <c r="K1571" s="1">
        <v>422.16</v>
      </c>
      <c r="L1571" s="3">
        <v>45440</v>
      </c>
    </row>
    <row r="1572" spans="1:12" x14ac:dyDescent="0.25">
      <c r="A1572" s="1">
        <v>102114</v>
      </c>
      <c r="B1572" s="2" t="s">
        <v>719</v>
      </c>
      <c r="C1572" s="2" t="s">
        <v>35</v>
      </c>
      <c r="D1572" s="2" t="s">
        <v>106</v>
      </c>
      <c r="E1572" s="2" t="s">
        <v>17</v>
      </c>
      <c r="F1572" s="2" t="s">
        <v>18</v>
      </c>
      <c r="G1572" s="1">
        <v>0</v>
      </c>
      <c r="H1572" s="1">
        <v>461</v>
      </c>
      <c r="I1572" s="2" t="s">
        <v>37</v>
      </c>
      <c r="J1572" s="2" t="s">
        <v>33</v>
      </c>
      <c r="K1572" s="1">
        <v>577.44000000000005</v>
      </c>
      <c r="L1572" s="3">
        <v>45439</v>
      </c>
    </row>
    <row r="1573" spans="1:12" x14ac:dyDescent="0.25">
      <c r="A1573" s="1">
        <v>101559</v>
      </c>
      <c r="B1573" s="2" t="s">
        <v>61</v>
      </c>
      <c r="C1573" s="2" t="s">
        <v>62</v>
      </c>
      <c r="D1573" s="2" t="s">
        <v>50</v>
      </c>
      <c r="E1573" s="2" t="s">
        <v>31</v>
      </c>
      <c r="F1573" s="2" t="s">
        <v>18</v>
      </c>
      <c r="G1573" s="1">
        <v>0</v>
      </c>
      <c r="H1573" s="1">
        <v>542</v>
      </c>
      <c r="I1573" s="2" t="s">
        <v>37</v>
      </c>
      <c r="J1573" s="2" t="s">
        <v>33</v>
      </c>
      <c r="K1573" s="1">
        <v>255.09</v>
      </c>
      <c r="L1573" s="3">
        <v>45439</v>
      </c>
    </row>
    <row r="1574" spans="1:12" x14ac:dyDescent="0.25">
      <c r="A1574" s="1">
        <v>101513</v>
      </c>
      <c r="B1574" s="2" t="s">
        <v>429</v>
      </c>
      <c r="C1574" s="2" t="s">
        <v>52</v>
      </c>
      <c r="D1574" s="2" t="s">
        <v>106</v>
      </c>
      <c r="E1574" s="2" t="s">
        <v>17</v>
      </c>
      <c r="F1574" s="2" t="s">
        <v>25</v>
      </c>
      <c r="G1574" s="1">
        <v>27</v>
      </c>
      <c r="H1574" s="1">
        <v>568</v>
      </c>
      <c r="I1574" s="2" t="s">
        <v>37</v>
      </c>
      <c r="J1574" s="2" t="s">
        <v>20</v>
      </c>
      <c r="K1574" s="1">
        <v>514.5</v>
      </c>
      <c r="L1574" s="3">
        <v>45438</v>
      </c>
    </row>
    <row r="1575" spans="1:12" x14ac:dyDescent="0.25">
      <c r="A1575" s="1">
        <v>100500</v>
      </c>
      <c r="B1575" s="2" t="s">
        <v>545</v>
      </c>
      <c r="C1575" s="2" t="s">
        <v>126</v>
      </c>
      <c r="D1575" s="2" t="s">
        <v>41</v>
      </c>
      <c r="E1575" s="2" t="s">
        <v>70</v>
      </c>
      <c r="F1575" s="2" t="s">
        <v>83</v>
      </c>
      <c r="G1575" s="1">
        <v>0</v>
      </c>
      <c r="H1575" s="1">
        <v>494</v>
      </c>
      <c r="I1575" s="2" t="s">
        <v>19</v>
      </c>
      <c r="J1575" s="2" t="s">
        <v>26</v>
      </c>
      <c r="K1575" s="1">
        <v>175.43</v>
      </c>
      <c r="L1575" s="3">
        <v>45438</v>
      </c>
    </row>
    <row r="1576" spans="1:12" x14ac:dyDescent="0.25">
      <c r="A1576" s="1">
        <v>101909</v>
      </c>
      <c r="B1576" s="2" t="s">
        <v>151</v>
      </c>
      <c r="C1576" s="2" t="s">
        <v>152</v>
      </c>
      <c r="D1576" s="2" t="s">
        <v>64</v>
      </c>
      <c r="E1576" s="2" t="s">
        <v>81</v>
      </c>
      <c r="F1576" s="2" t="s">
        <v>18</v>
      </c>
      <c r="G1576" s="1">
        <v>0</v>
      </c>
      <c r="H1576" s="1">
        <v>534</v>
      </c>
      <c r="I1576" s="2" t="s">
        <v>45</v>
      </c>
      <c r="J1576" s="2" t="s">
        <v>33</v>
      </c>
      <c r="K1576" s="1">
        <v>309.32</v>
      </c>
      <c r="L1576" s="3">
        <v>45437</v>
      </c>
    </row>
    <row r="1577" spans="1:12" x14ac:dyDescent="0.25">
      <c r="A1577" s="1">
        <v>101873</v>
      </c>
      <c r="B1577" s="2" t="s">
        <v>217</v>
      </c>
      <c r="C1577" s="2" t="s">
        <v>218</v>
      </c>
      <c r="D1577" s="2" t="s">
        <v>41</v>
      </c>
      <c r="E1577" s="2" t="s">
        <v>17</v>
      </c>
      <c r="F1577" s="2" t="s">
        <v>18</v>
      </c>
      <c r="G1577" s="1">
        <v>0</v>
      </c>
      <c r="H1577" s="1">
        <v>894</v>
      </c>
      <c r="I1577" s="2" t="s">
        <v>45</v>
      </c>
      <c r="J1577" s="2" t="s">
        <v>26</v>
      </c>
      <c r="K1577" s="1">
        <v>271.77999999999997</v>
      </c>
      <c r="L1577" s="3">
        <v>45437</v>
      </c>
    </row>
    <row r="1578" spans="1:12" x14ac:dyDescent="0.25">
      <c r="A1578" s="1">
        <v>100962</v>
      </c>
      <c r="B1578" s="2" t="s">
        <v>222</v>
      </c>
      <c r="C1578" s="2" t="s">
        <v>100</v>
      </c>
      <c r="D1578" s="2" t="s">
        <v>106</v>
      </c>
      <c r="E1578" s="2" t="s">
        <v>78</v>
      </c>
      <c r="F1578" s="2" t="s">
        <v>83</v>
      </c>
      <c r="G1578" s="1" t="s">
        <v>35</v>
      </c>
      <c r="H1578" s="1">
        <v>585</v>
      </c>
      <c r="I1578" s="2" t="s">
        <v>32</v>
      </c>
      <c r="J1578" s="2" t="s">
        <v>20</v>
      </c>
      <c r="K1578" s="1">
        <v>688.42</v>
      </c>
      <c r="L1578" s="3">
        <v>45436</v>
      </c>
    </row>
    <row r="1579" spans="1:12" x14ac:dyDescent="0.25">
      <c r="A1579" s="1">
        <v>102078</v>
      </c>
      <c r="B1579" s="2" t="s">
        <v>396</v>
      </c>
      <c r="C1579" s="2" t="s">
        <v>103</v>
      </c>
      <c r="D1579" s="2" t="s">
        <v>50</v>
      </c>
      <c r="E1579" s="2" t="s">
        <v>78</v>
      </c>
      <c r="F1579" s="2" t="s">
        <v>18</v>
      </c>
      <c r="G1579" s="1">
        <v>0</v>
      </c>
      <c r="H1579" s="1">
        <v>437</v>
      </c>
      <c r="I1579" s="2" t="s">
        <v>32</v>
      </c>
      <c r="J1579" s="2" t="s">
        <v>20</v>
      </c>
      <c r="K1579" s="1">
        <v>423.61</v>
      </c>
      <c r="L1579" s="3">
        <v>45436</v>
      </c>
    </row>
    <row r="1580" spans="1:12" x14ac:dyDescent="0.25">
      <c r="A1580" s="1">
        <v>101121</v>
      </c>
      <c r="B1580" s="2" t="s">
        <v>131</v>
      </c>
      <c r="C1580" s="2" t="s">
        <v>39</v>
      </c>
      <c r="D1580" s="2" t="s">
        <v>64</v>
      </c>
      <c r="E1580" s="2" t="s">
        <v>78</v>
      </c>
      <c r="F1580" s="2" t="s">
        <v>18</v>
      </c>
      <c r="G1580" s="1">
        <v>0</v>
      </c>
      <c r="H1580" s="1">
        <v>867</v>
      </c>
      <c r="I1580" s="2" t="s">
        <v>37</v>
      </c>
      <c r="J1580" s="2" t="s">
        <v>26</v>
      </c>
      <c r="K1580" s="1">
        <v>391.23</v>
      </c>
      <c r="L1580" s="3">
        <v>45436</v>
      </c>
    </row>
    <row r="1581" spans="1:12" x14ac:dyDescent="0.25">
      <c r="A1581" s="1">
        <v>101132</v>
      </c>
      <c r="B1581" s="2" t="s">
        <v>1378</v>
      </c>
      <c r="C1581" s="2" t="s">
        <v>142</v>
      </c>
      <c r="D1581" s="2" t="s">
        <v>106</v>
      </c>
      <c r="E1581" s="2" t="s">
        <v>55</v>
      </c>
      <c r="F1581" s="2" t="s">
        <v>18</v>
      </c>
      <c r="G1581" s="1">
        <v>0</v>
      </c>
      <c r="H1581" s="1">
        <v>369</v>
      </c>
      <c r="I1581" s="2" t="s">
        <v>56</v>
      </c>
      <c r="J1581" s="2" t="s">
        <v>20</v>
      </c>
      <c r="K1581" s="1">
        <v>383.27</v>
      </c>
      <c r="L1581" s="3">
        <v>45436</v>
      </c>
    </row>
    <row r="1582" spans="1:12" x14ac:dyDescent="0.25">
      <c r="A1582" s="1">
        <v>101741</v>
      </c>
      <c r="B1582" s="2" t="s">
        <v>506</v>
      </c>
      <c r="C1582" s="2" t="s">
        <v>58</v>
      </c>
      <c r="D1582" s="2" t="s">
        <v>41</v>
      </c>
      <c r="E1582" s="2" t="s">
        <v>70</v>
      </c>
      <c r="F1582" s="2" t="s">
        <v>83</v>
      </c>
      <c r="G1582" s="1">
        <v>0</v>
      </c>
      <c r="H1582" s="1">
        <v>394</v>
      </c>
      <c r="I1582" s="2" t="s">
        <v>37</v>
      </c>
      <c r="J1582" s="2" t="s">
        <v>33</v>
      </c>
      <c r="K1582" s="1">
        <v>274.38</v>
      </c>
      <c r="L1582" s="3">
        <v>45436</v>
      </c>
    </row>
    <row r="1583" spans="1:12" x14ac:dyDescent="0.25">
      <c r="A1583" s="1">
        <v>101343</v>
      </c>
      <c r="B1583" s="2" t="s">
        <v>164</v>
      </c>
      <c r="C1583" s="2" t="s">
        <v>126</v>
      </c>
      <c r="D1583" s="2" t="s">
        <v>50</v>
      </c>
      <c r="E1583" s="2" t="s">
        <v>31</v>
      </c>
      <c r="F1583" s="2" t="s">
        <v>18</v>
      </c>
      <c r="G1583" s="1" t="s">
        <v>35</v>
      </c>
      <c r="H1583" s="1">
        <v>722</v>
      </c>
      <c r="I1583" s="2" t="s">
        <v>32</v>
      </c>
      <c r="J1583" s="2" t="s">
        <v>20</v>
      </c>
      <c r="K1583" s="1">
        <v>107.02</v>
      </c>
      <c r="L1583" s="3">
        <v>45436</v>
      </c>
    </row>
    <row r="1584" spans="1:12" x14ac:dyDescent="0.25">
      <c r="A1584" s="1">
        <v>100179</v>
      </c>
      <c r="B1584" s="2" t="s">
        <v>327</v>
      </c>
      <c r="C1584" s="2" t="s">
        <v>100</v>
      </c>
      <c r="D1584" s="2" t="s">
        <v>64</v>
      </c>
      <c r="E1584" s="2" t="s">
        <v>17</v>
      </c>
      <c r="F1584" s="2" t="s">
        <v>42</v>
      </c>
      <c r="G1584" s="1">
        <v>50</v>
      </c>
      <c r="H1584" s="1">
        <v>721</v>
      </c>
      <c r="I1584" s="2" t="s">
        <v>45</v>
      </c>
      <c r="J1584" s="2" t="s">
        <v>33</v>
      </c>
      <c r="K1584" s="1"/>
      <c r="L1584" s="3">
        <v>45436</v>
      </c>
    </row>
    <row r="1585" spans="1:12" x14ac:dyDescent="0.25">
      <c r="A1585" s="1">
        <v>100125</v>
      </c>
      <c r="B1585" s="2" t="s">
        <v>118</v>
      </c>
      <c r="C1585" s="2" t="s">
        <v>62</v>
      </c>
      <c r="D1585" s="2" t="s">
        <v>50</v>
      </c>
      <c r="E1585" s="2" t="s">
        <v>17</v>
      </c>
      <c r="F1585" s="2" t="s">
        <v>83</v>
      </c>
      <c r="G1585" s="1">
        <v>0</v>
      </c>
      <c r="H1585" s="1">
        <v>463</v>
      </c>
      <c r="I1585" s="2" t="s">
        <v>37</v>
      </c>
      <c r="J1585" s="2" t="s">
        <v>33</v>
      </c>
      <c r="K1585" s="1">
        <v>678.93</v>
      </c>
      <c r="L1585" s="3">
        <v>45435</v>
      </c>
    </row>
    <row r="1586" spans="1:12" x14ac:dyDescent="0.25">
      <c r="A1586" s="1">
        <v>101653</v>
      </c>
      <c r="B1586" s="2" t="s">
        <v>1535</v>
      </c>
      <c r="C1586" s="2" t="s">
        <v>122</v>
      </c>
      <c r="D1586" s="2" t="s">
        <v>16</v>
      </c>
      <c r="E1586" s="2" t="s">
        <v>17</v>
      </c>
      <c r="F1586" s="2" t="s">
        <v>18</v>
      </c>
      <c r="G1586" s="1">
        <v>0</v>
      </c>
      <c r="H1586" s="1">
        <v>873</v>
      </c>
      <c r="I1586" s="2" t="s">
        <v>32</v>
      </c>
      <c r="J1586" s="2" t="s">
        <v>26</v>
      </c>
      <c r="K1586" s="1">
        <v>613.66</v>
      </c>
      <c r="L1586" s="3">
        <v>45435</v>
      </c>
    </row>
    <row r="1587" spans="1:12" x14ac:dyDescent="0.25">
      <c r="A1587" s="1">
        <v>100112</v>
      </c>
      <c r="B1587" s="2" t="s">
        <v>420</v>
      </c>
      <c r="C1587" s="2" t="s">
        <v>35</v>
      </c>
      <c r="D1587" s="2" t="s">
        <v>64</v>
      </c>
      <c r="E1587" s="2" t="s">
        <v>17</v>
      </c>
      <c r="F1587" s="2" t="s">
        <v>18</v>
      </c>
      <c r="G1587" s="1">
        <v>0</v>
      </c>
      <c r="H1587" s="1">
        <v>418</v>
      </c>
      <c r="I1587" s="2" t="s">
        <v>45</v>
      </c>
      <c r="J1587" s="2" t="s">
        <v>33</v>
      </c>
      <c r="K1587" s="1">
        <v>469.17</v>
      </c>
      <c r="L1587" s="3">
        <v>45435</v>
      </c>
    </row>
    <row r="1588" spans="1:12" x14ac:dyDescent="0.25">
      <c r="A1588" s="1">
        <v>100770</v>
      </c>
      <c r="B1588" s="2" t="s">
        <v>297</v>
      </c>
      <c r="C1588" s="2" t="s">
        <v>72</v>
      </c>
      <c r="D1588" s="2" t="s">
        <v>64</v>
      </c>
      <c r="E1588" s="2" t="s">
        <v>81</v>
      </c>
      <c r="F1588" s="2" t="s">
        <v>18</v>
      </c>
      <c r="G1588" s="1">
        <v>0</v>
      </c>
      <c r="H1588" s="1">
        <v>878</v>
      </c>
      <c r="I1588" s="2" t="s">
        <v>32</v>
      </c>
      <c r="J1588" s="2" t="s">
        <v>33</v>
      </c>
      <c r="K1588" s="1">
        <v>332.25</v>
      </c>
      <c r="L1588" s="3">
        <v>45435</v>
      </c>
    </row>
    <row r="1589" spans="1:12" x14ac:dyDescent="0.25">
      <c r="A1589" s="1">
        <v>101476</v>
      </c>
      <c r="B1589" s="2" t="s">
        <v>1168</v>
      </c>
      <c r="C1589" s="2" t="s">
        <v>218</v>
      </c>
      <c r="D1589" s="2" t="s">
        <v>41</v>
      </c>
      <c r="E1589" s="2" t="s">
        <v>60</v>
      </c>
      <c r="F1589" s="2" t="s">
        <v>25</v>
      </c>
      <c r="G1589" s="1">
        <v>17</v>
      </c>
      <c r="H1589" s="1">
        <v>606</v>
      </c>
      <c r="I1589" s="2" t="s">
        <v>32</v>
      </c>
      <c r="J1589" s="2" t="s">
        <v>35</v>
      </c>
      <c r="K1589" s="1">
        <v>158.55000000000001</v>
      </c>
      <c r="L1589" s="3">
        <v>45435</v>
      </c>
    </row>
    <row r="1590" spans="1:12" x14ac:dyDescent="0.25">
      <c r="A1590" s="1">
        <v>102126</v>
      </c>
      <c r="B1590" s="2" t="s">
        <v>282</v>
      </c>
      <c r="C1590" s="2" t="s">
        <v>152</v>
      </c>
      <c r="D1590" s="2" t="s">
        <v>106</v>
      </c>
      <c r="E1590" s="2" t="s">
        <v>78</v>
      </c>
      <c r="F1590" s="2" t="s">
        <v>18</v>
      </c>
      <c r="G1590" s="1">
        <v>0</v>
      </c>
      <c r="H1590" s="1">
        <v>301</v>
      </c>
      <c r="I1590" s="2" t="s">
        <v>56</v>
      </c>
      <c r="J1590" s="2" t="s">
        <v>26</v>
      </c>
      <c r="K1590" s="1">
        <v>93.48</v>
      </c>
      <c r="L1590" s="3">
        <v>45435</v>
      </c>
    </row>
    <row r="1591" spans="1:12" x14ac:dyDescent="0.25">
      <c r="A1591" s="1">
        <v>100584</v>
      </c>
      <c r="B1591" s="2" t="s">
        <v>79</v>
      </c>
      <c r="C1591" s="2" t="s">
        <v>47</v>
      </c>
      <c r="D1591" s="2" t="s">
        <v>16</v>
      </c>
      <c r="E1591" s="2" t="s">
        <v>81</v>
      </c>
      <c r="F1591" s="2" t="s">
        <v>42</v>
      </c>
      <c r="G1591" s="1">
        <v>148</v>
      </c>
      <c r="H1591" s="1">
        <v>585</v>
      </c>
      <c r="I1591" s="2" t="s">
        <v>45</v>
      </c>
      <c r="J1591" s="2" t="s">
        <v>26</v>
      </c>
      <c r="K1591" s="1">
        <v>969.26</v>
      </c>
      <c r="L1591" s="3">
        <v>45434</v>
      </c>
    </row>
    <row r="1592" spans="1:12" x14ac:dyDescent="0.25">
      <c r="A1592" s="1">
        <v>100847</v>
      </c>
      <c r="B1592" s="2" t="s">
        <v>129</v>
      </c>
      <c r="C1592" s="2" t="s">
        <v>13</v>
      </c>
      <c r="D1592" s="2" t="s">
        <v>64</v>
      </c>
      <c r="E1592" s="2" t="s">
        <v>17</v>
      </c>
      <c r="F1592" s="2" t="s">
        <v>83</v>
      </c>
      <c r="G1592" s="1">
        <v>0</v>
      </c>
      <c r="H1592" s="1">
        <v>336</v>
      </c>
      <c r="I1592" s="2" t="s">
        <v>19</v>
      </c>
      <c r="J1592" s="2" t="s">
        <v>20</v>
      </c>
      <c r="K1592" s="1">
        <v>875.83</v>
      </c>
      <c r="L1592" s="3">
        <v>45434</v>
      </c>
    </row>
    <row r="1593" spans="1:12" x14ac:dyDescent="0.25">
      <c r="A1593" s="1">
        <v>100644</v>
      </c>
      <c r="B1593" s="2" t="s">
        <v>238</v>
      </c>
      <c r="C1593" s="2" t="s">
        <v>47</v>
      </c>
      <c r="D1593" s="2" t="s">
        <v>106</v>
      </c>
      <c r="E1593" s="2" t="s">
        <v>31</v>
      </c>
      <c r="F1593" s="2" t="s">
        <v>83</v>
      </c>
      <c r="G1593" s="1">
        <v>0</v>
      </c>
      <c r="H1593" s="1">
        <v>497</v>
      </c>
      <c r="I1593" s="2" t="s">
        <v>35</v>
      </c>
      <c r="J1593" s="2" t="s">
        <v>20</v>
      </c>
      <c r="K1593" s="1">
        <v>720.63</v>
      </c>
      <c r="L1593" s="3">
        <v>45434</v>
      </c>
    </row>
    <row r="1594" spans="1:12" x14ac:dyDescent="0.25">
      <c r="A1594" s="1">
        <v>101370</v>
      </c>
      <c r="B1594" s="2" t="s">
        <v>125</v>
      </c>
      <c r="C1594" s="2" t="s">
        <v>126</v>
      </c>
      <c r="D1594" s="2" t="s">
        <v>50</v>
      </c>
      <c r="E1594" s="2" t="s">
        <v>31</v>
      </c>
      <c r="F1594" s="2" t="s">
        <v>18</v>
      </c>
      <c r="G1594" s="1">
        <v>0</v>
      </c>
      <c r="H1594" s="1">
        <v>461</v>
      </c>
      <c r="I1594" s="2" t="s">
        <v>37</v>
      </c>
      <c r="J1594" s="2" t="s">
        <v>20</v>
      </c>
      <c r="K1594" s="1">
        <v>398.38</v>
      </c>
      <c r="L1594" s="3">
        <v>45434</v>
      </c>
    </row>
    <row r="1595" spans="1:12" x14ac:dyDescent="0.25">
      <c r="A1595" s="1">
        <v>100145</v>
      </c>
      <c r="B1595" s="2" t="s">
        <v>294</v>
      </c>
      <c r="C1595" s="2" t="s">
        <v>100</v>
      </c>
      <c r="D1595" s="2" t="s">
        <v>106</v>
      </c>
      <c r="E1595" s="2" t="s">
        <v>60</v>
      </c>
      <c r="F1595" s="2" t="s">
        <v>18</v>
      </c>
      <c r="G1595" s="1">
        <v>0</v>
      </c>
      <c r="H1595" s="1">
        <v>377</v>
      </c>
      <c r="I1595" s="2" t="s">
        <v>45</v>
      </c>
      <c r="J1595" s="2" t="s">
        <v>20</v>
      </c>
      <c r="K1595" s="1">
        <v>308.57</v>
      </c>
      <c r="L1595" s="3">
        <v>45434</v>
      </c>
    </row>
    <row r="1596" spans="1:12" x14ac:dyDescent="0.25">
      <c r="A1596" s="1">
        <v>100496</v>
      </c>
      <c r="B1596" s="2" t="s">
        <v>438</v>
      </c>
      <c r="C1596" s="2" t="s">
        <v>95</v>
      </c>
      <c r="D1596" s="2" t="s">
        <v>41</v>
      </c>
      <c r="E1596" s="2" t="s">
        <v>81</v>
      </c>
      <c r="F1596" s="2" t="s">
        <v>25</v>
      </c>
      <c r="G1596" s="1">
        <v>11</v>
      </c>
      <c r="H1596" s="1">
        <v>858</v>
      </c>
      <c r="I1596" s="2" t="s">
        <v>37</v>
      </c>
      <c r="J1596" s="2" t="s">
        <v>26</v>
      </c>
      <c r="K1596" s="1">
        <v>249.39</v>
      </c>
      <c r="L1596" s="3">
        <v>45434</v>
      </c>
    </row>
    <row r="1597" spans="1:12" x14ac:dyDescent="0.25">
      <c r="A1597" s="1">
        <v>100728</v>
      </c>
      <c r="B1597" s="2" t="s">
        <v>431</v>
      </c>
      <c r="C1597" s="2" t="s">
        <v>28</v>
      </c>
      <c r="D1597" s="2" t="s">
        <v>64</v>
      </c>
      <c r="E1597" s="2" t="s">
        <v>17</v>
      </c>
      <c r="F1597" s="2" t="s">
        <v>42</v>
      </c>
      <c r="G1597" s="1">
        <v>116</v>
      </c>
      <c r="H1597" s="1">
        <v>691</v>
      </c>
      <c r="I1597" s="2" t="s">
        <v>19</v>
      </c>
      <c r="J1597" s="2" t="s">
        <v>20</v>
      </c>
      <c r="K1597" s="1">
        <v>103.43</v>
      </c>
      <c r="L1597" s="3">
        <v>45434</v>
      </c>
    </row>
    <row r="1598" spans="1:12" x14ac:dyDescent="0.25">
      <c r="A1598" s="1">
        <v>101124</v>
      </c>
      <c r="B1598" s="2" t="s">
        <v>678</v>
      </c>
      <c r="C1598" s="2" t="s">
        <v>270</v>
      </c>
      <c r="D1598" s="2" t="s">
        <v>106</v>
      </c>
      <c r="E1598" s="2" t="s">
        <v>31</v>
      </c>
      <c r="F1598" s="2" t="s">
        <v>83</v>
      </c>
      <c r="G1598" s="1">
        <v>0</v>
      </c>
      <c r="H1598" s="1">
        <v>883</v>
      </c>
      <c r="I1598" s="2" t="s">
        <v>56</v>
      </c>
      <c r="J1598" s="2" t="s">
        <v>33</v>
      </c>
      <c r="K1598" s="1">
        <v>75.44</v>
      </c>
      <c r="L1598" s="3">
        <v>45434</v>
      </c>
    </row>
    <row r="1599" spans="1:12" x14ac:dyDescent="0.25">
      <c r="A1599" s="1">
        <v>100645</v>
      </c>
      <c r="B1599" s="2" t="s">
        <v>506</v>
      </c>
      <c r="C1599" s="2" t="s">
        <v>58</v>
      </c>
      <c r="D1599" s="2" t="s">
        <v>50</v>
      </c>
      <c r="E1599" s="2" t="s">
        <v>70</v>
      </c>
      <c r="F1599" s="2" t="s">
        <v>18</v>
      </c>
      <c r="G1599" s="1">
        <v>0</v>
      </c>
      <c r="H1599" s="1">
        <v>394</v>
      </c>
      <c r="I1599" s="2" t="s">
        <v>32</v>
      </c>
      <c r="J1599" s="2" t="s">
        <v>33</v>
      </c>
      <c r="K1599" s="1">
        <v>919.06</v>
      </c>
      <c r="L1599" s="3">
        <v>45433</v>
      </c>
    </row>
    <row r="1600" spans="1:12" x14ac:dyDescent="0.25">
      <c r="A1600" s="1">
        <v>101156</v>
      </c>
      <c r="B1600" s="2" t="s">
        <v>89</v>
      </c>
      <c r="C1600" s="2" t="s">
        <v>72</v>
      </c>
      <c r="D1600" s="2" t="s">
        <v>64</v>
      </c>
      <c r="E1600" s="2" t="s">
        <v>17</v>
      </c>
      <c r="F1600" s="2" t="s">
        <v>18</v>
      </c>
      <c r="G1600" s="1">
        <v>0</v>
      </c>
      <c r="H1600" s="1">
        <v>358</v>
      </c>
      <c r="I1600" s="2" t="s">
        <v>35</v>
      </c>
      <c r="J1600" s="2" t="s">
        <v>20</v>
      </c>
      <c r="K1600" s="1">
        <v>740.9</v>
      </c>
      <c r="L1600" s="3">
        <v>45433</v>
      </c>
    </row>
    <row r="1601" spans="1:12" x14ac:dyDescent="0.25">
      <c r="A1601" s="1">
        <v>100252</v>
      </c>
      <c r="B1601" s="2" t="s">
        <v>210</v>
      </c>
      <c r="C1601" s="2" t="s">
        <v>95</v>
      </c>
      <c r="D1601" s="2" t="s">
        <v>16</v>
      </c>
      <c r="E1601" s="2" t="s">
        <v>70</v>
      </c>
      <c r="F1601" s="2" t="s">
        <v>18</v>
      </c>
      <c r="G1601" s="1">
        <v>0</v>
      </c>
      <c r="H1601" s="1">
        <v>369</v>
      </c>
      <c r="I1601" s="2" t="s">
        <v>45</v>
      </c>
      <c r="J1601" s="2" t="s">
        <v>26</v>
      </c>
      <c r="K1601" s="1">
        <v>62.52</v>
      </c>
      <c r="L1601" s="3">
        <v>45433</v>
      </c>
    </row>
    <row r="1602" spans="1:12" x14ac:dyDescent="0.25">
      <c r="A1602" s="1">
        <v>100070</v>
      </c>
      <c r="B1602" s="2" t="s">
        <v>177</v>
      </c>
      <c r="C1602" s="2" t="s">
        <v>85</v>
      </c>
      <c r="D1602" s="2" t="s">
        <v>106</v>
      </c>
      <c r="E1602" s="2" t="s">
        <v>31</v>
      </c>
      <c r="F1602" s="2" t="s">
        <v>18</v>
      </c>
      <c r="G1602" s="1">
        <v>0</v>
      </c>
      <c r="H1602" s="1">
        <v>375</v>
      </c>
      <c r="I1602" s="2" t="s">
        <v>32</v>
      </c>
      <c r="J1602" s="2" t="s">
        <v>26</v>
      </c>
      <c r="K1602" s="1">
        <v>1378.76</v>
      </c>
      <c r="L1602" s="3">
        <v>45432</v>
      </c>
    </row>
    <row r="1603" spans="1:12" x14ac:dyDescent="0.25">
      <c r="A1603" s="1">
        <v>100952</v>
      </c>
      <c r="B1603" s="2" t="s">
        <v>481</v>
      </c>
      <c r="C1603" s="2" t="s">
        <v>168</v>
      </c>
      <c r="D1603" s="2" t="s">
        <v>16</v>
      </c>
      <c r="E1603" s="2" t="s">
        <v>31</v>
      </c>
      <c r="F1603" s="2" t="s">
        <v>25</v>
      </c>
      <c r="G1603" s="1">
        <v>27</v>
      </c>
      <c r="H1603" s="1">
        <v>548</v>
      </c>
      <c r="I1603" s="2" t="s">
        <v>56</v>
      </c>
      <c r="J1603" s="2" t="s">
        <v>20</v>
      </c>
      <c r="K1603" s="1">
        <v>599.04999999999995</v>
      </c>
      <c r="L1603" s="3">
        <v>45432</v>
      </c>
    </row>
    <row r="1604" spans="1:12" x14ac:dyDescent="0.25">
      <c r="A1604" s="1">
        <v>100383</v>
      </c>
      <c r="B1604" s="2" t="s">
        <v>621</v>
      </c>
      <c r="C1604" s="2" t="s">
        <v>72</v>
      </c>
      <c r="D1604" s="2" t="s">
        <v>50</v>
      </c>
      <c r="E1604" s="2" t="s">
        <v>78</v>
      </c>
      <c r="F1604" s="2" t="s">
        <v>18</v>
      </c>
      <c r="G1604" s="1">
        <v>0</v>
      </c>
      <c r="H1604" s="1">
        <v>377</v>
      </c>
      <c r="I1604" s="2" t="s">
        <v>45</v>
      </c>
      <c r="J1604" s="2" t="s">
        <v>26</v>
      </c>
      <c r="K1604" s="1">
        <v>219.29</v>
      </c>
      <c r="L1604" s="3">
        <v>45432</v>
      </c>
    </row>
    <row r="1605" spans="1:12" x14ac:dyDescent="0.25">
      <c r="A1605" s="1">
        <v>101435</v>
      </c>
      <c r="B1605" s="2" t="s">
        <v>576</v>
      </c>
      <c r="C1605" s="2" t="s">
        <v>22</v>
      </c>
      <c r="D1605" s="2" t="s">
        <v>16</v>
      </c>
      <c r="E1605" s="2" t="s">
        <v>55</v>
      </c>
      <c r="F1605" s="2" t="s">
        <v>42</v>
      </c>
      <c r="G1605" s="1">
        <v>51</v>
      </c>
      <c r="H1605" s="1">
        <v>418</v>
      </c>
      <c r="I1605" s="2" t="s">
        <v>56</v>
      </c>
      <c r="J1605" s="2" t="s">
        <v>20</v>
      </c>
      <c r="K1605" s="1">
        <v>130.02000000000001</v>
      </c>
      <c r="L1605" s="3">
        <v>45432</v>
      </c>
    </row>
    <row r="1606" spans="1:12" x14ac:dyDescent="0.25">
      <c r="A1606" s="1">
        <v>101338</v>
      </c>
      <c r="B1606" s="2" t="s">
        <v>1259</v>
      </c>
      <c r="C1606" s="2" t="s">
        <v>47</v>
      </c>
      <c r="D1606" s="2" t="s">
        <v>41</v>
      </c>
      <c r="E1606" s="2" t="s">
        <v>60</v>
      </c>
      <c r="F1606" s="2" t="s">
        <v>83</v>
      </c>
      <c r="G1606" s="1">
        <v>0</v>
      </c>
      <c r="H1606" s="1">
        <v>748</v>
      </c>
      <c r="I1606" s="2" t="s">
        <v>35</v>
      </c>
      <c r="J1606" s="2" t="s">
        <v>33</v>
      </c>
      <c r="K1606" s="1">
        <v>90.72</v>
      </c>
      <c r="L1606" s="3">
        <v>45432</v>
      </c>
    </row>
    <row r="1607" spans="1:12" x14ac:dyDescent="0.25">
      <c r="A1607" s="1">
        <v>100131</v>
      </c>
      <c r="B1607" s="2" t="s">
        <v>592</v>
      </c>
      <c r="C1607" s="2" t="s">
        <v>47</v>
      </c>
      <c r="D1607" s="2" t="s">
        <v>106</v>
      </c>
      <c r="E1607" s="2" t="s">
        <v>60</v>
      </c>
      <c r="F1607" s="2" t="s">
        <v>18</v>
      </c>
      <c r="G1607" s="1">
        <v>0</v>
      </c>
      <c r="H1607" s="1">
        <v>332</v>
      </c>
      <c r="I1607" s="2" t="s">
        <v>32</v>
      </c>
      <c r="J1607" s="2" t="s">
        <v>20</v>
      </c>
      <c r="K1607" s="1">
        <v>523</v>
      </c>
      <c r="L1607" s="3">
        <v>45431</v>
      </c>
    </row>
    <row r="1608" spans="1:12" x14ac:dyDescent="0.25">
      <c r="A1608" s="1">
        <v>101929</v>
      </c>
      <c r="B1608" s="2" t="s">
        <v>576</v>
      </c>
      <c r="C1608" s="2" t="s">
        <v>22</v>
      </c>
      <c r="D1608" s="2" t="s">
        <v>16</v>
      </c>
      <c r="E1608" s="2" t="s">
        <v>31</v>
      </c>
      <c r="F1608" s="2" t="s">
        <v>25</v>
      </c>
      <c r="G1608" s="1">
        <v>14</v>
      </c>
      <c r="H1608" s="1">
        <v>418</v>
      </c>
      <c r="I1608" s="2" t="s">
        <v>19</v>
      </c>
      <c r="J1608" s="2" t="s">
        <v>33</v>
      </c>
      <c r="K1608" s="1">
        <v>127.375</v>
      </c>
      <c r="L1608" s="3">
        <v>45431</v>
      </c>
    </row>
    <row r="1609" spans="1:12" x14ac:dyDescent="0.25">
      <c r="A1609" s="1">
        <v>101150</v>
      </c>
      <c r="B1609" s="2" t="s">
        <v>167</v>
      </c>
      <c r="C1609" s="2" t="s">
        <v>168</v>
      </c>
      <c r="D1609" s="2" t="s">
        <v>64</v>
      </c>
      <c r="E1609" s="2" t="s">
        <v>17</v>
      </c>
      <c r="F1609" s="2" t="s">
        <v>18</v>
      </c>
      <c r="G1609" s="1">
        <v>0</v>
      </c>
      <c r="H1609" s="1">
        <v>658</v>
      </c>
      <c r="I1609" s="2" t="s">
        <v>35</v>
      </c>
      <c r="J1609" s="2" t="s">
        <v>33</v>
      </c>
      <c r="K1609" s="1"/>
      <c r="L1609" s="3">
        <v>45431</v>
      </c>
    </row>
    <row r="1610" spans="1:12" x14ac:dyDescent="0.25">
      <c r="A1610" s="1">
        <v>101516</v>
      </c>
      <c r="B1610" s="2" t="s">
        <v>596</v>
      </c>
      <c r="C1610" s="2" t="s">
        <v>35</v>
      </c>
      <c r="D1610" s="2" t="s">
        <v>50</v>
      </c>
      <c r="E1610" s="2" t="s">
        <v>60</v>
      </c>
      <c r="F1610" s="2" t="s">
        <v>18</v>
      </c>
      <c r="G1610" s="1">
        <v>0</v>
      </c>
      <c r="H1610" s="1">
        <v>603</v>
      </c>
      <c r="I1610" s="2" t="s">
        <v>32</v>
      </c>
      <c r="J1610" s="2" t="s">
        <v>35</v>
      </c>
      <c r="K1610" s="1">
        <v>226.34</v>
      </c>
      <c r="L1610" s="3">
        <v>45430</v>
      </c>
    </row>
    <row r="1611" spans="1:12" x14ac:dyDescent="0.25">
      <c r="A1611" s="1">
        <v>100081</v>
      </c>
      <c r="B1611" s="2" t="s">
        <v>241</v>
      </c>
      <c r="C1611" s="2" t="s">
        <v>58</v>
      </c>
      <c r="D1611" s="2" t="s">
        <v>16</v>
      </c>
      <c r="E1611" s="2" t="s">
        <v>55</v>
      </c>
      <c r="F1611" s="2" t="s">
        <v>18</v>
      </c>
      <c r="G1611" s="1">
        <v>0</v>
      </c>
      <c r="H1611" s="1">
        <v>468</v>
      </c>
      <c r="I1611" s="2" t="s">
        <v>56</v>
      </c>
      <c r="J1611" s="2" t="s">
        <v>20</v>
      </c>
      <c r="K1611" s="1">
        <v>156.82</v>
      </c>
      <c r="L1611" s="3">
        <v>45430</v>
      </c>
    </row>
    <row r="1612" spans="1:12" x14ac:dyDescent="0.25">
      <c r="A1612" s="1">
        <v>100513</v>
      </c>
      <c r="B1612" s="2" t="s">
        <v>607</v>
      </c>
      <c r="C1612" s="2" t="s">
        <v>134</v>
      </c>
      <c r="D1612" s="2" t="s">
        <v>41</v>
      </c>
      <c r="E1612" s="2" t="s">
        <v>78</v>
      </c>
      <c r="F1612" s="2" t="s">
        <v>42</v>
      </c>
      <c r="G1612" s="1">
        <v>112</v>
      </c>
      <c r="H1612" s="1">
        <v>458</v>
      </c>
      <c r="I1612" s="2" t="s">
        <v>19</v>
      </c>
      <c r="J1612" s="2" t="s">
        <v>26</v>
      </c>
      <c r="K1612" s="1">
        <v>803.42</v>
      </c>
      <c r="L1612" s="3">
        <v>45429</v>
      </c>
    </row>
    <row r="1613" spans="1:12" x14ac:dyDescent="0.25">
      <c r="A1613" s="1">
        <v>101674</v>
      </c>
      <c r="B1613" s="2" t="s">
        <v>986</v>
      </c>
      <c r="C1613" s="2" t="s">
        <v>28</v>
      </c>
      <c r="D1613" s="2" t="s">
        <v>50</v>
      </c>
      <c r="E1613" s="2" t="s">
        <v>81</v>
      </c>
      <c r="F1613" s="2" t="s">
        <v>18</v>
      </c>
      <c r="G1613" s="1">
        <v>0</v>
      </c>
      <c r="H1613" s="1">
        <v>459</v>
      </c>
      <c r="I1613" s="2" t="s">
        <v>32</v>
      </c>
      <c r="J1613" s="2" t="s">
        <v>20</v>
      </c>
      <c r="K1613" s="1">
        <v>778.88</v>
      </c>
      <c r="L1613" s="3">
        <v>45429</v>
      </c>
    </row>
    <row r="1614" spans="1:12" x14ac:dyDescent="0.25">
      <c r="A1614" s="1">
        <v>101925</v>
      </c>
      <c r="B1614" s="2" t="s">
        <v>553</v>
      </c>
      <c r="C1614" s="2" t="s">
        <v>72</v>
      </c>
      <c r="D1614" s="2" t="s">
        <v>50</v>
      </c>
      <c r="E1614" s="2" t="s">
        <v>17</v>
      </c>
      <c r="F1614" s="2" t="s">
        <v>18</v>
      </c>
      <c r="G1614" s="1">
        <v>0</v>
      </c>
      <c r="H1614" s="1">
        <v>638</v>
      </c>
      <c r="I1614" s="2" t="s">
        <v>32</v>
      </c>
      <c r="J1614" s="2" t="s">
        <v>33</v>
      </c>
      <c r="K1614" s="1">
        <v>638.4</v>
      </c>
      <c r="L1614" s="3">
        <v>45429</v>
      </c>
    </row>
    <row r="1615" spans="1:12" x14ac:dyDescent="0.25">
      <c r="A1615" s="1">
        <v>101300</v>
      </c>
      <c r="B1615" s="2" t="s">
        <v>534</v>
      </c>
      <c r="C1615" s="2" t="s">
        <v>39</v>
      </c>
      <c r="D1615" s="2" t="s">
        <v>16</v>
      </c>
      <c r="E1615" s="2" t="s">
        <v>78</v>
      </c>
      <c r="F1615" s="2" t="s">
        <v>83</v>
      </c>
      <c r="G1615" s="1">
        <v>0</v>
      </c>
      <c r="H1615" s="1">
        <v>592</v>
      </c>
      <c r="I1615" s="2" t="s">
        <v>32</v>
      </c>
      <c r="J1615" s="2" t="s">
        <v>33</v>
      </c>
      <c r="K1615" s="1">
        <v>528.75</v>
      </c>
      <c r="L1615" s="3">
        <v>45429</v>
      </c>
    </row>
    <row r="1616" spans="1:12" x14ac:dyDescent="0.25">
      <c r="A1616" s="1">
        <v>102172</v>
      </c>
      <c r="B1616" s="2" t="s">
        <v>875</v>
      </c>
      <c r="C1616" s="2" t="s">
        <v>72</v>
      </c>
      <c r="D1616" s="2" t="s">
        <v>41</v>
      </c>
      <c r="E1616" s="2" t="s">
        <v>70</v>
      </c>
      <c r="F1616" s="2" t="s">
        <v>18</v>
      </c>
      <c r="G1616" s="1">
        <v>0</v>
      </c>
      <c r="H1616" s="1">
        <v>678</v>
      </c>
      <c r="I1616" s="2" t="s">
        <v>37</v>
      </c>
      <c r="J1616" s="2" t="s">
        <v>26</v>
      </c>
      <c r="K1616" s="1">
        <v>394.22</v>
      </c>
      <c r="L1616" s="3">
        <v>45429</v>
      </c>
    </row>
    <row r="1617" spans="1:12" x14ac:dyDescent="0.25">
      <c r="A1617" s="1">
        <v>101061</v>
      </c>
      <c r="B1617" s="2" t="s">
        <v>628</v>
      </c>
      <c r="C1617" s="2" t="s">
        <v>47</v>
      </c>
      <c r="D1617" s="2" t="s">
        <v>64</v>
      </c>
      <c r="E1617" s="2" t="s">
        <v>55</v>
      </c>
      <c r="F1617" s="2" t="s">
        <v>18</v>
      </c>
      <c r="G1617" s="1" t="s">
        <v>35</v>
      </c>
      <c r="H1617" s="1">
        <v>852</v>
      </c>
      <c r="I1617" s="2" t="s">
        <v>37</v>
      </c>
      <c r="J1617" s="2" t="s">
        <v>33</v>
      </c>
      <c r="K1617" s="1">
        <v>314.73</v>
      </c>
      <c r="L1617" s="3">
        <v>45429</v>
      </c>
    </row>
    <row r="1618" spans="1:12" x14ac:dyDescent="0.25">
      <c r="A1618" s="1">
        <v>102173</v>
      </c>
      <c r="B1618" s="2" t="s">
        <v>825</v>
      </c>
      <c r="C1618" s="2" t="s">
        <v>58</v>
      </c>
      <c r="D1618" s="2" t="s">
        <v>16</v>
      </c>
      <c r="E1618" s="2" t="s">
        <v>31</v>
      </c>
      <c r="F1618" s="2" t="s">
        <v>42</v>
      </c>
      <c r="G1618" s="1">
        <v>41</v>
      </c>
      <c r="H1618" s="1">
        <v>636</v>
      </c>
      <c r="I1618" s="2" t="s">
        <v>56</v>
      </c>
      <c r="J1618" s="2" t="s">
        <v>33</v>
      </c>
      <c r="K1618" s="1">
        <v>275.45999999999998</v>
      </c>
      <c r="L1618" s="3">
        <v>45429</v>
      </c>
    </row>
    <row r="1619" spans="1:12" x14ac:dyDescent="0.25">
      <c r="A1619" s="1">
        <v>100398</v>
      </c>
      <c r="B1619" s="2" t="s">
        <v>232</v>
      </c>
      <c r="C1619" s="2" t="s">
        <v>152</v>
      </c>
      <c r="D1619" s="2" t="s">
        <v>106</v>
      </c>
      <c r="E1619" s="2" t="s">
        <v>31</v>
      </c>
      <c r="F1619" s="2" t="s">
        <v>25</v>
      </c>
      <c r="G1619" s="1">
        <v>4</v>
      </c>
      <c r="H1619" s="1">
        <v>781</v>
      </c>
      <c r="I1619" s="2" t="s">
        <v>19</v>
      </c>
      <c r="J1619" s="2" t="s">
        <v>20</v>
      </c>
      <c r="K1619" s="1">
        <v>254.82</v>
      </c>
      <c r="L1619" s="3">
        <v>45429</v>
      </c>
    </row>
    <row r="1620" spans="1:12" x14ac:dyDescent="0.25">
      <c r="A1620" s="1">
        <v>100490</v>
      </c>
      <c r="B1620" s="2" t="s">
        <v>177</v>
      </c>
      <c r="C1620" s="2" t="s">
        <v>85</v>
      </c>
      <c r="D1620" s="2" t="s">
        <v>106</v>
      </c>
      <c r="E1620" s="2" t="s">
        <v>31</v>
      </c>
      <c r="F1620" s="2" t="s">
        <v>25</v>
      </c>
      <c r="G1620" s="1">
        <v>10</v>
      </c>
      <c r="H1620" s="1">
        <v>375</v>
      </c>
      <c r="I1620" s="2" t="s">
        <v>56</v>
      </c>
      <c r="J1620" s="2" t="s">
        <v>33</v>
      </c>
      <c r="K1620" s="1">
        <v>214.28</v>
      </c>
      <c r="L1620" s="3">
        <v>45429</v>
      </c>
    </row>
    <row r="1621" spans="1:12" x14ac:dyDescent="0.25">
      <c r="A1621" s="1">
        <v>101044</v>
      </c>
      <c r="B1621" s="2" t="s">
        <v>125</v>
      </c>
      <c r="C1621" s="2" t="s">
        <v>126</v>
      </c>
      <c r="D1621" s="2" t="s">
        <v>16</v>
      </c>
      <c r="E1621" s="2" t="s">
        <v>17</v>
      </c>
      <c r="F1621" s="2" t="s">
        <v>18</v>
      </c>
      <c r="G1621" s="1">
        <v>0</v>
      </c>
      <c r="H1621" s="1">
        <v>461</v>
      </c>
      <c r="I1621" s="2" t="s">
        <v>19</v>
      </c>
      <c r="J1621" s="2" t="s">
        <v>20</v>
      </c>
      <c r="K1621" s="1">
        <v>304.04000000000002</v>
      </c>
      <c r="L1621" s="3">
        <v>45428</v>
      </c>
    </row>
    <row r="1622" spans="1:12" x14ac:dyDescent="0.25">
      <c r="A1622" s="1">
        <v>101912</v>
      </c>
      <c r="B1622" s="2" t="s">
        <v>196</v>
      </c>
      <c r="C1622" s="2" t="s">
        <v>152</v>
      </c>
      <c r="D1622" s="2" t="s">
        <v>50</v>
      </c>
      <c r="E1622" s="2" t="s">
        <v>81</v>
      </c>
      <c r="F1622" s="2" t="s">
        <v>18</v>
      </c>
      <c r="G1622" s="1">
        <v>0</v>
      </c>
      <c r="H1622" s="1">
        <v>405</v>
      </c>
      <c r="I1622" s="2" t="s">
        <v>45</v>
      </c>
      <c r="J1622" s="2" t="s">
        <v>33</v>
      </c>
      <c r="K1622" s="1">
        <v>112.2</v>
      </c>
      <c r="L1622" s="3">
        <v>45428</v>
      </c>
    </row>
    <row r="1623" spans="1:12" x14ac:dyDescent="0.25">
      <c r="A1623" s="1">
        <v>101216</v>
      </c>
      <c r="B1623" s="2" t="s">
        <v>890</v>
      </c>
      <c r="C1623" s="2" t="s">
        <v>149</v>
      </c>
      <c r="D1623" s="2" t="s">
        <v>50</v>
      </c>
      <c r="E1623" s="2" t="s">
        <v>70</v>
      </c>
      <c r="F1623" s="2" t="s">
        <v>18</v>
      </c>
      <c r="G1623" s="1">
        <v>0</v>
      </c>
      <c r="H1623" s="1">
        <v>733</v>
      </c>
      <c r="I1623" s="2" t="s">
        <v>19</v>
      </c>
      <c r="J1623" s="2" t="s">
        <v>33</v>
      </c>
      <c r="K1623" s="1">
        <v>32.78</v>
      </c>
      <c r="L1623" s="3">
        <v>45427</v>
      </c>
    </row>
    <row r="1624" spans="1:12" x14ac:dyDescent="0.25">
      <c r="A1624" s="1">
        <v>101786</v>
      </c>
      <c r="B1624" s="2" t="s">
        <v>807</v>
      </c>
      <c r="C1624" s="2" t="s">
        <v>85</v>
      </c>
      <c r="D1624" s="2" t="s">
        <v>106</v>
      </c>
      <c r="E1624" s="2" t="s">
        <v>78</v>
      </c>
      <c r="F1624" s="2" t="s">
        <v>83</v>
      </c>
      <c r="G1624" s="1">
        <v>0</v>
      </c>
      <c r="H1624" s="1">
        <v>443</v>
      </c>
      <c r="I1624" s="2" t="s">
        <v>37</v>
      </c>
      <c r="J1624" s="2" t="s">
        <v>26</v>
      </c>
      <c r="K1624" s="1">
        <v>410.72</v>
      </c>
      <c r="L1624" s="3">
        <v>45426</v>
      </c>
    </row>
    <row r="1625" spans="1:12" x14ac:dyDescent="0.25">
      <c r="A1625" s="1">
        <v>101420</v>
      </c>
      <c r="B1625" s="2" t="s">
        <v>65</v>
      </c>
      <c r="C1625" s="2" t="s">
        <v>62</v>
      </c>
      <c r="D1625" s="2" t="s">
        <v>64</v>
      </c>
      <c r="E1625" s="2" t="s">
        <v>70</v>
      </c>
      <c r="F1625" s="2" t="s">
        <v>18</v>
      </c>
      <c r="G1625" s="1">
        <v>0</v>
      </c>
      <c r="H1625" s="1">
        <v>542</v>
      </c>
      <c r="I1625" s="2" t="s">
        <v>19</v>
      </c>
      <c r="J1625" s="2" t="s">
        <v>26</v>
      </c>
      <c r="K1625" s="1">
        <v>215.37</v>
      </c>
      <c r="L1625" s="3">
        <v>45426</v>
      </c>
    </row>
    <row r="1626" spans="1:12" x14ac:dyDescent="0.25">
      <c r="A1626" s="1">
        <v>102146</v>
      </c>
      <c r="B1626" s="2" t="s">
        <v>46</v>
      </c>
      <c r="C1626" s="2" t="s">
        <v>47</v>
      </c>
      <c r="D1626" s="2" t="s">
        <v>50</v>
      </c>
      <c r="E1626" s="2" t="s">
        <v>81</v>
      </c>
      <c r="F1626" s="2" t="s">
        <v>18</v>
      </c>
      <c r="G1626" s="1">
        <v>0</v>
      </c>
      <c r="H1626" s="1">
        <v>615</v>
      </c>
      <c r="I1626" s="2" t="s">
        <v>56</v>
      </c>
      <c r="J1626" s="2" t="s">
        <v>26</v>
      </c>
      <c r="K1626" s="1">
        <v>376.31</v>
      </c>
      <c r="L1626" s="3">
        <v>45425</v>
      </c>
    </row>
    <row r="1627" spans="1:12" x14ac:dyDescent="0.25">
      <c r="A1627" s="1">
        <v>101099</v>
      </c>
      <c r="B1627" s="2" t="s">
        <v>307</v>
      </c>
      <c r="C1627" s="2" t="s">
        <v>58</v>
      </c>
      <c r="D1627" s="2" t="s">
        <v>64</v>
      </c>
      <c r="E1627" s="2" t="s">
        <v>81</v>
      </c>
      <c r="F1627" s="2" t="s">
        <v>18</v>
      </c>
      <c r="G1627" s="1">
        <v>0</v>
      </c>
      <c r="H1627" s="1">
        <v>616</v>
      </c>
      <c r="I1627" s="2" t="s">
        <v>56</v>
      </c>
      <c r="J1627" s="2" t="s">
        <v>33</v>
      </c>
      <c r="K1627" s="1">
        <v>289.77</v>
      </c>
      <c r="L1627" s="3">
        <v>45425</v>
      </c>
    </row>
    <row r="1628" spans="1:12" x14ac:dyDescent="0.25">
      <c r="A1628" s="1">
        <v>102187</v>
      </c>
      <c r="B1628" s="2" t="s">
        <v>382</v>
      </c>
      <c r="C1628" s="2" t="s">
        <v>152</v>
      </c>
      <c r="D1628" s="2" t="s">
        <v>41</v>
      </c>
      <c r="E1628" s="2" t="s">
        <v>81</v>
      </c>
      <c r="F1628" s="2" t="s">
        <v>18</v>
      </c>
      <c r="G1628" s="1">
        <v>0</v>
      </c>
      <c r="H1628" s="1">
        <v>797</v>
      </c>
      <c r="I1628" s="2" t="s">
        <v>37</v>
      </c>
      <c r="J1628" s="2" t="s">
        <v>20</v>
      </c>
      <c r="K1628" s="1">
        <v>479.32</v>
      </c>
      <c r="L1628" s="3">
        <v>45424</v>
      </c>
    </row>
    <row r="1629" spans="1:12" x14ac:dyDescent="0.25">
      <c r="A1629" s="1">
        <v>100064</v>
      </c>
      <c r="B1629" s="2" t="s">
        <v>299</v>
      </c>
      <c r="C1629" s="2" t="s">
        <v>22</v>
      </c>
      <c r="D1629" s="2" t="s">
        <v>16</v>
      </c>
      <c r="E1629" s="2" t="s">
        <v>70</v>
      </c>
      <c r="F1629" s="2" t="s">
        <v>18</v>
      </c>
      <c r="G1629" s="1">
        <v>0</v>
      </c>
      <c r="H1629" s="1">
        <v>855</v>
      </c>
      <c r="I1629" s="2" t="s">
        <v>32</v>
      </c>
      <c r="J1629" s="2" t="s">
        <v>26</v>
      </c>
      <c r="K1629" s="1">
        <v>445.48</v>
      </c>
      <c r="L1629" s="3">
        <v>45424</v>
      </c>
    </row>
    <row r="1630" spans="1:12" x14ac:dyDescent="0.25">
      <c r="A1630" s="1">
        <v>101686</v>
      </c>
      <c r="B1630" s="2" t="s">
        <v>57</v>
      </c>
      <c r="C1630" s="2" t="s">
        <v>58</v>
      </c>
      <c r="D1630" s="2" t="s">
        <v>16</v>
      </c>
      <c r="E1630" s="2" t="s">
        <v>60</v>
      </c>
      <c r="F1630" s="2" t="s">
        <v>18</v>
      </c>
      <c r="G1630" s="1">
        <v>0</v>
      </c>
      <c r="H1630" s="1">
        <v>798</v>
      </c>
      <c r="I1630" s="2" t="s">
        <v>19</v>
      </c>
      <c r="J1630" s="2" t="s">
        <v>33</v>
      </c>
      <c r="K1630" s="1">
        <v>350.72</v>
      </c>
      <c r="L1630" s="3">
        <v>45424</v>
      </c>
    </row>
    <row r="1631" spans="1:12" x14ac:dyDescent="0.25">
      <c r="A1631" s="1">
        <v>100238</v>
      </c>
      <c r="B1631" s="2" t="s">
        <v>1036</v>
      </c>
      <c r="C1631" s="2" t="s">
        <v>149</v>
      </c>
      <c r="D1631" s="2" t="s">
        <v>50</v>
      </c>
      <c r="E1631" s="2" t="s">
        <v>17</v>
      </c>
      <c r="F1631" s="2" t="s">
        <v>83</v>
      </c>
      <c r="G1631" s="1">
        <v>0</v>
      </c>
      <c r="H1631" s="1">
        <v>358</v>
      </c>
      <c r="I1631" s="2" t="s">
        <v>56</v>
      </c>
      <c r="J1631" s="2" t="s">
        <v>26</v>
      </c>
      <c r="K1631" s="1">
        <v>347.69</v>
      </c>
      <c r="L1631" s="3">
        <v>45424</v>
      </c>
    </row>
    <row r="1632" spans="1:12" x14ac:dyDescent="0.25">
      <c r="A1632" s="1">
        <v>101029</v>
      </c>
      <c r="B1632" s="2" t="s">
        <v>678</v>
      </c>
      <c r="C1632" s="2" t="s">
        <v>270</v>
      </c>
      <c r="D1632" s="2" t="s">
        <v>41</v>
      </c>
      <c r="E1632" s="2" t="s">
        <v>78</v>
      </c>
      <c r="F1632" s="2" t="s">
        <v>25</v>
      </c>
      <c r="G1632" s="1">
        <v>19</v>
      </c>
      <c r="H1632" s="1">
        <v>883</v>
      </c>
      <c r="I1632" s="2" t="s">
        <v>19</v>
      </c>
      <c r="J1632" s="2" t="s">
        <v>20</v>
      </c>
      <c r="K1632" s="1">
        <v>340.66</v>
      </c>
      <c r="L1632" s="3">
        <v>45424</v>
      </c>
    </row>
    <row r="1633" spans="1:12" x14ac:dyDescent="0.25">
      <c r="A1633" s="1">
        <v>101412</v>
      </c>
      <c r="B1633" s="2" t="s">
        <v>684</v>
      </c>
      <c r="C1633" s="2" t="s">
        <v>149</v>
      </c>
      <c r="D1633" s="2" t="s">
        <v>16</v>
      </c>
      <c r="E1633" s="2" t="s">
        <v>60</v>
      </c>
      <c r="F1633" s="2" t="s">
        <v>83</v>
      </c>
      <c r="G1633" s="1">
        <v>0</v>
      </c>
      <c r="H1633" s="1">
        <v>494</v>
      </c>
      <c r="I1633" s="2" t="s">
        <v>37</v>
      </c>
      <c r="J1633" s="2" t="s">
        <v>35</v>
      </c>
      <c r="K1633" s="1">
        <v>268.52999999999997</v>
      </c>
      <c r="L1633" s="3">
        <v>45424</v>
      </c>
    </row>
    <row r="1634" spans="1:12" x14ac:dyDescent="0.25">
      <c r="A1634" s="1">
        <v>100430</v>
      </c>
      <c r="B1634" s="2" t="s">
        <v>1059</v>
      </c>
      <c r="C1634" s="2" t="s">
        <v>149</v>
      </c>
      <c r="D1634" s="2" t="s">
        <v>16</v>
      </c>
      <c r="E1634" s="2" t="s">
        <v>55</v>
      </c>
      <c r="F1634" s="2" t="s">
        <v>18</v>
      </c>
      <c r="G1634" s="1">
        <v>0</v>
      </c>
      <c r="H1634" s="1">
        <v>571</v>
      </c>
      <c r="I1634" s="2" t="s">
        <v>19</v>
      </c>
      <c r="J1634" s="2" t="s">
        <v>33</v>
      </c>
      <c r="K1634" s="1">
        <v>206.93</v>
      </c>
      <c r="L1634" s="3">
        <v>45424</v>
      </c>
    </row>
    <row r="1635" spans="1:12" x14ac:dyDescent="0.25">
      <c r="A1635" s="1">
        <v>100340</v>
      </c>
      <c r="B1635" s="2" t="s">
        <v>357</v>
      </c>
      <c r="C1635" s="2" t="s">
        <v>62</v>
      </c>
      <c r="D1635" s="2" t="s">
        <v>64</v>
      </c>
      <c r="E1635" s="2" t="s">
        <v>31</v>
      </c>
      <c r="F1635" s="2" t="s">
        <v>25</v>
      </c>
      <c r="G1635" s="1">
        <v>12</v>
      </c>
      <c r="H1635" s="1">
        <v>345</v>
      </c>
      <c r="I1635" s="2" t="s">
        <v>32</v>
      </c>
      <c r="J1635" s="2" t="s">
        <v>33</v>
      </c>
      <c r="K1635" s="1"/>
      <c r="L1635" s="3">
        <v>45424</v>
      </c>
    </row>
    <row r="1636" spans="1:12" x14ac:dyDescent="0.25">
      <c r="A1636" s="1">
        <v>101413</v>
      </c>
      <c r="B1636" s="2" t="s">
        <v>385</v>
      </c>
      <c r="C1636" s="2" t="s">
        <v>85</v>
      </c>
      <c r="D1636" s="2" t="s">
        <v>41</v>
      </c>
      <c r="E1636" s="2" t="s">
        <v>78</v>
      </c>
      <c r="F1636" s="2" t="s">
        <v>18</v>
      </c>
      <c r="G1636" s="1">
        <v>0</v>
      </c>
      <c r="H1636" s="1">
        <v>490</v>
      </c>
      <c r="I1636" s="2" t="s">
        <v>56</v>
      </c>
      <c r="J1636" s="2" t="s">
        <v>26</v>
      </c>
      <c r="K1636" s="1">
        <v>637.65</v>
      </c>
      <c r="L1636" s="3">
        <v>45423</v>
      </c>
    </row>
    <row r="1637" spans="1:12" x14ac:dyDescent="0.25">
      <c r="A1637" s="1">
        <v>101703</v>
      </c>
      <c r="B1637" s="2" t="s">
        <v>1554</v>
      </c>
      <c r="C1637" s="2" t="s">
        <v>28</v>
      </c>
      <c r="D1637" s="2" t="s">
        <v>41</v>
      </c>
      <c r="E1637" s="2" t="s">
        <v>70</v>
      </c>
      <c r="F1637" s="2" t="s">
        <v>18</v>
      </c>
      <c r="G1637" s="1">
        <v>0</v>
      </c>
      <c r="H1637" s="1">
        <v>571</v>
      </c>
      <c r="I1637" s="2" t="s">
        <v>45</v>
      </c>
      <c r="J1637" s="2" t="s">
        <v>33</v>
      </c>
      <c r="K1637" s="1">
        <v>421.46</v>
      </c>
      <c r="L1637" s="3">
        <v>45423</v>
      </c>
    </row>
    <row r="1638" spans="1:12" x14ac:dyDescent="0.25">
      <c r="A1638" s="1">
        <v>101658</v>
      </c>
      <c r="B1638" s="2" t="s">
        <v>322</v>
      </c>
      <c r="C1638" s="2" t="s">
        <v>13</v>
      </c>
      <c r="D1638" s="2" t="s">
        <v>16</v>
      </c>
      <c r="E1638" s="2" t="s">
        <v>78</v>
      </c>
      <c r="F1638" s="2" t="s">
        <v>18</v>
      </c>
      <c r="G1638" s="1">
        <v>0</v>
      </c>
      <c r="H1638" s="1">
        <v>623</v>
      </c>
      <c r="I1638" s="2" t="s">
        <v>32</v>
      </c>
      <c r="J1638" s="2" t="s">
        <v>26</v>
      </c>
      <c r="K1638" s="1">
        <v>412.12</v>
      </c>
      <c r="L1638" s="3">
        <v>45423</v>
      </c>
    </row>
    <row r="1639" spans="1:12" x14ac:dyDescent="0.25">
      <c r="A1639" s="1">
        <v>101852</v>
      </c>
      <c r="B1639" s="2" t="s">
        <v>671</v>
      </c>
      <c r="C1639" s="2" t="s">
        <v>122</v>
      </c>
      <c r="D1639" s="2" t="s">
        <v>106</v>
      </c>
      <c r="E1639" s="2" t="s">
        <v>31</v>
      </c>
      <c r="F1639" s="2" t="s">
        <v>18</v>
      </c>
      <c r="G1639" s="1">
        <v>0</v>
      </c>
      <c r="H1639" s="1">
        <v>302</v>
      </c>
      <c r="I1639" s="2" t="s">
        <v>45</v>
      </c>
      <c r="J1639" s="2" t="s">
        <v>26</v>
      </c>
      <c r="K1639" s="1">
        <v>279.77999999999997</v>
      </c>
      <c r="L1639" s="3">
        <v>45423</v>
      </c>
    </row>
    <row r="1640" spans="1:12" x14ac:dyDescent="0.25">
      <c r="A1640" s="1">
        <v>100084</v>
      </c>
      <c r="B1640" s="2" t="s">
        <v>21</v>
      </c>
      <c r="C1640" s="2" t="s">
        <v>22</v>
      </c>
      <c r="D1640" s="2" t="s">
        <v>106</v>
      </c>
      <c r="E1640" s="2" t="s">
        <v>78</v>
      </c>
      <c r="F1640" s="2" t="s">
        <v>42</v>
      </c>
      <c r="G1640" s="1">
        <v>64</v>
      </c>
      <c r="H1640" s="1">
        <v>771</v>
      </c>
      <c r="I1640" s="2" t="s">
        <v>56</v>
      </c>
      <c r="J1640" s="2" t="s">
        <v>20</v>
      </c>
      <c r="K1640" s="1">
        <v>262.86</v>
      </c>
      <c r="L1640" s="3">
        <v>45423</v>
      </c>
    </row>
    <row r="1641" spans="1:12" x14ac:dyDescent="0.25">
      <c r="A1641" s="1">
        <v>100495</v>
      </c>
      <c r="B1641" s="2" t="s">
        <v>636</v>
      </c>
      <c r="C1641" s="2" t="s">
        <v>244</v>
      </c>
      <c r="D1641" s="2" t="s">
        <v>41</v>
      </c>
      <c r="E1641" s="2" t="s">
        <v>60</v>
      </c>
      <c r="F1641" s="2" t="s">
        <v>18</v>
      </c>
      <c r="G1641" s="1">
        <v>0</v>
      </c>
      <c r="H1641" s="1">
        <v>303</v>
      </c>
      <c r="I1641" s="2" t="s">
        <v>35</v>
      </c>
      <c r="J1641" s="2" t="s">
        <v>26</v>
      </c>
      <c r="K1641" s="1">
        <v>206.71</v>
      </c>
      <c r="L1641" s="3">
        <v>45423</v>
      </c>
    </row>
    <row r="1642" spans="1:12" x14ac:dyDescent="0.25">
      <c r="A1642" s="1">
        <v>101551</v>
      </c>
      <c r="B1642" s="2" t="s">
        <v>184</v>
      </c>
      <c r="C1642" s="2" t="s">
        <v>62</v>
      </c>
      <c r="D1642" s="2" t="s">
        <v>64</v>
      </c>
      <c r="E1642" s="2" t="s">
        <v>55</v>
      </c>
      <c r="F1642" s="2" t="s">
        <v>18</v>
      </c>
      <c r="G1642" s="1">
        <v>0</v>
      </c>
      <c r="H1642" s="1">
        <v>571</v>
      </c>
      <c r="I1642" s="2" t="s">
        <v>45</v>
      </c>
      <c r="J1642" s="2" t="s">
        <v>20</v>
      </c>
      <c r="K1642" s="1">
        <v>118.46</v>
      </c>
      <c r="L1642" s="3">
        <v>45423</v>
      </c>
    </row>
    <row r="1643" spans="1:12" x14ac:dyDescent="0.25">
      <c r="A1643" s="1">
        <v>101988</v>
      </c>
      <c r="B1643" s="2" t="s">
        <v>358</v>
      </c>
      <c r="C1643" s="2" t="s">
        <v>110</v>
      </c>
      <c r="D1643" s="2" t="s">
        <v>50</v>
      </c>
      <c r="E1643" s="2" t="s">
        <v>70</v>
      </c>
      <c r="F1643" s="2" t="s">
        <v>18</v>
      </c>
      <c r="G1643" s="1">
        <v>0</v>
      </c>
      <c r="H1643" s="1">
        <v>481</v>
      </c>
      <c r="I1643" s="2" t="s">
        <v>45</v>
      </c>
      <c r="J1643" s="2" t="s">
        <v>33</v>
      </c>
      <c r="K1643" s="1">
        <v>107.72</v>
      </c>
      <c r="L1643" s="3">
        <v>45423</v>
      </c>
    </row>
    <row r="1644" spans="1:12" x14ac:dyDescent="0.25">
      <c r="A1644" s="1">
        <v>100087</v>
      </c>
      <c r="B1644" s="2" t="s">
        <v>71</v>
      </c>
      <c r="C1644" s="2" t="s">
        <v>72</v>
      </c>
      <c r="D1644" s="2" t="s">
        <v>41</v>
      </c>
      <c r="E1644" s="2" t="s">
        <v>81</v>
      </c>
      <c r="F1644" s="2" t="s">
        <v>83</v>
      </c>
      <c r="G1644" s="1">
        <v>0</v>
      </c>
      <c r="H1644" s="1">
        <v>841</v>
      </c>
      <c r="I1644" s="2" t="s">
        <v>45</v>
      </c>
      <c r="J1644" s="2" t="s">
        <v>26</v>
      </c>
      <c r="K1644" s="1">
        <v>75.45</v>
      </c>
      <c r="L1644" s="3">
        <v>45423</v>
      </c>
    </row>
    <row r="1645" spans="1:12" x14ac:dyDescent="0.25">
      <c r="A1645" s="1">
        <v>102191</v>
      </c>
      <c r="B1645" s="2" t="s">
        <v>99</v>
      </c>
      <c r="C1645" s="2" t="s">
        <v>100</v>
      </c>
      <c r="D1645" s="2" t="s">
        <v>106</v>
      </c>
      <c r="E1645" s="2" t="s">
        <v>31</v>
      </c>
      <c r="F1645" s="2" t="s">
        <v>18</v>
      </c>
      <c r="G1645" s="1">
        <v>0</v>
      </c>
      <c r="H1645" s="1">
        <v>414</v>
      </c>
      <c r="I1645" s="2" t="s">
        <v>37</v>
      </c>
      <c r="J1645" s="2" t="s">
        <v>33</v>
      </c>
      <c r="K1645" s="1">
        <v>692.3</v>
      </c>
      <c r="L1645" s="3">
        <v>45422</v>
      </c>
    </row>
    <row r="1646" spans="1:12" x14ac:dyDescent="0.25">
      <c r="A1646" s="1">
        <v>100516</v>
      </c>
      <c r="B1646" s="2" t="s">
        <v>489</v>
      </c>
      <c r="C1646" s="2" t="s">
        <v>126</v>
      </c>
      <c r="D1646" s="2" t="s">
        <v>41</v>
      </c>
      <c r="E1646" s="2" t="s">
        <v>81</v>
      </c>
      <c r="F1646" s="2" t="s">
        <v>83</v>
      </c>
      <c r="G1646" s="1">
        <v>0</v>
      </c>
      <c r="H1646" s="1">
        <v>843</v>
      </c>
      <c r="I1646" s="2" t="s">
        <v>19</v>
      </c>
      <c r="J1646" s="2" t="s">
        <v>33</v>
      </c>
      <c r="K1646" s="1">
        <v>373.39</v>
      </c>
      <c r="L1646" s="3">
        <v>45422</v>
      </c>
    </row>
    <row r="1647" spans="1:12" x14ac:dyDescent="0.25">
      <c r="A1647" s="1">
        <v>102084</v>
      </c>
      <c r="B1647" s="2" t="s">
        <v>444</v>
      </c>
      <c r="C1647" s="2" t="s">
        <v>52</v>
      </c>
      <c r="D1647" s="2" t="s">
        <v>41</v>
      </c>
      <c r="E1647" s="2" t="s">
        <v>17</v>
      </c>
      <c r="F1647" s="2" t="s">
        <v>25</v>
      </c>
      <c r="G1647" s="1">
        <v>16</v>
      </c>
      <c r="H1647" s="1">
        <v>688</v>
      </c>
      <c r="I1647" s="2" t="s">
        <v>56</v>
      </c>
      <c r="J1647" s="2" t="s">
        <v>33</v>
      </c>
      <c r="K1647" s="1">
        <v>330.55</v>
      </c>
      <c r="L1647" s="3">
        <v>45422</v>
      </c>
    </row>
    <row r="1648" spans="1:12" x14ac:dyDescent="0.25">
      <c r="A1648" s="1">
        <v>100271</v>
      </c>
      <c r="B1648" s="2" t="s">
        <v>184</v>
      </c>
      <c r="C1648" s="2" t="s">
        <v>62</v>
      </c>
      <c r="D1648" s="2" t="s">
        <v>41</v>
      </c>
      <c r="E1648" s="2" t="s">
        <v>60</v>
      </c>
      <c r="F1648" s="2" t="s">
        <v>18</v>
      </c>
      <c r="G1648" s="1">
        <v>0</v>
      </c>
      <c r="H1648" s="1">
        <v>571</v>
      </c>
      <c r="I1648" s="2" t="s">
        <v>45</v>
      </c>
      <c r="J1648" s="2" t="s">
        <v>20</v>
      </c>
      <c r="K1648" s="1">
        <v>191.62</v>
      </c>
      <c r="L1648" s="3">
        <v>45422</v>
      </c>
    </row>
    <row r="1649" spans="1:12" x14ac:dyDescent="0.25">
      <c r="A1649" s="1">
        <v>100961</v>
      </c>
      <c r="B1649" s="2" t="s">
        <v>396</v>
      </c>
      <c r="C1649" s="2" t="s">
        <v>103</v>
      </c>
      <c r="D1649" s="2" t="s">
        <v>106</v>
      </c>
      <c r="E1649" s="2" t="s">
        <v>60</v>
      </c>
      <c r="F1649" s="2" t="s">
        <v>18</v>
      </c>
      <c r="G1649" s="1">
        <v>0</v>
      </c>
      <c r="H1649" s="1">
        <v>437</v>
      </c>
      <c r="I1649" s="2" t="s">
        <v>56</v>
      </c>
      <c r="J1649" s="2" t="s">
        <v>33</v>
      </c>
      <c r="K1649" s="1">
        <v>1053.27</v>
      </c>
      <c r="L1649" s="3">
        <v>45421</v>
      </c>
    </row>
    <row r="1650" spans="1:12" x14ac:dyDescent="0.25">
      <c r="A1650" s="1">
        <v>101158</v>
      </c>
      <c r="B1650" s="2" t="s">
        <v>890</v>
      </c>
      <c r="C1650" s="2" t="s">
        <v>149</v>
      </c>
      <c r="D1650" s="2" t="s">
        <v>64</v>
      </c>
      <c r="E1650" s="2" t="s">
        <v>78</v>
      </c>
      <c r="F1650" s="2" t="s">
        <v>42</v>
      </c>
      <c r="G1650" s="1">
        <v>63</v>
      </c>
      <c r="H1650" s="1">
        <v>733</v>
      </c>
      <c r="I1650" s="2" t="s">
        <v>19</v>
      </c>
      <c r="J1650" s="2" t="s">
        <v>20</v>
      </c>
      <c r="K1650" s="1">
        <v>386.9</v>
      </c>
      <c r="L1650" s="3">
        <v>45421</v>
      </c>
    </row>
    <row r="1651" spans="1:12" x14ac:dyDescent="0.25">
      <c r="A1651" s="1">
        <v>101024</v>
      </c>
      <c r="B1651" s="2" t="s">
        <v>118</v>
      </c>
      <c r="C1651" s="2" t="s">
        <v>62</v>
      </c>
      <c r="D1651" s="2" t="s">
        <v>106</v>
      </c>
      <c r="E1651" s="2" t="s">
        <v>78</v>
      </c>
      <c r="F1651" s="2" t="s">
        <v>18</v>
      </c>
      <c r="G1651" s="1">
        <v>0</v>
      </c>
      <c r="H1651" s="1">
        <v>463</v>
      </c>
      <c r="I1651" s="2" t="s">
        <v>32</v>
      </c>
      <c r="J1651" s="2" t="s">
        <v>20</v>
      </c>
      <c r="K1651" s="1"/>
      <c r="L1651" s="3">
        <v>45421</v>
      </c>
    </row>
    <row r="1652" spans="1:12" x14ac:dyDescent="0.25">
      <c r="A1652" s="1">
        <v>102058</v>
      </c>
      <c r="B1652" s="2" t="s">
        <v>1177</v>
      </c>
      <c r="C1652" s="2" t="s">
        <v>35</v>
      </c>
      <c r="D1652" s="2" t="s">
        <v>106</v>
      </c>
      <c r="E1652" s="2" t="s">
        <v>35</v>
      </c>
      <c r="F1652" s="2" t="s">
        <v>18</v>
      </c>
      <c r="G1652" s="1">
        <v>0</v>
      </c>
      <c r="H1652" s="1">
        <v>482</v>
      </c>
      <c r="I1652" s="2" t="s">
        <v>37</v>
      </c>
      <c r="J1652" s="2" t="s">
        <v>20</v>
      </c>
      <c r="K1652" s="1">
        <v>1931.06</v>
      </c>
      <c r="L1652" s="3">
        <v>45420</v>
      </c>
    </row>
    <row r="1653" spans="1:12" x14ac:dyDescent="0.25">
      <c r="A1653" s="1">
        <v>100785</v>
      </c>
      <c r="B1653" s="2" t="s">
        <v>1203</v>
      </c>
      <c r="C1653" s="2" t="s">
        <v>187</v>
      </c>
      <c r="D1653" s="2" t="s">
        <v>64</v>
      </c>
      <c r="E1653" s="2" t="s">
        <v>35</v>
      </c>
      <c r="F1653" s="2" t="s">
        <v>83</v>
      </c>
      <c r="G1653" s="1">
        <v>0</v>
      </c>
      <c r="H1653" s="1">
        <v>752</v>
      </c>
      <c r="I1653" s="2" t="s">
        <v>37</v>
      </c>
      <c r="J1653" s="2" t="s">
        <v>20</v>
      </c>
      <c r="K1653" s="1">
        <v>884.9</v>
      </c>
      <c r="L1653" s="3">
        <v>45420</v>
      </c>
    </row>
    <row r="1654" spans="1:12" x14ac:dyDescent="0.25">
      <c r="A1654" s="1">
        <v>100044</v>
      </c>
      <c r="B1654" s="2" t="s">
        <v>671</v>
      </c>
      <c r="C1654" s="2" t="s">
        <v>122</v>
      </c>
      <c r="D1654" s="2" t="s">
        <v>106</v>
      </c>
      <c r="E1654" s="2" t="s">
        <v>35</v>
      </c>
      <c r="F1654" s="2" t="s">
        <v>83</v>
      </c>
      <c r="G1654" s="1">
        <v>0</v>
      </c>
      <c r="H1654" s="1">
        <v>302</v>
      </c>
      <c r="I1654" s="2" t="s">
        <v>19</v>
      </c>
      <c r="J1654" s="2" t="s">
        <v>20</v>
      </c>
      <c r="K1654" s="1">
        <v>201.01</v>
      </c>
      <c r="L1654" s="3">
        <v>45420</v>
      </c>
    </row>
    <row r="1655" spans="1:12" x14ac:dyDescent="0.25">
      <c r="A1655" s="1">
        <v>101742</v>
      </c>
      <c r="B1655" s="2" t="s">
        <v>402</v>
      </c>
      <c r="C1655" s="2" t="s">
        <v>95</v>
      </c>
      <c r="D1655" s="2" t="s">
        <v>16</v>
      </c>
      <c r="E1655" s="2" t="s">
        <v>55</v>
      </c>
      <c r="F1655" s="2" t="s">
        <v>18</v>
      </c>
      <c r="G1655" s="1">
        <v>0</v>
      </c>
      <c r="H1655" s="1">
        <v>355</v>
      </c>
      <c r="I1655" s="2" t="s">
        <v>19</v>
      </c>
      <c r="J1655" s="2" t="s">
        <v>20</v>
      </c>
      <c r="K1655" s="1">
        <v>312.20999999999998</v>
      </c>
      <c r="L1655" s="3">
        <v>45419</v>
      </c>
    </row>
    <row r="1656" spans="1:12" x14ac:dyDescent="0.25">
      <c r="A1656" s="1">
        <v>101611</v>
      </c>
      <c r="B1656" s="2" t="s">
        <v>222</v>
      </c>
      <c r="C1656" s="2" t="s">
        <v>100</v>
      </c>
      <c r="D1656" s="2" t="s">
        <v>106</v>
      </c>
      <c r="E1656" s="2" t="s">
        <v>70</v>
      </c>
      <c r="F1656" s="2" t="s">
        <v>83</v>
      </c>
      <c r="G1656" s="1">
        <v>0</v>
      </c>
      <c r="H1656" s="1">
        <v>585</v>
      </c>
      <c r="I1656" s="2" t="s">
        <v>45</v>
      </c>
      <c r="J1656" s="2" t="s">
        <v>35</v>
      </c>
      <c r="K1656" s="1">
        <v>242.09</v>
      </c>
      <c r="L1656" s="3">
        <v>45419</v>
      </c>
    </row>
    <row r="1657" spans="1:12" x14ac:dyDescent="0.25">
      <c r="A1657" s="1">
        <v>101282</v>
      </c>
      <c r="B1657" s="2" t="s">
        <v>728</v>
      </c>
      <c r="C1657" s="2" t="s">
        <v>85</v>
      </c>
      <c r="D1657" s="2" t="s">
        <v>16</v>
      </c>
      <c r="E1657" s="2" t="s">
        <v>31</v>
      </c>
      <c r="F1657" s="2" t="s">
        <v>25</v>
      </c>
      <c r="G1657" s="1">
        <v>7</v>
      </c>
      <c r="H1657" s="1">
        <v>653</v>
      </c>
      <c r="I1657" s="2" t="s">
        <v>37</v>
      </c>
      <c r="J1657" s="2" t="s">
        <v>20</v>
      </c>
      <c r="K1657" s="1">
        <v>173.85</v>
      </c>
      <c r="L1657" s="3">
        <v>45419</v>
      </c>
    </row>
    <row r="1658" spans="1:12" x14ac:dyDescent="0.25">
      <c r="A1658" s="1">
        <v>102168</v>
      </c>
      <c r="B1658" s="2" t="s">
        <v>1206</v>
      </c>
      <c r="C1658" s="2" t="s">
        <v>22</v>
      </c>
      <c r="D1658" s="2" t="s">
        <v>64</v>
      </c>
      <c r="E1658" s="2" t="s">
        <v>81</v>
      </c>
      <c r="F1658" s="2" t="s">
        <v>83</v>
      </c>
      <c r="G1658" s="1">
        <v>0</v>
      </c>
      <c r="H1658" s="1">
        <v>607</v>
      </c>
      <c r="I1658" s="2" t="s">
        <v>56</v>
      </c>
      <c r="J1658" s="2" t="s">
        <v>26</v>
      </c>
      <c r="K1658" s="1">
        <v>168.1</v>
      </c>
      <c r="L1658" s="3">
        <v>45419</v>
      </c>
    </row>
    <row r="1659" spans="1:12" x14ac:dyDescent="0.25">
      <c r="A1659" s="1">
        <v>100833</v>
      </c>
      <c r="B1659" s="2" t="s">
        <v>474</v>
      </c>
      <c r="C1659" s="2" t="s">
        <v>270</v>
      </c>
      <c r="D1659" s="2" t="s">
        <v>106</v>
      </c>
      <c r="E1659" s="2" t="s">
        <v>55</v>
      </c>
      <c r="F1659" s="2" t="s">
        <v>83</v>
      </c>
      <c r="G1659" s="1">
        <v>0</v>
      </c>
      <c r="H1659" s="1">
        <v>483</v>
      </c>
      <c r="I1659" s="2" t="s">
        <v>37</v>
      </c>
      <c r="J1659" s="2" t="s">
        <v>33</v>
      </c>
      <c r="K1659" s="1">
        <v>724.56</v>
      </c>
      <c r="L1659" s="3">
        <v>45418</v>
      </c>
    </row>
    <row r="1660" spans="1:12" x14ac:dyDescent="0.25">
      <c r="A1660" s="1">
        <v>100960</v>
      </c>
      <c r="B1660" s="2" t="s">
        <v>151</v>
      </c>
      <c r="C1660" s="2" t="s">
        <v>152</v>
      </c>
      <c r="D1660" s="2" t="s">
        <v>41</v>
      </c>
      <c r="E1660" s="2" t="s">
        <v>78</v>
      </c>
      <c r="F1660" s="2" t="s">
        <v>18</v>
      </c>
      <c r="G1660" s="1">
        <v>0</v>
      </c>
      <c r="H1660" s="1">
        <v>534</v>
      </c>
      <c r="I1660" s="2" t="s">
        <v>32</v>
      </c>
      <c r="J1660" s="2" t="s">
        <v>26</v>
      </c>
      <c r="K1660" s="1">
        <v>530.03</v>
      </c>
      <c r="L1660" s="3">
        <v>45418</v>
      </c>
    </row>
    <row r="1661" spans="1:12" x14ac:dyDescent="0.25">
      <c r="A1661" s="1">
        <v>102103</v>
      </c>
      <c r="B1661" s="2" t="s">
        <v>558</v>
      </c>
      <c r="C1661" s="2" t="s">
        <v>218</v>
      </c>
      <c r="D1661" s="2" t="s">
        <v>41</v>
      </c>
      <c r="E1661" s="2" t="s">
        <v>81</v>
      </c>
      <c r="F1661" s="2" t="s">
        <v>18</v>
      </c>
      <c r="G1661" s="1">
        <v>0</v>
      </c>
      <c r="H1661" s="1">
        <v>784</v>
      </c>
      <c r="I1661" s="2" t="s">
        <v>45</v>
      </c>
      <c r="J1661" s="2" t="s">
        <v>26</v>
      </c>
      <c r="K1661" s="1">
        <v>501.75</v>
      </c>
      <c r="L1661" s="3">
        <v>45418</v>
      </c>
    </row>
    <row r="1662" spans="1:12" x14ac:dyDescent="0.25">
      <c r="A1662" s="1">
        <v>101839</v>
      </c>
      <c r="B1662" s="2" t="s">
        <v>157</v>
      </c>
      <c r="C1662" s="2" t="s">
        <v>103</v>
      </c>
      <c r="D1662" s="2" t="s">
        <v>50</v>
      </c>
      <c r="E1662" s="2" t="s">
        <v>60</v>
      </c>
      <c r="F1662" s="2" t="s">
        <v>25</v>
      </c>
      <c r="G1662" s="1">
        <v>11</v>
      </c>
      <c r="H1662" s="1">
        <v>897</v>
      </c>
      <c r="I1662" s="2" t="s">
        <v>56</v>
      </c>
      <c r="J1662" s="2" t="s">
        <v>33</v>
      </c>
      <c r="K1662" s="1">
        <v>322.92</v>
      </c>
      <c r="L1662" s="3">
        <v>45418</v>
      </c>
    </row>
    <row r="1663" spans="1:12" x14ac:dyDescent="0.25">
      <c r="A1663" s="1">
        <v>101765</v>
      </c>
      <c r="B1663" s="2" t="s">
        <v>765</v>
      </c>
      <c r="C1663" s="2" t="s">
        <v>22</v>
      </c>
      <c r="D1663" s="2" t="s">
        <v>50</v>
      </c>
      <c r="E1663" s="2" t="s">
        <v>31</v>
      </c>
      <c r="F1663" s="2" t="s">
        <v>18</v>
      </c>
      <c r="G1663" s="1">
        <v>0</v>
      </c>
      <c r="H1663" s="1">
        <v>851</v>
      </c>
      <c r="I1663" s="2" t="s">
        <v>32</v>
      </c>
      <c r="J1663" s="2" t="s">
        <v>20</v>
      </c>
      <c r="K1663" s="1">
        <v>261.04000000000002</v>
      </c>
      <c r="L1663" s="3">
        <v>45418</v>
      </c>
    </row>
    <row r="1664" spans="1:12" x14ac:dyDescent="0.25">
      <c r="A1664" s="1">
        <v>100427</v>
      </c>
      <c r="B1664" s="2" t="s">
        <v>570</v>
      </c>
      <c r="C1664" s="2" t="s">
        <v>39</v>
      </c>
      <c r="D1664" s="2" t="s">
        <v>50</v>
      </c>
      <c r="E1664" s="2" t="s">
        <v>35</v>
      </c>
      <c r="F1664" s="2" t="s">
        <v>83</v>
      </c>
      <c r="G1664" s="1">
        <v>0</v>
      </c>
      <c r="H1664" s="1">
        <v>371</v>
      </c>
      <c r="I1664" s="2" t="s">
        <v>19</v>
      </c>
      <c r="J1664" s="2" t="s">
        <v>20</v>
      </c>
      <c r="K1664" s="1">
        <v>109.33</v>
      </c>
      <c r="L1664" s="3">
        <v>45418</v>
      </c>
    </row>
    <row r="1665" spans="1:12" x14ac:dyDescent="0.25">
      <c r="A1665" s="1">
        <v>101554</v>
      </c>
      <c r="B1665" s="2" t="s">
        <v>576</v>
      </c>
      <c r="C1665" s="2" t="s">
        <v>22</v>
      </c>
      <c r="D1665" s="2" t="s">
        <v>41</v>
      </c>
      <c r="E1665" s="2" t="s">
        <v>55</v>
      </c>
      <c r="F1665" s="2" t="s">
        <v>25</v>
      </c>
      <c r="G1665" s="1">
        <v>1</v>
      </c>
      <c r="H1665" s="1">
        <v>418</v>
      </c>
      <c r="I1665" s="2" t="s">
        <v>56</v>
      </c>
      <c r="J1665" s="2" t="s">
        <v>20</v>
      </c>
      <c r="K1665" s="1">
        <v>107.42</v>
      </c>
      <c r="L1665" s="3">
        <v>45418</v>
      </c>
    </row>
    <row r="1666" spans="1:12" x14ac:dyDescent="0.25">
      <c r="A1666" s="1">
        <v>100666</v>
      </c>
      <c r="B1666" s="2" t="s">
        <v>186</v>
      </c>
      <c r="C1666" s="2" t="s">
        <v>187</v>
      </c>
      <c r="D1666" s="2" t="s">
        <v>41</v>
      </c>
      <c r="E1666" s="2" t="s">
        <v>78</v>
      </c>
      <c r="F1666" s="2" t="s">
        <v>18</v>
      </c>
      <c r="G1666" s="1">
        <v>0</v>
      </c>
      <c r="H1666" s="1">
        <v>709</v>
      </c>
      <c r="I1666" s="2" t="s">
        <v>19</v>
      </c>
      <c r="J1666" s="2" t="s">
        <v>33</v>
      </c>
      <c r="K1666" s="1">
        <v>72.06</v>
      </c>
      <c r="L1666" s="3">
        <v>45417</v>
      </c>
    </row>
    <row r="1667" spans="1:12" x14ac:dyDescent="0.25">
      <c r="A1667" s="1">
        <v>100147</v>
      </c>
      <c r="B1667" s="2" t="s">
        <v>113</v>
      </c>
      <c r="C1667" s="2" t="s">
        <v>95</v>
      </c>
      <c r="D1667" s="2" t="s">
        <v>16</v>
      </c>
      <c r="E1667" s="2" t="s">
        <v>17</v>
      </c>
      <c r="F1667" s="2" t="s">
        <v>83</v>
      </c>
      <c r="G1667" s="1">
        <v>0</v>
      </c>
      <c r="H1667" s="1">
        <v>657</v>
      </c>
      <c r="I1667" s="2" t="s">
        <v>37</v>
      </c>
      <c r="J1667" s="2" t="s">
        <v>33</v>
      </c>
      <c r="K1667" s="1">
        <v>597.04999999999995</v>
      </c>
      <c r="L1667" s="3">
        <v>45416</v>
      </c>
    </row>
    <row r="1668" spans="1:12" x14ac:dyDescent="0.25">
      <c r="A1668" s="1">
        <v>101188</v>
      </c>
      <c r="B1668" s="2" t="s">
        <v>34</v>
      </c>
      <c r="C1668" s="2" t="s">
        <v>13</v>
      </c>
      <c r="D1668" s="2" t="s">
        <v>16</v>
      </c>
      <c r="E1668" s="2" t="s">
        <v>60</v>
      </c>
      <c r="F1668" s="2" t="s">
        <v>18</v>
      </c>
      <c r="G1668" s="1">
        <v>0</v>
      </c>
      <c r="H1668" s="1">
        <v>672</v>
      </c>
      <c r="I1668" s="2" t="s">
        <v>45</v>
      </c>
      <c r="J1668" s="2" t="s">
        <v>20</v>
      </c>
      <c r="K1668" s="1">
        <v>503.57</v>
      </c>
      <c r="L1668" s="3">
        <v>45416</v>
      </c>
    </row>
    <row r="1669" spans="1:12" x14ac:dyDescent="0.25">
      <c r="A1669" s="1">
        <v>100679</v>
      </c>
      <c r="B1669" s="2" t="s">
        <v>299</v>
      </c>
      <c r="C1669" s="2" t="s">
        <v>22</v>
      </c>
      <c r="D1669" s="2" t="s">
        <v>106</v>
      </c>
      <c r="E1669" s="2" t="s">
        <v>78</v>
      </c>
      <c r="F1669" s="2" t="s">
        <v>83</v>
      </c>
      <c r="G1669" s="1">
        <v>0</v>
      </c>
      <c r="H1669" s="1">
        <v>855</v>
      </c>
      <c r="I1669" s="2" t="s">
        <v>37</v>
      </c>
      <c r="J1669" s="2" t="s">
        <v>26</v>
      </c>
      <c r="K1669" s="1">
        <v>362.59</v>
      </c>
      <c r="L1669" s="3">
        <v>45416</v>
      </c>
    </row>
    <row r="1670" spans="1:12" x14ac:dyDescent="0.25">
      <c r="A1670" s="1">
        <v>101415</v>
      </c>
      <c r="B1670" s="2" t="s">
        <v>162</v>
      </c>
      <c r="C1670" s="2" t="s">
        <v>13</v>
      </c>
      <c r="D1670" s="2" t="s">
        <v>64</v>
      </c>
      <c r="E1670" s="2" t="s">
        <v>55</v>
      </c>
      <c r="F1670" s="2" t="s">
        <v>18</v>
      </c>
      <c r="G1670" s="1">
        <v>0</v>
      </c>
      <c r="H1670" s="1">
        <v>410</v>
      </c>
      <c r="I1670" s="2" t="s">
        <v>32</v>
      </c>
      <c r="J1670" s="2" t="s">
        <v>20</v>
      </c>
      <c r="K1670" s="1">
        <v>189.96</v>
      </c>
      <c r="L1670" s="3">
        <v>45416</v>
      </c>
    </row>
    <row r="1671" spans="1:12" x14ac:dyDescent="0.25">
      <c r="A1671" s="1">
        <v>101989</v>
      </c>
      <c r="B1671" s="2" t="s">
        <v>276</v>
      </c>
      <c r="C1671" s="2" t="s">
        <v>52</v>
      </c>
      <c r="D1671" s="2" t="s">
        <v>106</v>
      </c>
      <c r="E1671" s="2" t="s">
        <v>70</v>
      </c>
      <c r="F1671" s="2" t="s">
        <v>25</v>
      </c>
      <c r="G1671" s="1">
        <v>11</v>
      </c>
      <c r="H1671" s="1">
        <v>638</v>
      </c>
      <c r="I1671" s="2" t="s">
        <v>45</v>
      </c>
      <c r="J1671" s="2" t="s">
        <v>20</v>
      </c>
      <c r="K1671" s="1">
        <v>742.34</v>
      </c>
      <c r="L1671" s="3">
        <v>45415</v>
      </c>
    </row>
    <row r="1672" spans="1:12" x14ac:dyDescent="0.25">
      <c r="A1672" s="1">
        <v>101241</v>
      </c>
      <c r="B1672" s="2" t="s">
        <v>297</v>
      </c>
      <c r="C1672" s="2" t="s">
        <v>72</v>
      </c>
      <c r="D1672" s="2" t="s">
        <v>41</v>
      </c>
      <c r="E1672" s="2" t="s">
        <v>70</v>
      </c>
      <c r="F1672" s="2" t="s">
        <v>18</v>
      </c>
      <c r="G1672" s="1">
        <v>0</v>
      </c>
      <c r="H1672" s="1">
        <v>878</v>
      </c>
      <c r="I1672" s="2" t="s">
        <v>32</v>
      </c>
      <c r="J1672" s="2" t="s">
        <v>20</v>
      </c>
      <c r="K1672" s="1">
        <v>293.37</v>
      </c>
      <c r="L1672" s="3">
        <v>45415</v>
      </c>
    </row>
    <row r="1673" spans="1:12" x14ac:dyDescent="0.25">
      <c r="A1673" s="1">
        <v>100751</v>
      </c>
      <c r="B1673" s="2" t="s">
        <v>592</v>
      </c>
      <c r="C1673" s="2" t="s">
        <v>47</v>
      </c>
      <c r="D1673" s="2" t="s">
        <v>50</v>
      </c>
      <c r="E1673" s="2" t="s">
        <v>60</v>
      </c>
      <c r="F1673" s="2" t="s">
        <v>42</v>
      </c>
      <c r="G1673" s="1">
        <v>143</v>
      </c>
      <c r="H1673" s="1">
        <v>332</v>
      </c>
      <c r="I1673" s="2" t="s">
        <v>56</v>
      </c>
      <c r="J1673" s="2" t="s">
        <v>20</v>
      </c>
      <c r="K1673" s="1">
        <v>117.67</v>
      </c>
      <c r="L1673" s="3">
        <v>45415</v>
      </c>
    </row>
    <row r="1674" spans="1:12" x14ac:dyDescent="0.25">
      <c r="A1674" s="1">
        <v>101561</v>
      </c>
      <c r="B1674" s="2" t="s">
        <v>202</v>
      </c>
      <c r="C1674" s="2" t="s">
        <v>95</v>
      </c>
      <c r="D1674" s="2" t="s">
        <v>41</v>
      </c>
      <c r="E1674" s="2" t="s">
        <v>17</v>
      </c>
      <c r="F1674" s="2" t="s">
        <v>18</v>
      </c>
      <c r="G1674" s="1">
        <v>0</v>
      </c>
      <c r="H1674" s="1">
        <v>570</v>
      </c>
      <c r="I1674" s="2" t="s">
        <v>45</v>
      </c>
      <c r="J1674" s="2" t="s">
        <v>20</v>
      </c>
      <c r="K1674" s="1">
        <v>429.58</v>
      </c>
      <c r="L1674" s="3">
        <v>45414</v>
      </c>
    </row>
    <row r="1675" spans="1:12" x14ac:dyDescent="0.25">
      <c r="A1675" s="1">
        <v>102042</v>
      </c>
      <c r="B1675" s="2" t="s">
        <v>84</v>
      </c>
      <c r="C1675" s="2" t="s">
        <v>85</v>
      </c>
      <c r="D1675" s="2" t="s">
        <v>16</v>
      </c>
      <c r="E1675" s="2" t="s">
        <v>78</v>
      </c>
      <c r="F1675" s="2" t="s">
        <v>42</v>
      </c>
      <c r="G1675" s="1">
        <v>126</v>
      </c>
      <c r="H1675" s="1">
        <v>400</v>
      </c>
      <c r="I1675" s="2" t="s">
        <v>56</v>
      </c>
      <c r="J1675" s="2" t="s">
        <v>20</v>
      </c>
      <c r="K1675" s="1">
        <v>738.02</v>
      </c>
      <c r="L1675" s="3">
        <v>45413</v>
      </c>
    </row>
    <row r="1676" spans="1:12" x14ac:dyDescent="0.25">
      <c r="A1676" s="1">
        <v>102160</v>
      </c>
      <c r="B1676" s="2" t="s">
        <v>148</v>
      </c>
      <c r="C1676" s="2" t="s">
        <v>149</v>
      </c>
      <c r="D1676" s="2" t="s">
        <v>16</v>
      </c>
      <c r="E1676" s="2" t="s">
        <v>60</v>
      </c>
      <c r="F1676" s="2" t="s">
        <v>83</v>
      </c>
      <c r="G1676" s="1">
        <v>0</v>
      </c>
      <c r="H1676" s="1">
        <v>876</v>
      </c>
      <c r="I1676" s="2" t="s">
        <v>19</v>
      </c>
      <c r="J1676" s="2" t="s">
        <v>26</v>
      </c>
      <c r="K1676" s="1">
        <v>542.79</v>
      </c>
      <c r="L1676" s="3">
        <v>45413</v>
      </c>
    </row>
    <row r="1677" spans="1:12" x14ac:dyDescent="0.25">
      <c r="A1677" s="1">
        <v>101594</v>
      </c>
      <c r="B1677" s="2" t="s">
        <v>212</v>
      </c>
      <c r="C1677" s="2" t="s">
        <v>95</v>
      </c>
      <c r="D1677" s="2" t="s">
        <v>50</v>
      </c>
      <c r="E1677" s="2" t="s">
        <v>31</v>
      </c>
      <c r="F1677" s="2" t="s">
        <v>25</v>
      </c>
      <c r="G1677" s="1">
        <v>27</v>
      </c>
      <c r="H1677" s="1">
        <v>662</v>
      </c>
      <c r="I1677" s="2" t="s">
        <v>45</v>
      </c>
      <c r="J1677" s="2" t="s">
        <v>20</v>
      </c>
      <c r="K1677" s="1">
        <v>485.43</v>
      </c>
      <c r="L1677" s="3">
        <v>45413</v>
      </c>
    </row>
    <row r="1678" spans="1:12" x14ac:dyDescent="0.25">
      <c r="A1678" s="1">
        <v>101262</v>
      </c>
      <c r="B1678" s="2" t="s">
        <v>596</v>
      </c>
      <c r="C1678" s="2" t="s">
        <v>22</v>
      </c>
      <c r="D1678" s="2" t="s">
        <v>16</v>
      </c>
      <c r="E1678" s="2" t="s">
        <v>60</v>
      </c>
      <c r="F1678" s="2" t="s">
        <v>83</v>
      </c>
      <c r="G1678" s="1">
        <v>0</v>
      </c>
      <c r="H1678" s="1">
        <v>603</v>
      </c>
      <c r="I1678" s="2" t="s">
        <v>37</v>
      </c>
      <c r="J1678" s="2" t="s">
        <v>33</v>
      </c>
      <c r="K1678" s="1">
        <v>387.34</v>
      </c>
      <c r="L1678" s="3">
        <v>45413</v>
      </c>
    </row>
    <row r="1679" spans="1:12" x14ac:dyDescent="0.25">
      <c r="A1679" s="1">
        <v>101841</v>
      </c>
      <c r="B1679" s="2" t="s">
        <v>462</v>
      </c>
      <c r="C1679" s="2" t="s">
        <v>168</v>
      </c>
      <c r="D1679" s="2" t="s">
        <v>41</v>
      </c>
      <c r="E1679" s="2" t="s">
        <v>55</v>
      </c>
      <c r="F1679" s="2" t="s">
        <v>18</v>
      </c>
      <c r="G1679" s="1">
        <v>0</v>
      </c>
      <c r="H1679" s="1">
        <v>716</v>
      </c>
      <c r="I1679" s="2" t="s">
        <v>19</v>
      </c>
      <c r="J1679" s="2" t="s">
        <v>20</v>
      </c>
      <c r="K1679" s="1">
        <v>386.58</v>
      </c>
      <c r="L1679" s="3">
        <v>45413</v>
      </c>
    </row>
    <row r="1680" spans="1:12" x14ac:dyDescent="0.25">
      <c r="A1680" s="1">
        <v>101620</v>
      </c>
      <c r="B1680" s="2" t="s">
        <v>628</v>
      </c>
      <c r="C1680" s="2" t="s">
        <v>47</v>
      </c>
      <c r="D1680" s="2" t="s">
        <v>106</v>
      </c>
      <c r="E1680" s="2" t="s">
        <v>31</v>
      </c>
      <c r="F1680" s="2" t="s">
        <v>42</v>
      </c>
      <c r="G1680" s="1">
        <v>129</v>
      </c>
      <c r="H1680" s="1">
        <v>852</v>
      </c>
      <c r="I1680" s="2" t="s">
        <v>35</v>
      </c>
      <c r="J1680" s="2" t="s">
        <v>20</v>
      </c>
      <c r="K1680" s="1">
        <v>360.7</v>
      </c>
      <c r="L1680" s="3">
        <v>45413</v>
      </c>
    </row>
    <row r="1681" spans="1:12" x14ac:dyDescent="0.25">
      <c r="A1681" s="1">
        <v>101337</v>
      </c>
      <c r="B1681" s="2" t="s">
        <v>269</v>
      </c>
      <c r="C1681" s="2" t="s">
        <v>270</v>
      </c>
      <c r="D1681" s="2" t="s">
        <v>41</v>
      </c>
      <c r="E1681" s="2" t="s">
        <v>31</v>
      </c>
      <c r="F1681" s="2" t="s">
        <v>83</v>
      </c>
      <c r="G1681" s="1" t="s">
        <v>35</v>
      </c>
      <c r="H1681" s="1">
        <v>515</v>
      </c>
      <c r="I1681" s="2" t="s">
        <v>19</v>
      </c>
      <c r="J1681" s="2" t="s">
        <v>20</v>
      </c>
      <c r="K1681" s="1">
        <v>315.89999999999998</v>
      </c>
      <c r="L1681" s="3">
        <v>45413</v>
      </c>
    </row>
    <row r="1682" spans="1:12" x14ac:dyDescent="0.25">
      <c r="A1682" s="1">
        <v>101173</v>
      </c>
      <c r="B1682" s="2" t="s">
        <v>420</v>
      </c>
      <c r="C1682" s="2" t="s">
        <v>72</v>
      </c>
      <c r="D1682" s="2" t="s">
        <v>41</v>
      </c>
      <c r="E1682" s="2" t="s">
        <v>60</v>
      </c>
      <c r="F1682" s="2" t="s">
        <v>18</v>
      </c>
      <c r="G1682" s="1">
        <v>0</v>
      </c>
      <c r="H1682" s="1">
        <v>418</v>
      </c>
      <c r="I1682" s="2" t="s">
        <v>45</v>
      </c>
      <c r="J1682" s="2" t="s">
        <v>26</v>
      </c>
      <c r="K1682" s="1">
        <v>120.16</v>
      </c>
      <c r="L1682" s="3">
        <v>45413</v>
      </c>
    </row>
    <row r="1683" spans="1:12" x14ac:dyDescent="0.25">
      <c r="A1683" s="1">
        <v>100902</v>
      </c>
      <c r="B1683" s="2" t="s">
        <v>504</v>
      </c>
      <c r="C1683" s="2" t="s">
        <v>187</v>
      </c>
      <c r="D1683" s="2" t="s">
        <v>16</v>
      </c>
      <c r="E1683" s="2" t="s">
        <v>55</v>
      </c>
      <c r="F1683" s="2" t="s">
        <v>18</v>
      </c>
      <c r="G1683" s="1">
        <v>0</v>
      </c>
      <c r="H1683" s="1">
        <v>494</v>
      </c>
      <c r="I1683" s="2" t="s">
        <v>45</v>
      </c>
      <c r="J1683" s="2" t="s">
        <v>20</v>
      </c>
      <c r="K1683" s="1">
        <v>1138.49</v>
      </c>
      <c r="L1683" s="3">
        <v>45412</v>
      </c>
    </row>
    <row r="1684" spans="1:12" x14ac:dyDescent="0.25">
      <c r="A1684" s="1">
        <v>100457</v>
      </c>
      <c r="B1684" s="2" t="s">
        <v>38</v>
      </c>
      <c r="C1684" s="2" t="s">
        <v>39</v>
      </c>
      <c r="D1684" s="2" t="s">
        <v>41</v>
      </c>
      <c r="E1684" s="2" t="s">
        <v>70</v>
      </c>
      <c r="F1684" s="2" t="s">
        <v>18</v>
      </c>
      <c r="G1684" s="1">
        <v>0</v>
      </c>
      <c r="H1684" s="1">
        <v>533</v>
      </c>
      <c r="I1684" s="2" t="s">
        <v>56</v>
      </c>
      <c r="J1684" s="2" t="s">
        <v>26</v>
      </c>
      <c r="K1684" s="1">
        <v>533.01</v>
      </c>
      <c r="L1684" s="3">
        <v>45412</v>
      </c>
    </row>
    <row r="1685" spans="1:12" x14ac:dyDescent="0.25">
      <c r="A1685" s="1">
        <v>101729</v>
      </c>
      <c r="B1685" s="2" t="s">
        <v>510</v>
      </c>
      <c r="C1685" s="2" t="s">
        <v>244</v>
      </c>
      <c r="D1685" s="2" t="s">
        <v>16</v>
      </c>
      <c r="E1685" s="2" t="s">
        <v>81</v>
      </c>
      <c r="F1685" s="2" t="s">
        <v>25</v>
      </c>
      <c r="G1685" s="1">
        <v>14</v>
      </c>
      <c r="H1685" s="1">
        <v>411</v>
      </c>
      <c r="I1685" s="2" t="s">
        <v>32</v>
      </c>
      <c r="J1685" s="2" t="s">
        <v>35</v>
      </c>
      <c r="K1685" s="1">
        <v>401.72</v>
      </c>
      <c r="L1685" s="3">
        <v>45412</v>
      </c>
    </row>
    <row r="1686" spans="1:12" x14ac:dyDescent="0.25">
      <c r="A1686" s="1">
        <v>100615</v>
      </c>
      <c r="B1686" s="2" t="s">
        <v>636</v>
      </c>
      <c r="C1686" s="2" t="s">
        <v>244</v>
      </c>
      <c r="D1686" s="2" t="s">
        <v>106</v>
      </c>
      <c r="E1686" s="2" t="s">
        <v>17</v>
      </c>
      <c r="F1686" s="2" t="s">
        <v>18</v>
      </c>
      <c r="G1686" s="1">
        <v>0</v>
      </c>
      <c r="H1686" s="1">
        <v>303</v>
      </c>
      <c r="I1686" s="2" t="s">
        <v>32</v>
      </c>
      <c r="J1686" s="2" t="s">
        <v>26</v>
      </c>
      <c r="K1686" s="1">
        <v>324.58999999999997</v>
      </c>
      <c r="L1686" s="3">
        <v>45412</v>
      </c>
    </row>
    <row r="1687" spans="1:12" x14ac:dyDescent="0.25">
      <c r="A1687" s="1">
        <v>101432</v>
      </c>
      <c r="B1687" s="2" t="s">
        <v>402</v>
      </c>
      <c r="C1687" s="2" t="s">
        <v>95</v>
      </c>
      <c r="D1687" s="2" t="s">
        <v>16</v>
      </c>
      <c r="E1687" s="2" t="s">
        <v>78</v>
      </c>
      <c r="F1687" s="2" t="s">
        <v>42</v>
      </c>
      <c r="G1687" s="1">
        <v>169</v>
      </c>
      <c r="H1687" s="1">
        <v>355</v>
      </c>
      <c r="I1687" s="2" t="s">
        <v>32</v>
      </c>
      <c r="J1687" s="2" t="s">
        <v>20</v>
      </c>
      <c r="K1687" s="1">
        <v>267.56</v>
      </c>
      <c r="L1687" s="3">
        <v>45412</v>
      </c>
    </row>
    <row r="1688" spans="1:12" x14ac:dyDescent="0.25">
      <c r="A1688" s="1">
        <v>101010</v>
      </c>
      <c r="B1688" s="2" t="s">
        <v>322</v>
      </c>
      <c r="C1688" s="2" t="s">
        <v>13</v>
      </c>
      <c r="D1688" s="2" t="s">
        <v>50</v>
      </c>
      <c r="E1688" s="2" t="s">
        <v>55</v>
      </c>
      <c r="F1688" s="2" t="s">
        <v>18</v>
      </c>
      <c r="G1688" s="1">
        <v>0</v>
      </c>
      <c r="H1688" s="1">
        <v>623</v>
      </c>
      <c r="I1688" s="2" t="s">
        <v>37</v>
      </c>
      <c r="J1688" s="2" t="s">
        <v>20</v>
      </c>
      <c r="K1688" s="1">
        <v>391.21</v>
      </c>
      <c r="L1688" s="3">
        <v>45411</v>
      </c>
    </row>
    <row r="1689" spans="1:12" x14ac:dyDescent="0.25">
      <c r="A1689" s="1">
        <v>100951</v>
      </c>
      <c r="B1689" s="2" t="s">
        <v>1535</v>
      </c>
      <c r="C1689" s="2" t="s">
        <v>122</v>
      </c>
      <c r="D1689" s="2" t="s">
        <v>16</v>
      </c>
      <c r="E1689" s="2" t="s">
        <v>55</v>
      </c>
      <c r="F1689" s="2" t="s">
        <v>42</v>
      </c>
      <c r="G1689" s="1">
        <v>152</v>
      </c>
      <c r="H1689" s="1">
        <v>873</v>
      </c>
      <c r="I1689" s="2" t="s">
        <v>56</v>
      </c>
      <c r="J1689" s="2" t="s">
        <v>33</v>
      </c>
      <c r="K1689" s="1">
        <v>276.27</v>
      </c>
      <c r="L1689" s="3">
        <v>45411</v>
      </c>
    </row>
    <row r="1690" spans="1:12" x14ac:dyDescent="0.25">
      <c r="A1690" s="1">
        <v>100690</v>
      </c>
      <c r="B1690" s="2" t="s">
        <v>202</v>
      </c>
      <c r="C1690" s="2" t="s">
        <v>35</v>
      </c>
      <c r="D1690" s="2" t="s">
        <v>50</v>
      </c>
      <c r="E1690" s="2" t="s">
        <v>81</v>
      </c>
      <c r="F1690" s="2" t="s">
        <v>18</v>
      </c>
      <c r="G1690" s="1">
        <v>0</v>
      </c>
      <c r="H1690" s="1">
        <v>570</v>
      </c>
      <c r="I1690" s="2" t="s">
        <v>19</v>
      </c>
      <c r="J1690" s="2" t="s">
        <v>20</v>
      </c>
      <c r="K1690" s="1">
        <v>268.56</v>
      </c>
      <c r="L1690" s="3">
        <v>45411</v>
      </c>
    </row>
    <row r="1691" spans="1:12" x14ac:dyDescent="0.25">
      <c r="A1691" s="1">
        <v>101329</v>
      </c>
      <c r="B1691" s="2" t="s">
        <v>425</v>
      </c>
      <c r="C1691" s="2" t="s">
        <v>149</v>
      </c>
      <c r="D1691" s="2" t="s">
        <v>50</v>
      </c>
      <c r="E1691" s="2" t="s">
        <v>60</v>
      </c>
      <c r="F1691" s="2" t="s">
        <v>18</v>
      </c>
      <c r="G1691" s="1">
        <v>0</v>
      </c>
      <c r="H1691" s="1">
        <v>720</v>
      </c>
      <c r="I1691" s="2" t="s">
        <v>19</v>
      </c>
      <c r="J1691" s="2" t="s">
        <v>26</v>
      </c>
      <c r="K1691" s="1">
        <v>244.23</v>
      </c>
      <c r="L1691" s="3">
        <v>45411</v>
      </c>
    </row>
    <row r="1692" spans="1:12" x14ac:dyDescent="0.25">
      <c r="A1692" s="1">
        <v>101958</v>
      </c>
      <c r="B1692" s="2" t="s">
        <v>222</v>
      </c>
      <c r="C1692" s="2" t="s">
        <v>100</v>
      </c>
      <c r="D1692" s="2" t="s">
        <v>41</v>
      </c>
      <c r="E1692" s="2" t="s">
        <v>81</v>
      </c>
      <c r="F1692" s="2" t="s">
        <v>18</v>
      </c>
      <c r="G1692" s="1">
        <v>0</v>
      </c>
      <c r="H1692" s="1">
        <v>585</v>
      </c>
      <c r="I1692" s="2" t="s">
        <v>19</v>
      </c>
      <c r="J1692" s="2" t="s">
        <v>20</v>
      </c>
      <c r="K1692" s="1">
        <v>114.12</v>
      </c>
      <c r="L1692" s="3">
        <v>45411</v>
      </c>
    </row>
    <row r="1693" spans="1:12" x14ac:dyDescent="0.25">
      <c r="A1693" s="1">
        <v>100257</v>
      </c>
      <c r="B1693" s="2" t="s">
        <v>155</v>
      </c>
      <c r="C1693" s="2" t="s">
        <v>35</v>
      </c>
      <c r="D1693" s="2" t="s">
        <v>64</v>
      </c>
      <c r="E1693" s="2" t="s">
        <v>31</v>
      </c>
      <c r="F1693" s="2" t="s">
        <v>18</v>
      </c>
      <c r="G1693" s="1">
        <v>0</v>
      </c>
      <c r="H1693" s="1">
        <v>339</v>
      </c>
      <c r="I1693" s="2" t="s">
        <v>37</v>
      </c>
      <c r="J1693" s="2" t="s">
        <v>33</v>
      </c>
      <c r="K1693" s="1">
        <v>67.069999999999993</v>
      </c>
      <c r="L1693" s="3">
        <v>45411</v>
      </c>
    </row>
    <row r="1694" spans="1:12" x14ac:dyDescent="0.25">
      <c r="A1694" s="1">
        <v>101041</v>
      </c>
      <c r="B1694" s="2" t="s">
        <v>102</v>
      </c>
      <c r="C1694" s="2" t="s">
        <v>103</v>
      </c>
      <c r="D1694" s="2" t="s">
        <v>16</v>
      </c>
      <c r="E1694" s="2" t="s">
        <v>35</v>
      </c>
      <c r="F1694" s="2" t="s">
        <v>25</v>
      </c>
      <c r="G1694" s="1">
        <v>28</v>
      </c>
      <c r="H1694" s="1">
        <v>733</v>
      </c>
      <c r="I1694" s="2" t="s">
        <v>32</v>
      </c>
      <c r="J1694" s="2" t="s">
        <v>20</v>
      </c>
      <c r="K1694" s="1">
        <v>616.52</v>
      </c>
      <c r="L1694" s="3">
        <v>45410</v>
      </c>
    </row>
    <row r="1695" spans="1:12" x14ac:dyDescent="0.25">
      <c r="A1695" s="1">
        <v>101260</v>
      </c>
      <c r="B1695" s="2" t="s">
        <v>1053</v>
      </c>
      <c r="C1695" s="2" t="s">
        <v>47</v>
      </c>
      <c r="D1695" s="2" t="s">
        <v>41</v>
      </c>
      <c r="E1695" s="2" t="s">
        <v>70</v>
      </c>
      <c r="F1695" s="2" t="s">
        <v>18</v>
      </c>
      <c r="G1695" s="1">
        <v>0</v>
      </c>
      <c r="H1695" s="1">
        <v>864</v>
      </c>
      <c r="I1695" s="2" t="s">
        <v>56</v>
      </c>
      <c r="J1695" s="2" t="s">
        <v>33</v>
      </c>
      <c r="K1695" s="1">
        <v>604.71</v>
      </c>
      <c r="L1695" s="3">
        <v>45410</v>
      </c>
    </row>
    <row r="1696" spans="1:12" x14ac:dyDescent="0.25">
      <c r="A1696" s="1">
        <v>102024</v>
      </c>
      <c r="B1696" s="2" t="s">
        <v>364</v>
      </c>
      <c r="C1696" s="2" t="s">
        <v>103</v>
      </c>
      <c r="D1696" s="2" t="s">
        <v>64</v>
      </c>
      <c r="E1696" s="2" t="s">
        <v>31</v>
      </c>
      <c r="F1696" s="2" t="s">
        <v>18</v>
      </c>
      <c r="G1696" s="1">
        <v>0</v>
      </c>
      <c r="H1696" s="1">
        <v>351</v>
      </c>
      <c r="I1696" s="2" t="s">
        <v>56</v>
      </c>
      <c r="J1696" s="2" t="s">
        <v>33</v>
      </c>
      <c r="K1696" s="1">
        <v>240.74</v>
      </c>
      <c r="L1696" s="3">
        <v>45410</v>
      </c>
    </row>
    <row r="1697" spans="1:12" x14ac:dyDescent="0.25">
      <c r="A1697" s="1">
        <v>101552</v>
      </c>
      <c r="B1697" s="2" t="s">
        <v>322</v>
      </c>
      <c r="C1697" s="2" t="s">
        <v>13</v>
      </c>
      <c r="D1697" s="2" t="s">
        <v>50</v>
      </c>
      <c r="E1697" s="2" t="s">
        <v>17</v>
      </c>
      <c r="F1697" s="2" t="s">
        <v>18</v>
      </c>
      <c r="G1697" s="1">
        <v>0</v>
      </c>
      <c r="H1697" s="1">
        <v>623</v>
      </c>
      <c r="I1697" s="2" t="s">
        <v>19</v>
      </c>
      <c r="J1697" s="2" t="s">
        <v>20</v>
      </c>
      <c r="K1697" s="1">
        <v>139.36000000000001</v>
      </c>
      <c r="L1697" s="3">
        <v>45410</v>
      </c>
    </row>
    <row r="1698" spans="1:12" x14ac:dyDescent="0.25">
      <c r="A1698" s="1">
        <v>101903</v>
      </c>
      <c r="B1698" s="2" t="s">
        <v>315</v>
      </c>
      <c r="C1698" s="2" t="s">
        <v>22</v>
      </c>
      <c r="D1698" s="2" t="s">
        <v>64</v>
      </c>
      <c r="E1698" s="2" t="s">
        <v>31</v>
      </c>
      <c r="F1698" s="2" t="s">
        <v>83</v>
      </c>
      <c r="G1698" s="1">
        <v>0</v>
      </c>
      <c r="H1698" s="1">
        <v>509</v>
      </c>
      <c r="I1698" s="2" t="s">
        <v>45</v>
      </c>
      <c r="J1698" s="2" t="s">
        <v>20</v>
      </c>
      <c r="K1698" s="1">
        <v>1261.95</v>
      </c>
      <c r="L1698" s="3">
        <v>45409</v>
      </c>
    </row>
    <row r="1699" spans="1:12" x14ac:dyDescent="0.25">
      <c r="A1699" s="1">
        <v>100979</v>
      </c>
      <c r="B1699" s="2" t="s">
        <v>610</v>
      </c>
      <c r="C1699" s="2" t="s">
        <v>126</v>
      </c>
      <c r="D1699" s="2" t="s">
        <v>106</v>
      </c>
      <c r="E1699" s="2" t="s">
        <v>55</v>
      </c>
      <c r="F1699" s="2" t="s">
        <v>18</v>
      </c>
      <c r="G1699" s="1">
        <v>0</v>
      </c>
      <c r="H1699" s="1">
        <v>315</v>
      </c>
      <c r="I1699" s="2" t="s">
        <v>32</v>
      </c>
      <c r="J1699" s="2" t="s">
        <v>33</v>
      </c>
      <c r="K1699" s="1">
        <v>956.68</v>
      </c>
      <c r="L1699" s="3">
        <v>45409</v>
      </c>
    </row>
    <row r="1700" spans="1:12" x14ac:dyDescent="0.25">
      <c r="A1700" s="1">
        <v>100048</v>
      </c>
      <c r="B1700" s="2" t="s">
        <v>396</v>
      </c>
      <c r="C1700" s="2" t="s">
        <v>103</v>
      </c>
      <c r="D1700" s="2" t="s">
        <v>64</v>
      </c>
      <c r="E1700" s="2" t="s">
        <v>35</v>
      </c>
      <c r="F1700" s="2" t="s">
        <v>18</v>
      </c>
      <c r="G1700" s="1">
        <v>0</v>
      </c>
      <c r="H1700" s="1">
        <v>437</v>
      </c>
      <c r="I1700" s="2" t="s">
        <v>56</v>
      </c>
      <c r="J1700" s="2" t="s">
        <v>26</v>
      </c>
      <c r="K1700" s="1">
        <v>267.7</v>
      </c>
      <c r="L1700" s="3">
        <v>45409</v>
      </c>
    </row>
    <row r="1701" spans="1:12" x14ac:dyDescent="0.25">
      <c r="A1701" s="1">
        <v>100011</v>
      </c>
      <c r="B1701" s="2" t="s">
        <v>179</v>
      </c>
      <c r="C1701" s="2" t="s">
        <v>149</v>
      </c>
      <c r="D1701" s="2" t="s">
        <v>41</v>
      </c>
      <c r="E1701" s="2" t="s">
        <v>55</v>
      </c>
      <c r="F1701" s="2" t="s">
        <v>83</v>
      </c>
      <c r="G1701" s="1">
        <v>0</v>
      </c>
      <c r="H1701" s="1">
        <v>518</v>
      </c>
      <c r="I1701" s="2" t="s">
        <v>32</v>
      </c>
      <c r="J1701" s="2" t="s">
        <v>20</v>
      </c>
      <c r="K1701" s="1">
        <v>143.4</v>
      </c>
      <c r="L1701" s="3">
        <v>45409</v>
      </c>
    </row>
    <row r="1702" spans="1:12" x14ac:dyDescent="0.25">
      <c r="A1702" s="1">
        <v>101651</v>
      </c>
      <c r="B1702" s="2" t="s">
        <v>805</v>
      </c>
      <c r="C1702" s="2" t="s">
        <v>62</v>
      </c>
      <c r="D1702" s="2" t="s">
        <v>16</v>
      </c>
      <c r="E1702" s="2" t="s">
        <v>31</v>
      </c>
      <c r="F1702" s="2" t="s">
        <v>83</v>
      </c>
      <c r="G1702" s="1">
        <v>0</v>
      </c>
      <c r="H1702" s="1">
        <v>352</v>
      </c>
      <c r="I1702" s="2" t="s">
        <v>56</v>
      </c>
      <c r="J1702" s="2" t="s">
        <v>26</v>
      </c>
      <c r="K1702" s="1">
        <v>51.01</v>
      </c>
      <c r="L1702" s="3">
        <v>45409</v>
      </c>
    </row>
    <row r="1703" spans="1:12" x14ac:dyDescent="0.25">
      <c r="A1703" s="1">
        <v>101657</v>
      </c>
      <c r="B1703" s="2" t="s">
        <v>443</v>
      </c>
      <c r="C1703" s="2" t="s">
        <v>72</v>
      </c>
      <c r="D1703" s="2" t="s">
        <v>106</v>
      </c>
      <c r="E1703" s="2" t="s">
        <v>55</v>
      </c>
      <c r="F1703" s="2" t="s">
        <v>25</v>
      </c>
      <c r="G1703" s="1">
        <v>16</v>
      </c>
      <c r="H1703" s="1">
        <v>309</v>
      </c>
      <c r="I1703" s="2" t="s">
        <v>19</v>
      </c>
      <c r="J1703" s="2" t="s">
        <v>26</v>
      </c>
      <c r="K1703" s="1">
        <v>550.25</v>
      </c>
      <c r="L1703" s="3">
        <v>45408</v>
      </c>
    </row>
    <row r="1704" spans="1:12" x14ac:dyDescent="0.25">
      <c r="A1704" s="1">
        <v>100080</v>
      </c>
      <c r="B1704" s="2" t="s">
        <v>1177</v>
      </c>
      <c r="C1704" s="2" t="s">
        <v>62</v>
      </c>
      <c r="D1704" s="2" t="s">
        <v>16</v>
      </c>
      <c r="E1704" s="2" t="s">
        <v>81</v>
      </c>
      <c r="F1704" s="2" t="s">
        <v>83</v>
      </c>
      <c r="G1704" s="1">
        <v>0</v>
      </c>
      <c r="H1704" s="1">
        <v>482</v>
      </c>
      <c r="I1704" s="2" t="s">
        <v>45</v>
      </c>
      <c r="J1704" s="2" t="s">
        <v>26</v>
      </c>
      <c r="K1704" s="1">
        <v>353.15</v>
      </c>
      <c r="L1704" s="3">
        <v>45408</v>
      </c>
    </row>
    <row r="1705" spans="1:12" x14ac:dyDescent="0.25">
      <c r="A1705" s="1">
        <v>100058</v>
      </c>
      <c r="B1705" s="2" t="s">
        <v>431</v>
      </c>
      <c r="C1705" s="2" t="s">
        <v>28</v>
      </c>
      <c r="D1705" s="2" t="s">
        <v>64</v>
      </c>
      <c r="E1705" s="2" t="s">
        <v>81</v>
      </c>
      <c r="F1705" s="2" t="s">
        <v>83</v>
      </c>
      <c r="G1705" s="1">
        <v>0</v>
      </c>
      <c r="H1705" s="1">
        <v>691</v>
      </c>
      <c r="I1705" s="2" t="s">
        <v>35</v>
      </c>
      <c r="J1705" s="2" t="s">
        <v>33</v>
      </c>
      <c r="K1705" s="1">
        <v>261.69</v>
      </c>
      <c r="L1705" s="3">
        <v>45408</v>
      </c>
    </row>
    <row r="1706" spans="1:12" x14ac:dyDescent="0.25">
      <c r="A1706" s="1">
        <v>101058</v>
      </c>
      <c r="B1706" s="2" t="s">
        <v>1435</v>
      </c>
      <c r="C1706" s="2" t="s">
        <v>47</v>
      </c>
      <c r="D1706" s="2" t="s">
        <v>16</v>
      </c>
      <c r="E1706" s="2" t="s">
        <v>60</v>
      </c>
      <c r="F1706" s="2" t="s">
        <v>18</v>
      </c>
      <c r="G1706" s="1">
        <v>0</v>
      </c>
      <c r="H1706" s="1">
        <v>744</v>
      </c>
      <c r="I1706" s="2" t="s">
        <v>56</v>
      </c>
      <c r="J1706" s="2" t="s">
        <v>20</v>
      </c>
      <c r="K1706" s="1">
        <v>451.45</v>
      </c>
      <c r="L1706" s="3">
        <v>45407</v>
      </c>
    </row>
    <row r="1707" spans="1:12" x14ac:dyDescent="0.25">
      <c r="A1707" s="1">
        <v>100975</v>
      </c>
      <c r="B1707" s="2" t="s">
        <v>682</v>
      </c>
      <c r="C1707" s="2" t="s">
        <v>152</v>
      </c>
      <c r="D1707" s="2" t="s">
        <v>64</v>
      </c>
      <c r="E1707" s="2" t="s">
        <v>60</v>
      </c>
      <c r="F1707" s="2" t="s">
        <v>18</v>
      </c>
      <c r="G1707" s="1">
        <v>0</v>
      </c>
      <c r="H1707" s="1">
        <v>863</v>
      </c>
      <c r="I1707" s="2" t="s">
        <v>56</v>
      </c>
      <c r="J1707" s="2" t="s">
        <v>20</v>
      </c>
      <c r="K1707" s="1">
        <v>266.82</v>
      </c>
      <c r="L1707" s="3">
        <v>45407</v>
      </c>
    </row>
    <row r="1708" spans="1:12" x14ac:dyDescent="0.25">
      <c r="A1708" s="1">
        <v>101787</v>
      </c>
      <c r="B1708" s="2" t="s">
        <v>276</v>
      </c>
      <c r="C1708" s="2" t="s">
        <v>52</v>
      </c>
      <c r="D1708" s="2" t="s">
        <v>41</v>
      </c>
      <c r="E1708" s="2" t="s">
        <v>78</v>
      </c>
      <c r="F1708" s="2" t="s">
        <v>25</v>
      </c>
      <c r="G1708" s="1">
        <v>30</v>
      </c>
      <c r="H1708" s="1">
        <v>638</v>
      </c>
      <c r="I1708" s="2" t="s">
        <v>37</v>
      </c>
      <c r="J1708" s="2" t="s">
        <v>26</v>
      </c>
      <c r="K1708" s="1">
        <v>146.9</v>
      </c>
      <c r="L1708" s="3">
        <v>45407</v>
      </c>
    </row>
    <row r="1709" spans="1:12" x14ac:dyDescent="0.25">
      <c r="A1709" s="1">
        <v>101235</v>
      </c>
      <c r="B1709" s="2" t="s">
        <v>986</v>
      </c>
      <c r="C1709" s="2" t="s">
        <v>28</v>
      </c>
      <c r="D1709" s="2" t="s">
        <v>41</v>
      </c>
      <c r="E1709" s="2" t="s">
        <v>31</v>
      </c>
      <c r="F1709" s="2" t="s">
        <v>18</v>
      </c>
      <c r="G1709" s="1">
        <v>0</v>
      </c>
      <c r="H1709" s="1">
        <v>459</v>
      </c>
      <c r="I1709" s="2" t="s">
        <v>56</v>
      </c>
      <c r="J1709" s="2" t="s">
        <v>26</v>
      </c>
      <c r="K1709" s="1">
        <v>507.67</v>
      </c>
      <c r="L1709" s="3">
        <v>45406</v>
      </c>
    </row>
    <row r="1710" spans="1:12" x14ac:dyDescent="0.25">
      <c r="A1710" s="1">
        <v>100737</v>
      </c>
      <c r="B1710" s="2" t="s">
        <v>202</v>
      </c>
      <c r="C1710" s="2" t="s">
        <v>95</v>
      </c>
      <c r="D1710" s="2" t="s">
        <v>50</v>
      </c>
      <c r="E1710" s="2" t="s">
        <v>17</v>
      </c>
      <c r="F1710" s="2" t="s">
        <v>18</v>
      </c>
      <c r="G1710" s="1">
        <v>0</v>
      </c>
      <c r="H1710" s="1">
        <v>570</v>
      </c>
      <c r="I1710" s="2" t="s">
        <v>19</v>
      </c>
      <c r="J1710" s="2" t="s">
        <v>26</v>
      </c>
      <c r="K1710" s="1">
        <v>294.77999999999997</v>
      </c>
      <c r="L1710" s="3">
        <v>45406</v>
      </c>
    </row>
    <row r="1711" spans="1:12" x14ac:dyDescent="0.25">
      <c r="A1711" s="1">
        <v>101820</v>
      </c>
      <c r="B1711" s="2" t="s">
        <v>399</v>
      </c>
      <c r="C1711" s="2" t="s">
        <v>187</v>
      </c>
      <c r="D1711" s="2" t="s">
        <v>64</v>
      </c>
      <c r="E1711" s="2" t="s">
        <v>78</v>
      </c>
      <c r="F1711" s="2" t="s">
        <v>42</v>
      </c>
      <c r="G1711" s="1">
        <v>145</v>
      </c>
      <c r="H1711" s="1">
        <v>370</v>
      </c>
      <c r="I1711" s="2" t="s">
        <v>45</v>
      </c>
      <c r="J1711" s="2" t="s">
        <v>20</v>
      </c>
      <c r="K1711" s="1">
        <v>165.51</v>
      </c>
      <c r="L1711" s="3">
        <v>45406</v>
      </c>
    </row>
    <row r="1712" spans="1:12" x14ac:dyDescent="0.25">
      <c r="A1712" s="1">
        <v>101854</v>
      </c>
      <c r="B1712" s="2" t="s">
        <v>84</v>
      </c>
      <c r="C1712" s="2" t="s">
        <v>85</v>
      </c>
      <c r="D1712" s="2" t="s">
        <v>16</v>
      </c>
      <c r="E1712" s="2" t="s">
        <v>70</v>
      </c>
      <c r="F1712" s="2" t="s">
        <v>18</v>
      </c>
      <c r="G1712" s="1">
        <v>0</v>
      </c>
      <c r="H1712" s="1">
        <v>400</v>
      </c>
      <c r="I1712" s="2" t="s">
        <v>19</v>
      </c>
      <c r="J1712" s="2" t="s">
        <v>33</v>
      </c>
      <c r="K1712" s="1">
        <v>738.34</v>
      </c>
      <c r="L1712" s="3">
        <v>45405</v>
      </c>
    </row>
    <row r="1713" spans="1:12" x14ac:dyDescent="0.25">
      <c r="A1713" s="1">
        <v>101382</v>
      </c>
      <c r="B1713" s="2" t="s">
        <v>443</v>
      </c>
      <c r="C1713" s="2" t="s">
        <v>72</v>
      </c>
      <c r="D1713" s="2" t="s">
        <v>106</v>
      </c>
      <c r="E1713" s="2" t="s">
        <v>17</v>
      </c>
      <c r="F1713" s="2" t="s">
        <v>18</v>
      </c>
      <c r="G1713" s="1">
        <v>0</v>
      </c>
      <c r="H1713" s="1">
        <v>309</v>
      </c>
      <c r="I1713" s="2" t="s">
        <v>45</v>
      </c>
      <c r="J1713" s="2" t="s">
        <v>26</v>
      </c>
      <c r="K1713" s="1">
        <v>536.84</v>
      </c>
      <c r="L1713" s="3">
        <v>45405</v>
      </c>
    </row>
    <row r="1714" spans="1:12" x14ac:dyDescent="0.25">
      <c r="A1714" s="1">
        <v>101796</v>
      </c>
      <c r="B1714" s="2" t="s">
        <v>329</v>
      </c>
      <c r="C1714" s="2" t="s">
        <v>270</v>
      </c>
      <c r="D1714" s="2" t="s">
        <v>50</v>
      </c>
      <c r="E1714" s="2" t="s">
        <v>70</v>
      </c>
      <c r="F1714" s="2" t="s">
        <v>42</v>
      </c>
      <c r="G1714" s="1">
        <v>77</v>
      </c>
      <c r="H1714" s="1">
        <v>328</v>
      </c>
      <c r="I1714" s="2" t="s">
        <v>32</v>
      </c>
      <c r="J1714" s="2" t="s">
        <v>26</v>
      </c>
      <c r="K1714" s="1">
        <v>383.5</v>
      </c>
      <c r="L1714" s="3">
        <v>45405</v>
      </c>
    </row>
    <row r="1715" spans="1:12" x14ac:dyDescent="0.25">
      <c r="A1715" s="1">
        <v>100417</v>
      </c>
      <c r="B1715" s="2" t="s">
        <v>352</v>
      </c>
      <c r="C1715" s="2" t="s">
        <v>85</v>
      </c>
      <c r="D1715" s="2" t="s">
        <v>41</v>
      </c>
      <c r="E1715" s="2" t="s">
        <v>81</v>
      </c>
      <c r="F1715" s="2" t="s">
        <v>18</v>
      </c>
      <c r="G1715" s="1">
        <v>0</v>
      </c>
      <c r="H1715" s="1">
        <v>778</v>
      </c>
      <c r="I1715" s="2" t="s">
        <v>45</v>
      </c>
      <c r="J1715" s="2" t="s">
        <v>20</v>
      </c>
      <c r="K1715" s="1">
        <v>292.75</v>
      </c>
      <c r="L1715" s="3">
        <v>45405</v>
      </c>
    </row>
    <row r="1716" spans="1:12" x14ac:dyDescent="0.25">
      <c r="A1716" s="1">
        <v>101341</v>
      </c>
      <c r="B1716" s="2" t="s">
        <v>89</v>
      </c>
      <c r="C1716" s="2" t="s">
        <v>72</v>
      </c>
      <c r="D1716" s="2" t="s">
        <v>106</v>
      </c>
      <c r="E1716" s="2" t="s">
        <v>60</v>
      </c>
      <c r="F1716" s="2" t="s">
        <v>25</v>
      </c>
      <c r="G1716" s="1">
        <v>18</v>
      </c>
      <c r="H1716" s="1">
        <v>358</v>
      </c>
      <c r="I1716" s="2" t="s">
        <v>19</v>
      </c>
      <c r="J1716" s="2" t="s">
        <v>26</v>
      </c>
      <c r="K1716" s="1">
        <v>218.69</v>
      </c>
      <c r="L1716" s="3">
        <v>45405</v>
      </c>
    </row>
    <row r="1717" spans="1:12" x14ac:dyDescent="0.25">
      <c r="A1717" s="1">
        <v>100613</v>
      </c>
      <c r="B1717" s="2" t="s">
        <v>61</v>
      </c>
      <c r="C1717" s="2" t="s">
        <v>62</v>
      </c>
      <c r="D1717" s="2" t="s">
        <v>16</v>
      </c>
      <c r="E1717" s="2" t="s">
        <v>31</v>
      </c>
      <c r="F1717" s="2" t="s">
        <v>42</v>
      </c>
      <c r="G1717" s="1">
        <v>62</v>
      </c>
      <c r="H1717" s="1">
        <v>542</v>
      </c>
      <c r="I1717" s="2" t="s">
        <v>19</v>
      </c>
      <c r="J1717" s="2" t="s">
        <v>20</v>
      </c>
      <c r="K1717" s="1">
        <v>107.59</v>
      </c>
      <c r="L1717" s="3">
        <v>45405</v>
      </c>
    </row>
    <row r="1718" spans="1:12" x14ac:dyDescent="0.25">
      <c r="A1718" s="1">
        <v>100284</v>
      </c>
      <c r="B1718" s="2" t="s">
        <v>474</v>
      </c>
      <c r="C1718" s="2" t="s">
        <v>270</v>
      </c>
      <c r="D1718" s="2" t="s">
        <v>41</v>
      </c>
      <c r="E1718" s="2" t="s">
        <v>55</v>
      </c>
      <c r="F1718" s="2" t="s">
        <v>25</v>
      </c>
      <c r="G1718" s="1">
        <v>17</v>
      </c>
      <c r="H1718" s="1">
        <v>483</v>
      </c>
      <c r="I1718" s="2" t="s">
        <v>19</v>
      </c>
      <c r="J1718" s="2" t="s">
        <v>20</v>
      </c>
      <c r="K1718" s="1">
        <v>93.56</v>
      </c>
      <c r="L1718" s="3">
        <v>45405</v>
      </c>
    </row>
    <row r="1719" spans="1:12" x14ac:dyDescent="0.25">
      <c r="A1719" s="1">
        <v>100750</v>
      </c>
      <c r="B1719" s="2" t="s">
        <v>728</v>
      </c>
      <c r="C1719" s="2" t="s">
        <v>85</v>
      </c>
      <c r="D1719" s="2" t="s">
        <v>106</v>
      </c>
      <c r="E1719" s="2" t="s">
        <v>55</v>
      </c>
      <c r="F1719" s="2" t="s">
        <v>18</v>
      </c>
      <c r="G1719" s="1">
        <v>0</v>
      </c>
      <c r="H1719" s="1">
        <v>653</v>
      </c>
      <c r="I1719" s="2" t="s">
        <v>45</v>
      </c>
      <c r="J1719" s="2" t="s">
        <v>20</v>
      </c>
      <c r="K1719" s="1">
        <v>46.71</v>
      </c>
      <c r="L1719" s="3">
        <v>45405</v>
      </c>
    </row>
    <row r="1720" spans="1:12" x14ac:dyDescent="0.25">
      <c r="A1720" s="1">
        <v>101576</v>
      </c>
      <c r="B1720" s="2" t="s">
        <v>832</v>
      </c>
      <c r="C1720" s="2" t="s">
        <v>134</v>
      </c>
      <c r="D1720" s="2" t="s">
        <v>50</v>
      </c>
      <c r="E1720" s="2" t="s">
        <v>70</v>
      </c>
      <c r="F1720" s="2" t="s">
        <v>42</v>
      </c>
      <c r="G1720" s="1">
        <v>44</v>
      </c>
      <c r="H1720" s="1">
        <v>641</v>
      </c>
      <c r="I1720" s="2" t="s">
        <v>56</v>
      </c>
      <c r="J1720" s="2" t="s">
        <v>20</v>
      </c>
      <c r="K1720" s="1">
        <v>885.54</v>
      </c>
      <c r="L1720" s="3">
        <v>45404</v>
      </c>
    </row>
    <row r="1721" spans="1:12" x14ac:dyDescent="0.25">
      <c r="A1721" s="1">
        <v>100045</v>
      </c>
      <c r="B1721" s="2" t="s">
        <v>779</v>
      </c>
      <c r="C1721" s="2" t="s">
        <v>35</v>
      </c>
      <c r="D1721" s="2" t="s">
        <v>16</v>
      </c>
      <c r="E1721" s="2" t="s">
        <v>60</v>
      </c>
      <c r="F1721" s="2" t="s">
        <v>18</v>
      </c>
      <c r="G1721" s="1">
        <v>0</v>
      </c>
      <c r="H1721" s="1">
        <v>402</v>
      </c>
      <c r="I1721" s="2" t="s">
        <v>45</v>
      </c>
      <c r="J1721" s="2" t="s">
        <v>20</v>
      </c>
      <c r="K1721" s="1">
        <v>327.27</v>
      </c>
      <c r="L1721" s="3">
        <v>45404</v>
      </c>
    </row>
    <row r="1722" spans="1:12" x14ac:dyDescent="0.25">
      <c r="A1722" s="1">
        <v>100394</v>
      </c>
      <c r="B1722" s="2" t="s">
        <v>136</v>
      </c>
      <c r="C1722" s="2" t="s">
        <v>58</v>
      </c>
      <c r="D1722" s="2" t="s">
        <v>16</v>
      </c>
      <c r="E1722" s="2" t="s">
        <v>81</v>
      </c>
      <c r="F1722" s="2" t="s">
        <v>18</v>
      </c>
      <c r="G1722" s="1">
        <v>0</v>
      </c>
      <c r="H1722" s="1">
        <v>540</v>
      </c>
      <c r="I1722" s="2" t="s">
        <v>56</v>
      </c>
      <c r="J1722" s="2" t="s">
        <v>33</v>
      </c>
      <c r="K1722" s="1">
        <v>222.81</v>
      </c>
      <c r="L1722" s="3">
        <v>45404</v>
      </c>
    </row>
    <row r="1723" spans="1:12" x14ac:dyDescent="0.25">
      <c r="A1723" s="1">
        <v>101585</v>
      </c>
      <c r="B1723" s="2" t="s">
        <v>1009</v>
      </c>
      <c r="C1723" s="2" t="s">
        <v>58</v>
      </c>
      <c r="D1723" s="2" t="s">
        <v>64</v>
      </c>
      <c r="E1723" s="2" t="s">
        <v>31</v>
      </c>
      <c r="F1723" s="2" t="s">
        <v>25</v>
      </c>
      <c r="G1723" s="1">
        <v>12</v>
      </c>
      <c r="H1723" s="1">
        <v>400</v>
      </c>
      <c r="I1723" s="2" t="s">
        <v>37</v>
      </c>
      <c r="J1723" s="2" t="s">
        <v>20</v>
      </c>
      <c r="K1723" s="1">
        <v>220.09</v>
      </c>
      <c r="L1723" s="3">
        <v>45404</v>
      </c>
    </row>
    <row r="1724" spans="1:12" x14ac:dyDescent="0.25">
      <c r="A1724" s="1">
        <v>100579</v>
      </c>
      <c r="B1724" s="2" t="s">
        <v>563</v>
      </c>
      <c r="C1724" s="2" t="s">
        <v>58</v>
      </c>
      <c r="D1724" s="2" t="s">
        <v>16</v>
      </c>
      <c r="E1724" s="2" t="s">
        <v>17</v>
      </c>
      <c r="F1724" s="2" t="s">
        <v>83</v>
      </c>
      <c r="G1724" s="1">
        <v>0</v>
      </c>
      <c r="H1724" s="1">
        <v>893</v>
      </c>
      <c r="I1724" s="2" t="s">
        <v>19</v>
      </c>
      <c r="J1724" s="2" t="s">
        <v>33</v>
      </c>
      <c r="K1724" s="1">
        <v>200.69</v>
      </c>
      <c r="L1724" s="3">
        <v>45404</v>
      </c>
    </row>
    <row r="1725" spans="1:12" x14ac:dyDescent="0.25">
      <c r="A1725" s="1">
        <v>101588</v>
      </c>
      <c r="B1725" s="2" t="s">
        <v>425</v>
      </c>
      <c r="C1725" s="2" t="s">
        <v>149</v>
      </c>
      <c r="D1725" s="2" t="s">
        <v>41</v>
      </c>
      <c r="E1725" s="2" t="s">
        <v>70</v>
      </c>
      <c r="F1725" s="2" t="s">
        <v>18</v>
      </c>
      <c r="G1725" s="1">
        <v>0</v>
      </c>
      <c r="H1725" s="1">
        <v>720</v>
      </c>
      <c r="I1725" s="2" t="s">
        <v>56</v>
      </c>
      <c r="J1725" s="2" t="s">
        <v>33</v>
      </c>
      <c r="K1725" s="1">
        <v>188.56</v>
      </c>
      <c r="L1725" s="3">
        <v>45404</v>
      </c>
    </row>
    <row r="1726" spans="1:12" x14ac:dyDescent="0.25">
      <c r="A1726" s="1">
        <v>100703</v>
      </c>
      <c r="B1726" s="2" t="s">
        <v>1535</v>
      </c>
      <c r="C1726" s="2" t="s">
        <v>122</v>
      </c>
      <c r="D1726" s="2" t="s">
        <v>64</v>
      </c>
      <c r="E1726" s="2" t="s">
        <v>81</v>
      </c>
      <c r="F1726" s="2" t="s">
        <v>83</v>
      </c>
      <c r="G1726" s="1">
        <v>0</v>
      </c>
      <c r="H1726" s="1">
        <v>873</v>
      </c>
      <c r="I1726" s="2" t="s">
        <v>32</v>
      </c>
      <c r="J1726" s="2" t="s">
        <v>20</v>
      </c>
      <c r="K1726" s="1">
        <v>916.64</v>
      </c>
      <c r="L1726" s="3">
        <v>45403</v>
      </c>
    </row>
    <row r="1727" spans="1:12" x14ac:dyDescent="0.25">
      <c r="A1727" s="1">
        <v>101847</v>
      </c>
      <c r="B1727" s="2" t="s">
        <v>779</v>
      </c>
      <c r="C1727" s="2" t="s">
        <v>39</v>
      </c>
      <c r="D1727" s="2" t="s">
        <v>64</v>
      </c>
      <c r="E1727" s="2" t="s">
        <v>55</v>
      </c>
      <c r="F1727" s="2" t="s">
        <v>83</v>
      </c>
      <c r="G1727" s="1">
        <v>0</v>
      </c>
      <c r="H1727" s="1">
        <v>402</v>
      </c>
      <c r="I1727" s="2" t="s">
        <v>19</v>
      </c>
      <c r="J1727" s="2" t="s">
        <v>20</v>
      </c>
      <c r="K1727" s="1">
        <v>898.25</v>
      </c>
      <c r="L1727" s="3">
        <v>45403</v>
      </c>
    </row>
    <row r="1728" spans="1:12" x14ac:dyDescent="0.25">
      <c r="A1728" s="1">
        <v>101616</v>
      </c>
      <c r="B1728" s="2" t="s">
        <v>212</v>
      </c>
      <c r="C1728" s="2" t="s">
        <v>95</v>
      </c>
      <c r="D1728" s="2" t="s">
        <v>64</v>
      </c>
      <c r="E1728" s="2" t="s">
        <v>31</v>
      </c>
      <c r="F1728" s="2" t="s">
        <v>42</v>
      </c>
      <c r="G1728" s="1">
        <v>115</v>
      </c>
      <c r="H1728" s="1">
        <v>662</v>
      </c>
      <c r="I1728" s="2" t="s">
        <v>56</v>
      </c>
      <c r="J1728" s="2" t="s">
        <v>20</v>
      </c>
      <c r="K1728" s="1">
        <v>220.79</v>
      </c>
      <c r="L1728" s="3">
        <v>45403</v>
      </c>
    </row>
    <row r="1729" spans="1:12" x14ac:dyDescent="0.25">
      <c r="A1729" s="1">
        <v>100671</v>
      </c>
      <c r="B1729" s="2" t="s">
        <v>340</v>
      </c>
      <c r="C1729" s="2" t="s">
        <v>100</v>
      </c>
      <c r="D1729" s="2" t="s">
        <v>50</v>
      </c>
      <c r="E1729" s="2" t="s">
        <v>55</v>
      </c>
      <c r="F1729" s="2" t="s">
        <v>18</v>
      </c>
      <c r="G1729" s="1">
        <v>0</v>
      </c>
      <c r="H1729" s="1">
        <v>705</v>
      </c>
      <c r="I1729" s="2" t="s">
        <v>32</v>
      </c>
      <c r="J1729" s="2" t="s">
        <v>26</v>
      </c>
      <c r="K1729" s="1">
        <v>182.6</v>
      </c>
      <c r="L1729" s="3">
        <v>45403</v>
      </c>
    </row>
    <row r="1730" spans="1:12" x14ac:dyDescent="0.25">
      <c r="A1730" s="1">
        <v>100676</v>
      </c>
      <c r="B1730" s="2" t="s">
        <v>443</v>
      </c>
      <c r="C1730" s="2" t="s">
        <v>72</v>
      </c>
      <c r="D1730" s="2" t="s">
        <v>50</v>
      </c>
      <c r="E1730" s="2" t="s">
        <v>31</v>
      </c>
      <c r="F1730" s="2" t="s">
        <v>83</v>
      </c>
      <c r="G1730" s="1">
        <v>0</v>
      </c>
      <c r="H1730" s="1">
        <v>309</v>
      </c>
      <c r="I1730" s="2" t="s">
        <v>37</v>
      </c>
      <c r="J1730" s="2" t="s">
        <v>26</v>
      </c>
      <c r="K1730" s="1">
        <v>78.86</v>
      </c>
      <c r="L1730" s="3">
        <v>45403</v>
      </c>
    </row>
    <row r="1731" spans="1:12" x14ac:dyDescent="0.25">
      <c r="A1731" s="1">
        <v>101213</v>
      </c>
      <c r="B1731" s="2" t="s">
        <v>616</v>
      </c>
      <c r="C1731" s="2" t="s">
        <v>95</v>
      </c>
      <c r="D1731" s="2" t="s">
        <v>41</v>
      </c>
      <c r="E1731" s="2" t="s">
        <v>17</v>
      </c>
      <c r="F1731" s="2" t="s">
        <v>83</v>
      </c>
      <c r="G1731" s="1">
        <v>0</v>
      </c>
      <c r="H1731" s="1">
        <v>898</v>
      </c>
      <c r="I1731" s="2" t="s">
        <v>45</v>
      </c>
      <c r="J1731" s="2" t="s">
        <v>20</v>
      </c>
      <c r="K1731" s="1">
        <v>383.51</v>
      </c>
      <c r="L1731" s="3">
        <v>45402</v>
      </c>
    </row>
    <row r="1732" spans="1:12" x14ac:dyDescent="0.25">
      <c r="A1732" s="1">
        <v>100884</v>
      </c>
      <c r="B1732" s="2" t="s">
        <v>462</v>
      </c>
      <c r="C1732" s="2" t="s">
        <v>35</v>
      </c>
      <c r="D1732" s="2" t="s">
        <v>41</v>
      </c>
      <c r="E1732" s="2" t="s">
        <v>35</v>
      </c>
      <c r="F1732" s="2" t="s">
        <v>18</v>
      </c>
      <c r="G1732" s="1">
        <v>0</v>
      </c>
      <c r="H1732" s="1">
        <v>716</v>
      </c>
      <c r="I1732" s="2" t="s">
        <v>45</v>
      </c>
      <c r="J1732" s="2" t="s">
        <v>20</v>
      </c>
      <c r="K1732" s="1">
        <v>352.75</v>
      </c>
      <c r="L1732" s="3">
        <v>45402</v>
      </c>
    </row>
    <row r="1733" spans="1:12" x14ac:dyDescent="0.25">
      <c r="A1733" s="1">
        <v>100299</v>
      </c>
      <c r="B1733" s="2" t="s">
        <v>1168</v>
      </c>
      <c r="C1733" s="2" t="s">
        <v>218</v>
      </c>
      <c r="D1733" s="2" t="s">
        <v>50</v>
      </c>
      <c r="E1733" s="2" t="s">
        <v>55</v>
      </c>
      <c r="F1733" s="2" t="s">
        <v>18</v>
      </c>
      <c r="G1733" s="1">
        <v>0</v>
      </c>
      <c r="H1733" s="1">
        <v>606</v>
      </c>
      <c r="I1733" s="2" t="s">
        <v>32</v>
      </c>
      <c r="J1733" s="2" t="s">
        <v>26</v>
      </c>
      <c r="K1733" s="1">
        <v>170.28</v>
      </c>
      <c r="L1733" s="3">
        <v>45402</v>
      </c>
    </row>
    <row r="1734" spans="1:12" x14ac:dyDescent="0.25">
      <c r="A1734" s="1">
        <v>101065</v>
      </c>
      <c r="B1734" s="2" t="s">
        <v>798</v>
      </c>
      <c r="C1734" s="2" t="s">
        <v>149</v>
      </c>
      <c r="D1734" s="2" t="s">
        <v>16</v>
      </c>
      <c r="E1734" s="2" t="s">
        <v>60</v>
      </c>
      <c r="F1734" s="2" t="s">
        <v>18</v>
      </c>
      <c r="G1734" s="1">
        <v>0</v>
      </c>
      <c r="H1734" s="1">
        <v>555</v>
      </c>
      <c r="I1734" s="2" t="s">
        <v>32</v>
      </c>
      <c r="J1734" s="2" t="s">
        <v>33</v>
      </c>
      <c r="K1734" s="1">
        <v>538.20000000000005</v>
      </c>
      <c r="L1734" s="3">
        <v>45401</v>
      </c>
    </row>
    <row r="1735" spans="1:12" x14ac:dyDescent="0.25">
      <c r="A1735" s="1">
        <v>101793</v>
      </c>
      <c r="B1735" s="2" t="s">
        <v>807</v>
      </c>
      <c r="C1735" s="2" t="s">
        <v>85</v>
      </c>
      <c r="D1735" s="2" t="s">
        <v>16</v>
      </c>
      <c r="E1735" s="2" t="s">
        <v>31</v>
      </c>
      <c r="F1735" s="2" t="s">
        <v>83</v>
      </c>
      <c r="G1735" s="1" t="s">
        <v>35</v>
      </c>
      <c r="H1735" s="1">
        <v>443</v>
      </c>
      <c r="I1735" s="2" t="s">
        <v>56</v>
      </c>
      <c r="J1735" s="2" t="s">
        <v>26</v>
      </c>
      <c r="K1735" s="1">
        <v>529.67999999999995</v>
      </c>
      <c r="L1735" s="3">
        <v>45401</v>
      </c>
    </row>
    <row r="1736" spans="1:12" x14ac:dyDescent="0.25">
      <c r="A1736" s="1">
        <v>100647</v>
      </c>
      <c r="B1736" s="2" t="s">
        <v>174</v>
      </c>
      <c r="C1736" s="2" t="s">
        <v>134</v>
      </c>
      <c r="D1736" s="2" t="s">
        <v>41</v>
      </c>
      <c r="E1736" s="2" t="s">
        <v>35</v>
      </c>
      <c r="F1736" s="2" t="s">
        <v>18</v>
      </c>
      <c r="G1736" s="1">
        <v>0</v>
      </c>
      <c r="H1736" s="1">
        <v>554</v>
      </c>
      <c r="I1736" s="2" t="s">
        <v>37</v>
      </c>
      <c r="J1736" s="2" t="s">
        <v>20</v>
      </c>
      <c r="K1736" s="1">
        <v>320.47000000000003</v>
      </c>
      <c r="L1736" s="3">
        <v>45401</v>
      </c>
    </row>
    <row r="1737" spans="1:12" x14ac:dyDescent="0.25">
      <c r="A1737" s="1">
        <v>100330</v>
      </c>
      <c r="B1737" s="2" t="s">
        <v>657</v>
      </c>
      <c r="C1737" s="2" t="s">
        <v>52</v>
      </c>
      <c r="D1737" s="2" t="s">
        <v>16</v>
      </c>
      <c r="E1737" s="2" t="s">
        <v>81</v>
      </c>
      <c r="F1737" s="2" t="s">
        <v>18</v>
      </c>
      <c r="G1737" s="1">
        <v>0</v>
      </c>
      <c r="H1737" s="1">
        <v>518</v>
      </c>
      <c r="I1737" s="2" t="s">
        <v>37</v>
      </c>
      <c r="J1737" s="2" t="s">
        <v>20</v>
      </c>
      <c r="K1737" s="1">
        <v>42.7</v>
      </c>
      <c r="L1737" s="3">
        <v>45401</v>
      </c>
    </row>
    <row r="1738" spans="1:12" x14ac:dyDescent="0.25">
      <c r="A1738" s="1">
        <v>102200</v>
      </c>
      <c r="B1738" s="2" t="s">
        <v>504</v>
      </c>
      <c r="C1738" s="2" t="s">
        <v>187</v>
      </c>
      <c r="D1738" s="2" t="s">
        <v>50</v>
      </c>
      <c r="E1738" s="2" t="s">
        <v>78</v>
      </c>
      <c r="F1738" s="2" t="s">
        <v>18</v>
      </c>
      <c r="G1738" s="1" t="s">
        <v>35</v>
      </c>
      <c r="H1738" s="1">
        <v>494</v>
      </c>
      <c r="I1738" s="2" t="s">
        <v>32</v>
      </c>
      <c r="J1738" s="2" t="s">
        <v>26</v>
      </c>
      <c r="K1738" s="1">
        <v>357.78</v>
      </c>
      <c r="L1738" s="3">
        <v>45400</v>
      </c>
    </row>
    <row r="1739" spans="1:12" x14ac:dyDescent="0.25">
      <c r="A1739" s="1">
        <v>100573</v>
      </c>
      <c r="B1739" s="2" t="s">
        <v>595</v>
      </c>
      <c r="C1739" s="2" t="s">
        <v>22</v>
      </c>
      <c r="D1739" s="2" t="s">
        <v>16</v>
      </c>
      <c r="E1739" s="2" t="s">
        <v>55</v>
      </c>
      <c r="F1739" s="2" t="s">
        <v>18</v>
      </c>
      <c r="G1739" s="1">
        <v>0</v>
      </c>
      <c r="H1739" s="1">
        <v>372</v>
      </c>
      <c r="I1739" s="2" t="s">
        <v>32</v>
      </c>
      <c r="J1739" s="2" t="s">
        <v>20</v>
      </c>
      <c r="K1739" s="1">
        <v>271.5</v>
      </c>
      <c r="L1739" s="3">
        <v>45400</v>
      </c>
    </row>
    <row r="1740" spans="1:12" x14ac:dyDescent="0.25">
      <c r="A1740" s="1">
        <v>101148</v>
      </c>
      <c r="B1740" s="2" t="s">
        <v>708</v>
      </c>
      <c r="C1740" s="2" t="s">
        <v>270</v>
      </c>
      <c r="D1740" s="2" t="s">
        <v>50</v>
      </c>
      <c r="E1740" s="2" t="s">
        <v>81</v>
      </c>
      <c r="F1740" s="2" t="s">
        <v>42</v>
      </c>
      <c r="G1740" s="1">
        <v>168</v>
      </c>
      <c r="H1740" s="1">
        <v>451</v>
      </c>
      <c r="I1740" s="2" t="s">
        <v>32</v>
      </c>
      <c r="J1740" s="2" t="s">
        <v>20</v>
      </c>
      <c r="K1740" s="1">
        <v>172.11</v>
      </c>
      <c r="L1740" s="3">
        <v>45400</v>
      </c>
    </row>
    <row r="1741" spans="1:12" x14ac:dyDescent="0.25">
      <c r="A1741" s="1">
        <v>100135</v>
      </c>
      <c r="B1741" s="2" t="s">
        <v>1005</v>
      </c>
      <c r="C1741" s="2" t="s">
        <v>244</v>
      </c>
      <c r="D1741" s="2" t="s">
        <v>16</v>
      </c>
      <c r="E1741" s="2" t="s">
        <v>55</v>
      </c>
      <c r="F1741" s="2" t="s">
        <v>18</v>
      </c>
      <c r="G1741" s="1">
        <v>0</v>
      </c>
      <c r="H1741" s="1">
        <v>370</v>
      </c>
      <c r="I1741" s="2" t="s">
        <v>19</v>
      </c>
      <c r="J1741" s="2" t="s">
        <v>33</v>
      </c>
      <c r="K1741" s="1">
        <v>54.22</v>
      </c>
      <c r="L1741" s="3">
        <v>45400</v>
      </c>
    </row>
    <row r="1742" spans="1:12" x14ac:dyDescent="0.25">
      <c r="A1742" s="1">
        <v>101887</v>
      </c>
      <c r="B1742" s="2" t="s">
        <v>141</v>
      </c>
      <c r="C1742" s="2" t="s">
        <v>142</v>
      </c>
      <c r="D1742" s="2" t="s">
        <v>41</v>
      </c>
      <c r="E1742" s="2" t="s">
        <v>31</v>
      </c>
      <c r="F1742" s="2" t="s">
        <v>83</v>
      </c>
      <c r="G1742" s="1">
        <v>0</v>
      </c>
      <c r="H1742" s="1">
        <v>430</v>
      </c>
      <c r="I1742" s="2" t="s">
        <v>45</v>
      </c>
      <c r="J1742" s="2" t="s">
        <v>26</v>
      </c>
      <c r="K1742" s="1">
        <v>386.4</v>
      </c>
      <c r="L1742" s="3">
        <v>45399</v>
      </c>
    </row>
    <row r="1743" spans="1:12" x14ac:dyDescent="0.25">
      <c r="A1743" s="1">
        <v>101749</v>
      </c>
      <c r="B1743" s="2" t="s">
        <v>87</v>
      </c>
      <c r="C1743" s="2" t="s">
        <v>47</v>
      </c>
      <c r="D1743" s="2" t="s">
        <v>64</v>
      </c>
      <c r="E1743" s="2" t="s">
        <v>78</v>
      </c>
      <c r="F1743" s="2" t="s">
        <v>18</v>
      </c>
      <c r="G1743" s="1">
        <v>0</v>
      </c>
      <c r="H1743" s="1">
        <v>892</v>
      </c>
      <c r="I1743" s="2" t="s">
        <v>19</v>
      </c>
      <c r="J1743" s="2" t="s">
        <v>26</v>
      </c>
      <c r="K1743" s="1">
        <v>251.99</v>
      </c>
      <c r="L1743" s="3">
        <v>45399</v>
      </c>
    </row>
    <row r="1744" spans="1:12" x14ac:dyDescent="0.25">
      <c r="A1744" s="1">
        <v>100956</v>
      </c>
      <c r="B1744" s="2" t="s">
        <v>462</v>
      </c>
      <c r="C1744" s="2" t="s">
        <v>168</v>
      </c>
      <c r="D1744" s="2" t="s">
        <v>16</v>
      </c>
      <c r="E1744" s="2" t="s">
        <v>70</v>
      </c>
      <c r="F1744" s="2" t="s">
        <v>25</v>
      </c>
      <c r="G1744" s="1">
        <v>16</v>
      </c>
      <c r="H1744" s="1">
        <v>716</v>
      </c>
      <c r="I1744" s="2" t="s">
        <v>45</v>
      </c>
      <c r="J1744" s="2" t="s">
        <v>20</v>
      </c>
      <c r="K1744" s="1">
        <v>478.89</v>
      </c>
      <c r="L1744" s="3">
        <v>45398</v>
      </c>
    </row>
    <row r="1745" spans="1:12" x14ac:dyDescent="0.25">
      <c r="A1745" s="1">
        <v>101883</v>
      </c>
      <c r="B1745" s="2" t="s">
        <v>322</v>
      </c>
      <c r="C1745" s="2" t="s">
        <v>13</v>
      </c>
      <c r="D1745" s="2" t="s">
        <v>50</v>
      </c>
      <c r="E1745" s="2" t="s">
        <v>60</v>
      </c>
      <c r="F1745" s="2" t="s">
        <v>18</v>
      </c>
      <c r="G1745" s="1">
        <v>0</v>
      </c>
      <c r="H1745" s="1">
        <v>623</v>
      </c>
      <c r="I1745" s="2" t="s">
        <v>56</v>
      </c>
      <c r="J1745" s="2" t="s">
        <v>20</v>
      </c>
      <c r="K1745" s="1">
        <v>476.31</v>
      </c>
      <c r="L1745" s="3">
        <v>45398</v>
      </c>
    </row>
    <row r="1746" spans="1:12" x14ac:dyDescent="0.25">
      <c r="A1746" s="1">
        <v>100362</v>
      </c>
      <c r="B1746" s="2" t="s">
        <v>1211</v>
      </c>
      <c r="C1746" s="2" t="s">
        <v>35</v>
      </c>
      <c r="D1746" s="2" t="s">
        <v>50</v>
      </c>
      <c r="E1746" s="2" t="s">
        <v>31</v>
      </c>
      <c r="F1746" s="2" t="s">
        <v>18</v>
      </c>
      <c r="G1746" s="1" t="s">
        <v>35</v>
      </c>
      <c r="H1746" s="1">
        <v>741</v>
      </c>
      <c r="I1746" s="2" t="s">
        <v>37</v>
      </c>
      <c r="J1746" s="2" t="s">
        <v>20</v>
      </c>
      <c r="K1746" s="1">
        <v>146.66</v>
      </c>
      <c r="L1746" s="3">
        <v>45398</v>
      </c>
    </row>
    <row r="1747" spans="1:12" x14ac:dyDescent="0.25">
      <c r="A1747" s="1">
        <v>101159</v>
      </c>
      <c r="B1747" s="2" t="s">
        <v>325</v>
      </c>
      <c r="C1747" s="2" t="s">
        <v>126</v>
      </c>
      <c r="D1747" s="2" t="s">
        <v>41</v>
      </c>
      <c r="E1747" s="2" t="s">
        <v>60</v>
      </c>
      <c r="F1747" s="2" t="s">
        <v>18</v>
      </c>
      <c r="G1747" s="1">
        <v>0</v>
      </c>
      <c r="H1747" s="1">
        <v>570</v>
      </c>
      <c r="I1747" s="2" t="s">
        <v>32</v>
      </c>
      <c r="J1747" s="2" t="s">
        <v>20</v>
      </c>
      <c r="K1747" s="1">
        <v>511.32</v>
      </c>
      <c r="L1747" s="3">
        <v>45397</v>
      </c>
    </row>
    <row r="1748" spans="1:12" x14ac:dyDescent="0.25">
      <c r="A1748" s="1">
        <v>101845</v>
      </c>
      <c r="B1748" s="2" t="s">
        <v>2030</v>
      </c>
      <c r="C1748" s="2" t="s">
        <v>168</v>
      </c>
      <c r="D1748" s="2" t="s">
        <v>106</v>
      </c>
      <c r="E1748" s="2" t="s">
        <v>70</v>
      </c>
      <c r="F1748" s="2" t="s">
        <v>83</v>
      </c>
      <c r="G1748" s="1">
        <v>0</v>
      </c>
      <c r="H1748" s="1">
        <v>768</v>
      </c>
      <c r="I1748" s="2" t="s">
        <v>19</v>
      </c>
      <c r="J1748" s="2" t="s">
        <v>26</v>
      </c>
      <c r="K1748" s="1">
        <v>132.62</v>
      </c>
      <c r="L1748" s="3">
        <v>45397</v>
      </c>
    </row>
    <row r="1749" spans="1:12" x14ac:dyDescent="0.25">
      <c r="A1749" s="1">
        <v>101932</v>
      </c>
      <c r="B1749" s="2" t="s">
        <v>179</v>
      </c>
      <c r="C1749" s="2" t="s">
        <v>149</v>
      </c>
      <c r="D1749" s="2" t="s">
        <v>50</v>
      </c>
      <c r="E1749" s="2" t="s">
        <v>35</v>
      </c>
      <c r="F1749" s="2" t="s">
        <v>18</v>
      </c>
      <c r="G1749" s="1">
        <v>0</v>
      </c>
      <c r="H1749" s="1">
        <v>518</v>
      </c>
      <c r="I1749" s="2" t="s">
        <v>19</v>
      </c>
      <c r="J1749" s="2" t="s">
        <v>20</v>
      </c>
      <c r="K1749" s="1">
        <v>527.49</v>
      </c>
      <c r="L1749" s="3">
        <v>45396</v>
      </c>
    </row>
    <row r="1750" spans="1:12" x14ac:dyDescent="0.25">
      <c r="A1750" s="1">
        <v>100699</v>
      </c>
      <c r="B1750" s="2" t="s">
        <v>68</v>
      </c>
      <c r="C1750" s="2" t="s">
        <v>52</v>
      </c>
      <c r="D1750" s="2" t="s">
        <v>106</v>
      </c>
      <c r="E1750" s="2" t="s">
        <v>70</v>
      </c>
      <c r="F1750" s="2" t="s">
        <v>18</v>
      </c>
      <c r="G1750" s="1">
        <v>0</v>
      </c>
      <c r="H1750" s="1">
        <v>309</v>
      </c>
      <c r="I1750" s="2" t="s">
        <v>56</v>
      </c>
      <c r="J1750" s="2" t="s">
        <v>20</v>
      </c>
      <c r="K1750" s="1">
        <v>99.17</v>
      </c>
      <c r="L1750" s="3">
        <v>45396</v>
      </c>
    </row>
    <row r="1751" spans="1:12" x14ac:dyDescent="0.25">
      <c r="A1751" s="1">
        <v>101047</v>
      </c>
      <c r="B1751" s="2" t="s">
        <v>481</v>
      </c>
      <c r="C1751" s="2" t="s">
        <v>168</v>
      </c>
      <c r="D1751" s="2" t="s">
        <v>16</v>
      </c>
      <c r="E1751" s="2" t="s">
        <v>70</v>
      </c>
      <c r="F1751" s="2" t="s">
        <v>18</v>
      </c>
      <c r="G1751" s="1">
        <v>0</v>
      </c>
      <c r="H1751" s="1">
        <v>548</v>
      </c>
      <c r="I1751" s="2" t="s">
        <v>19</v>
      </c>
      <c r="J1751" s="2" t="s">
        <v>20</v>
      </c>
      <c r="K1751" s="1">
        <v>70.56</v>
      </c>
      <c r="L1751" s="3">
        <v>45396</v>
      </c>
    </row>
    <row r="1752" spans="1:12" x14ac:dyDescent="0.25">
      <c r="A1752" s="1">
        <v>100466</v>
      </c>
      <c r="B1752" s="2" t="s">
        <v>392</v>
      </c>
      <c r="C1752" s="2" t="s">
        <v>72</v>
      </c>
      <c r="D1752" s="2" t="s">
        <v>106</v>
      </c>
      <c r="E1752" s="2" t="s">
        <v>81</v>
      </c>
      <c r="F1752" s="2" t="s">
        <v>18</v>
      </c>
      <c r="G1752" s="1">
        <v>0</v>
      </c>
      <c r="H1752" s="1">
        <v>433</v>
      </c>
      <c r="I1752" s="2" t="s">
        <v>35</v>
      </c>
      <c r="J1752" s="2" t="s">
        <v>20</v>
      </c>
      <c r="K1752" s="1">
        <v>406.05</v>
      </c>
      <c r="L1752" s="3">
        <v>45395</v>
      </c>
    </row>
    <row r="1753" spans="1:12" x14ac:dyDescent="0.25">
      <c r="A1753" s="1">
        <v>100921</v>
      </c>
      <c r="B1753" s="2" t="s">
        <v>288</v>
      </c>
      <c r="C1753" s="2" t="s">
        <v>85</v>
      </c>
      <c r="D1753" s="2" t="s">
        <v>106</v>
      </c>
      <c r="E1753" s="2" t="s">
        <v>17</v>
      </c>
      <c r="F1753" s="2" t="s">
        <v>18</v>
      </c>
      <c r="G1753" s="1">
        <v>0</v>
      </c>
      <c r="H1753" s="1">
        <v>746</v>
      </c>
      <c r="I1753" s="2" t="s">
        <v>32</v>
      </c>
      <c r="J1753" s="2" t="s">
        <v>20</v>
      </c>
      <c r="K1753" s="1">
        <v>201.28</v>
      </c>
      <c r="L1753" s="3">
        <v>45395</v>
      </c>
    </row>
    <row r="1754" spans="1:12" x14ac:dyDescent="0.25">
      <c r="A1754" s="1">
        <v>101719</v>
      </c>
      <c r="B1754" s="2" t="s">
        <v>162</v>
      </c>
      <c r="C1754" s="2" t="s">
        <v>13</v>
      </c>
      <c r="D1754" s="2" t="s">
        <v>64</v>
      </c>
      <c r="E1754" s="2" t="s">
        <v>78</v>
      </c>
      <c r="F1754" s="2" t="s">
        <v>18</v>
      </c>
      <c r="G1754" s="1">
        <v>0</v>
      </c>
      <c r="H1754" s="1">
        <v>410</v>
      </c>
      <c r="I1754" s="2" t="s">
        <v>56</v>
      </c>
      <c r="J1754" s="2" t="s">
        <v>33</v>
      </c>
      <c r="K1754" s="1">
        <v>500.91</v>
      </c>
      <c r="L1754" s="3">
        <v>45394</v>
      </c>
    </row>
    <row r="1755" spans="1:12" x14ac:dyDescent="0.25">
      <c r="A1755" s="1">
        <v>101649</v>
      </c>
      <c r="B1755" s="2" t="s">
        <v>506</v>
      </c>
      <c r="C1755" s="2" t="s">
        <v>58</v>
      </c>
      <c r="D1755" s="2" t="s">
        <v>16</v>
      </c>
      <c r="E1755" s="2" t="s">
        <v>81</v>
      </c>
      <c r="F1755" s="2" t="s">
        <v>18</v>
      </c>
      <c r="G1755" s="1">
        <v>0</v>
      </c>
      <c r="H1755" s="1">
        <v>394</v>
      </c>
      <c r="I1755" s="2" t="s">
        <v>56</v>
      </c>
      <c r="J1755" s="2" t="s">
        <v>20</v>
      </c>
      <c r="K1755" s="1">
        <v>430.36</v>
      </c>
      <c r="L1755" s="3">
        <v>45394</v>
      </c>
    </row>
    <row r="1756" spans="1:12" x14ac:dyDescent="0.25">
      <c r="A1756" s="1">
        <v>101449</v>
      </c>
      <c r="B1756" s="2" t="s">
        <v>678</v>
      </c>
      <c r="C1756" s="2" t="s">
        <v>270</v>
      </c>
      <c r="D1756" s="2" t="s">
        <v>41</v>
      </c>
      <c r="E1756" s="2" t="s">
        <v>55</v>
      </c>
      <c r="F1756" s="2" t="s">
        <v>25</v>
      </c>
      <c r="G1756" s="1">
        <v>6</v>
      </c>
      <c r="H1756" s="1">
        <v>883</v>
      </c>
      <c r="I1756" s="2" t="s">
        <v>19</v>
      </c>
      <c r="J1756" s="2" t="s">
        <v>33</v>
      </c>
      <c r="K1756" s="1">
        <v>390.68</v>
      </c>
      <c r="L1756" s="3">
        <v>45394</v>
      </c>
    </row>
    <row r="1757" spans="1:12" x14ac:dyDescent="0.25">
      <c r="A1757" s="1">
        <v>101738</v>
      </c>
      <c r="B1757" s="2" t="s">
        <v>1175</v>
      </c>
      <c r="C1757" s="2" t="s">
        <v>142</v>
      </c>
      <c r="D1757" s="2" t="s">
        <v>50</v>
      </c>
      <c r="E1757" s="2" t="s">
        <v>70</v>
      </c>
      <c r="F1757" s="2" t="s">
        <v>25</v>
      </c>
      <c r="G1757" s="1">
        <v>15</v>
      </c>
      <c r="H1757" s="1">
        <v>573</v>
      </c>
      <c r="I1757" s="2" t="s">
        <v>56</v>
      </c>
      <c r="J1757" s="2" t="s">
        <v>33</v>
      </c>
      <c r="K1757" s="1">
        <v>346.27</v>
      </c>
      <c r="L1757" s="3">
        <v>45394</v>
      </c>
    </row>
    <row r="1758" spans="1:12" x14ac:dyDescent="0.25">
      <c r="A1758" s="1">
        <v>100189</v>
      </c>
      <c r="B1758" s="2" t="s">
        <v>1053</v>
      </c>
      <c r="C1758" s="2" t="s">
        <v>47</v>
      </c>
      <c r="D1758" s="2" t="s">
        <v>16</v>
      </c>
      <c r="E1758" s="2" t="s">
        <v>81</v>
      </c>
      <c r="F1758" s="2" t="s">
        <v>25</v>
      </c>
      <c r="G1758" s="1">
        <v>19</v>
      </c>
      <c r="H1758" s="1">
        <v>864</v>
      </c>
      <c r="I1758" s="2" t="s">
        <v>19</v>
      </c>
      <c r="J1758" s="2" t="s">
        <v>33</v>
      </c>
      <c r="K1758" s="1">
        <v>305</v>
      </c>
      <c r="L1758" s="3">
        <v>45394</v>
      </c>
    </row>
    <row r="1759" spans="1:12" x14ac:dyDescent="0.25">
      <c r="A1759" s="1">
        <v>101486</v>
      </c>
      <c r="B1759" s="2" t="s">
        <v>162</v>
      </c>
      <c r="C1759" s="2" t="s">
        <v>13</v>
      </c>
      <c r="D1759" s="2" t="s">
        <v>50</v>
      </c>
      <c r="E1759" s="2" t="s">
        <v>78</v>
      </c>
      <c r="F1759" s="2" t="s">
        <v>83</v>
      </c>
      <c r="G1759" s="1">
        <v>0</v>
      </c>
      <c r="H1759" s="1">
        <v>410</v>
      </c>
      <c r="I1759" s="2" t="s">
        <v>37</v>
      </c>
      <c r="J1759" s="2" t="s">
        <v>26</v>
      </c>
      <c r="K1759" s="1">
        <v>192.12</v>
      </c>
      <c r="L1759" s="3">
        <v>45394</v>
      </c>
    </row>
    <row r="1760" spans="1:12" x14ac:dyDescent="0.25">
      <c r="A1760" s="1">
        <v>102086</v>
      </c>
      <c r="B1760" s="2" t="s">
        <v>232</v>
      </c>
      <c r="C1760" s="2" t="s">
        <v>152</v>
      </c>
      <c r="D1760" s="2" t="s">
        <v>16</v>
      </c>
      <c r="E1760" s="2" t="s">
        <v>78</v>
      </c>
      <c r="F1760" s="2" t="s">
        <v>18</v>
      </c>
      <c r="G1760" s="1">
        <v>0</v>
      </c>
      <c r="H1760" s="1">
        <v>781</v>
      </c>
      <c r="I1760" s="2" t="s">
        <v>37</v>
      </c>
      <c r="J1760" s="2" t="s">
        <v>33</v>
      </c>
      <c r="K1760" s="1">
        <v>581.86</v>
      </c>
      <c r="L1760" s="3">
        <v>45393</v>
      </c>
    </row>
    <row r="1761" spans="1:12" x14ac:dyDescent="0.25">
      <c r="A1761" s="1">
        <v>100964</v>
      </c>
      <c r="B1761" s="2" t="s">
        <v>79</v>
      </c>
      <c r="C1761" s="2" t="s">
        <v>47</v>
      </c>
      <c r="D1761" s="2" t="s">
        <v>41</v>
      </c>
      <c r="E1761" s="2" t="s">
        <v>81</v>
      </c>
      <c r="F1761" s="2" t="s">
        <v>18</v>
      </c>
      <c r="G1761" s="1" t="s">
        <v>35</v>
      </c>
      <c r="H1761" s="1">
        <v>585</v>
      </c>
      <c r="I1761" s="2" t="s">
        <v>37</v>
      </c>
      <c r="J1761" s="2" t="s">
        <v>33</v>
      </c>
      <c r="K1761" s="1">
        <v>220.79</v>
      </c>
      <c r="L1761" s="3">
        <v>45393</v>
      </c>
    </row>
    <row r="1762" spans="1:12" x14ac:dyDescent="0.25">
      <c r="A1762" s="1">
        <v>100191</v>
      </c>
      <c r="B1762" s="2" t="s">
        <v>545</v>
      </c>
      <c r="C1762" s="2" t="s">
        <v>126</v>
      </c>
      <c r="D1762" s="2" t="s">
        <v>16</v>
      </c>
      <c r="E1762" s="2" t="s">
        <v>78</v>
      </c>
      <c r="F1762" s="2" t="s">
        <v>25</v>
      </c>
      <c r="G1762" s="1">
        <v>5</v>
      </c>
      <c r="H1762" s="1">
        <v>494</v>
      </c>
      <c r="I1762" s="2" t="s">
        <v>32</v>
      </c>
      <c r="J1762" s="2" t="s">
        <v>26</v>
      </c>
      <c r="K1762" s="1">
        <v>1157.96</v>
      </c>
      <c r="L1762" s="3">
        <v>45392</v>
      </c>
    </row>
    <row r="1763" spans="1:12" x14ac:dyDescent="0.25">
      <c r="A1763" s="1">
        <v>101712</v>
      </c>
      <c r="B1763" s="2" t="s">
        <v>371</v>
      </c>
      <c r="C1763" s="2" t="s">
        <v>52</v>
      </c>
      <c r="D1763" s="2" t="s">
        <v>16</v>
      </c>
      <c r="E1763" s="2" t="s">
        <v>17</v>
      </c>
      <c r="F1763" s="2" t="s">
        <v>18</v>
      </c>
      <c r="G1763" s="1">
        <v>0</v>
      </c>
      <c r="H1763" s="1">
        <v>339</v>
      </c>
      <c r="I1763" s="2" t="s">
        <v>56</v>
      </c>
      <c r="J1763" s="2" t="s">
        <v>33</v>
      </c>
      <c r="K1763" s="1">
        <v>292.33999999999997</v>
      </c>
      <c r="L1763" s="3">
        <v>45392</v>
      </c>
    </row>
    <row r="1764" spans="1:12" x14ac:dyDescent="0.25">
      <c r="A1764" s="1">
        <v>101326</v>
      </c>
      <c r="B1764" s="2" t="s">
        <v>210</v>
      </c>
      <c r="C1764" s="2" t="s">
        <v>95</v>
      </c>
      <c r="D1764" s="2" t="s">
        <v>50</v>
      </c>
      <c r="E1764" s="2" t="s">
        <v>70</v>
      </c>
      <c r="F1764" s="2" t="s">
        <v>18</v>
      </c>
      <c r="G1764" s="1">
        <v>0</v>
      </c>
      <c r="H1764" s="1">
        <v>369</v>
      </c>
      <c r="I1764" s="2" t="s">
        <v>19</v>
      </c>
      <c r="J1764" s="2" t="s">
        <v>20</v>
      </c>
      <c r="K1764" s="1">
        <v>218.39</v>
      </c>
      <c r="L1764" s="3">
        <v>45392</v>
      </c>
    </row>
    <row r="1765" spans="1:12" x14ac:dyDescent="0.25">
      <c r="A1765" s="1">
        <v>100184</v>
      </c>
      <c r="B1765" s="2" t="s">
        <v>34</v>
      </c>
      <c r="C1765" s="2" t="s">
        <v>13</v>
      </c>
      <c r="D1765" s="2" t="s">
        <v>41</v>
      </c>
      <c r="E1765" s="2" t="s">
        <v>31</v>
      </c>
      <c r="F1765" s="2" t="s">
        <v>18</v>
      </c>
      <c r="G1765" s="1">
        <v>0</v>
      </c>
      <c r="H1765" s="1">
        <v>672</v>
      </c>
      <c r="I1765" s="2" t="s">
        <v>45</v>
      </c>
      <c r="J1765" s="2" t="s">
        <v>20</v>
      </c>
      <c r="K1765" s="1">
        <v>582.61</v>
      </c>
      <c r="L1765" s="3">
        <v>45391</v>
      </c>
    </row>
    <row r="1766" spans="1:12" x14ac:dyDescent="0.25">
      <c r="A1766" s="1">
        <v>100946</v>
      </c>
      <c r="B1766" s="2" t="s">
        <v>1259</v>
      </c>
      <c r="C1766" s="2" t="s">
        <v>47</v>
      </c>
      <c r="D1766" s="2" t="s">
        <v>41</v>
      </c>
      <c r="E1766" s="2" t="s">
        <v>31</v>
      </c>
      <c r="F1766" s="2" t="s">
        <v>18</v>
      </c>
      <c r="G1766" s="1">
        <v>0</v>
      </c>
      <c r="H1766" s="1">
        <v>748</v>
      </c>
      <c r="I1766" s="2" t="s">
        <v>32</v>
      </c>
      <c r="J1766" s="2" t="s">
        <v>20</v>
      </c>
      <c r="K1766" s="1">
        <v>445.39</v>
      </c>
      <c r="L1766" s="3">
        <v>45391</v>
      </c>
    </row>
    <row r="1767" spans="1:12" x14ac:dyDescent="0.25">
      <c r="A1767" s="1">
        <v>101229</v>
      </c>
      <c r="B1767" s="2" t="s">
        <v>262</v>
      </c>
      <c r="C1767" s="2" t="s">
        <v>134</v>
      </c>
      <c r="D1767" s="2" t="s">
        <v>16</v>
      </c>
      <c r="E1767" s="2" t="s">
        <v>78</v>
      </c>
      <c r="F1767" s="2" t="s">
        <v>83</v>
      </c>
      <c r="G1767" s="1">
        <v>0</v>
      </c>
      <c r="H1767" s="1">
        <v>399</v>
      </c>
      <c r="I1767" s="2" t="s">
        <v>45</v>
      </c>
      <c r="J1767" s="2" t="s">
        <v>20</v>
      </c>
      <c r="K1767" s="1">
        <v>291.2</v>
      </c>
      <c r="L1767" s="3">
        <v>45391</v>
      </c>
    </row>
    <row r="1768" spans="1:12" x14ac:dyDescent="0.25">
      <c r="A1768" s="1">
        <v>100038</v>
      </c>
      <c r="B1768" s="2" t="s">
        <v>141</v>
      </c>
      <c r="C1768" s="2" t="s">
        <v>142</v>
      </c>
      <c r="D1768" s="2" t="s">
        <v>41</v>
      </c>
      <c r="E1768" s="2" t="s">
        <v>17</v>
      </c>
      <c r="F1768" s="2" t="s">
        <v>83</v>
      </c>
      <c r="G1768" s="1">
        <v>0</v>
      </c>
      <c r="H1768" s="1">
        <v>430</v>
      </c>
      <c r="I1768" s="2" t="s">
        <v>32</v>
      </c>
      <c r="J1768" s="2" t="s">
        <v>26</v>
      </c>
      <c r="K1768" s="1">
        <v>265.55</v>
      </c>
      <c r="L1768" s="3">
        <v>45391</v>
      </c>
    </row>
    <row r="1769" spans="1:12" x14ac:dyDescent="0.25">
      <c r="A1769" s="1">
        <v>100828</v>
      </c>
      <c r="B1769" s="2" t="s">
        <v>313</v>
      </c>
      <c r="C1769" s="2" t="s">
        <v>58</v>
      </c>
      <c r="D1769" s="2" t="s">
        <v>16</v>
      </c>
      <c r="E1769" s="2" t="s">
        <v>78</v>
      </c>
      <c r="F1769" s="2" t="s">
        <v>18</v>
      </c>
      <c r="G1769" s="1">
        <v>0</v>
      </c>
      <c r="H1769" s="1">
        <v>716</v>
      </c>
      <c r="I1769" s="2" t="s">
        <v>37</v>
      </c>
      <c r="J1769" s="2" t="s">
        <v>33</v>
      </c>
      <c r="K1769" s="1">
        <v>115.89</v>
      </c>
      <c r="L1769" s="3">
        <v>45391</v>
      </c>
    </row>
    <row r="1770" spans="1:12" x14ac:dyDescent="0.25">
      <c r="A1770" s="1">
        <v>100391</v>
      </c>
      <c r="B1770" s="2" t="s">
        <v>262</v>
      </c>
      <c r="C1770" s="2" t="s">
        <v>134</v>
      </c>
      <c r="D1770" s="2" t="s">
        <v>41</v>
      </c>
      <c r="E1770" s="2" t="s">
        <v>78</v>
      </c>
      <c r="F1770" s="2" t="s">
        <v>18</v>
      </c>
      <c r="G1770" s="1">
        <v>0</v>
      </c>
      <c r="H1770" s="1">
        <v>399</v>
      </c>
      <c r="I1770" s="2" t="s">
        <v>37</v>
      </c>
      <c r="J1770" s="2" t="s">
        <v>20</v>
      </c>
      <c r="K1770" s="1">
        <v>755.75</v>
      </c>
      <c r="L1770" s="3">
        <v>45390</v>
      </c>
    </row>
    <row r="1771" spans="1:12" x14ac:dyDescent="0.25">
      <c r="A1771" s="1">
        <v>101257</v>
      </c>
      <c r="B1771" s="2" t="s">
        <v>940</v>
      </c>
      <c r="C1771" s="2" t="s">
        <v>52</v>
      </c>
      <c r="D1771" s="2" t="s">
        <v>16</v>
      </c>
      <c r="E1771" s="2" t="s">
        <v>31</v>
      </c>
      <c r="F1771" s="2" t="s">
        <v>25</v>
      </c>
      <c r="G1771" s="1">
        <v>18</v>
      </c>
      <c r="H1771" s="1">
        <v>640</v>
      </c>
      <c r="I1771" s="2" t="s">
        <v>45</v>
      </c>
      <c r="J1771" s="2" t="s">
        <v>33</v>
      </c>
      <c r="K1771" s="1">
        <v>617.44000000000005</v>
      </c>
      <c r="L1771" s="3">
        <v>45390</v>
      </c>
    </row>
    <row r="1772" spans="1:12" x14ac:dyDescent="0.25">
      <c r="A1772" s="1">
        <v>100588</v>
      </c>
      <c r="B1772" s="2" t="s">
        <v>863</v>
      </c>
      <c r="C1772" s="2" t="s">
        <v>39</v>
      </c>
      <c r="D1772" s="2" t="s">
        <v>16</v>
      </c>
      <c r="E1772" s="2" t="s">
        <v>81</v>
      </c>
      <c r="F1772" s="2" t="s">
        <v>18</v>
      </c>
      <c r="G1772" s="1">
        <v>0</v>
      </c>
      <c r="H1772" s="1">
        <v>427</v>
      </c>
      <c r="I1772" s="2" t="s">
        <v>37</v>
      </c>
      <c r="J1772" s="2" t="s">
        <v>20</v>
      </c>
      <c r="K1772" s="1">
        <v>481.68</v>
      </c>
      <c r="L1772" s="3">
        <v>45390</v>
      </c>
    </row>
    <row r="1773" spans="1:12" x14ac:dyDescent="0.25">
      <c r="A1773" s="1">
        <v>101237</v>
      </c>
      <c r="B1773" s="2" t="s">
        <v>151</v>
      </c>
      <c r="C1773" s="2" t="s">
        <v>152</v>
      </c>
      <c r="D1773" s="2" t="s">
        <v>50</v>
      </c>
      <c r="E1773" s="2" t="s">
        <v>31</v>
      </c>
      <c r="F1773" s="2" t="s">
        <v>83</v>
      </c>
      <c r="G1773" s="1">
        <v>0</v>
      </c>
      <c r="H1773" s="1">
        <v>534</v>
      </c>
      <c r="I1773" s="2" t="s">
        <v>32</v>
      </c>
      <c r="J1773" s="2" t="s">
        <v>35</v>
      </c>
      <c r="K1773" s="1">
        <v>405.72</v>
      </c>
      <c r="L1773" s="3">
        <v>45390</v>
      </c>
    </row>
    <row r="1774" spans="1:12" x14ac:dyDescent="0.25">
      <c r="A1774" s="1">
        <v>100997</v>
      </c>
      <c r="B1774" s="2" t="s">
        <v>198</v>
      </c>
      <c r="C1774" s="2" t="s">
        <v>134</v>
      </c>
      <c r="D1774" s="2" t="s">
        <v>50</v>
      </c>
      <c r="E1774" s="2" t="s">
        <v>17</v>
      </c>
      <c r="F1774" s="2" t="s">
        <v>42</v>
      </c>
      <c r="G1774" s="1">
        <v>63</v>
      </c>
      <c r="H1774" s="1">
        <v>555</v>
      </c>
      <c r="I1774" s="2" t="s">
        <v>56</v>
      </c>
      <c r="J1774" s="2" t="s">
        <v>20</v>
      </c>
      <c r="K1774" s="1">
        <v>346.84</v>
      </c>
      <c r="L1774" s="3">
        <v>45390</v>
      </c>
    </row>
    <row r="1775" spans="1:12" x14ac:dyDescent="0.25">
      <c r="A1775" s="1">
        <v>101747</v>
      </c>
      <c r="B1775" s="2" t="s">
        <v>1155</v>
      </c>
      <c r="C1775" s="2" t="s">
        <v>218</v>
      </c>
      <c r="D1775" s="2" t="s">
        <v>106</v>
      </c>
      <c r="E1775" s="2" t="s">
        <v>31</v>
      </c>
      <c r="F1775" s="2" t="s">
        <v>18</v>
      </c>
      <c r="G1775" s="1">
        <v>0</v>
      </c>
      <c r="H1775" s="1">
        <v>557</v>
      </c>
      <c r="I1775" s="2" t="s">
        <v>56</v>
      </c>
      <c r="J1775" s="2" t="s">
        <v>26</v>
      </c>
      <c r="K1775" s="1">
        <v>160.21</v>
      </c>
      <c r="L1775" s="3">
        <v>45390</v>
      </c>
    </row>
    <row r="1776" spans="1:12" x14ac:dyDescent="0.25">
      <c r="A1776" s="1">
        <v>100432</v>
      </c>
      <c r="B1776" s="2" t="s">
        <v>367</v>
      </c>
      <c r="C1776" s="2" t="s">
        <v>103</v>
      </c>
      <c r="D1776" s="2" t="s">
        <v>50</v>
      </c>
      <c r="E1776" s="2" t="s">
        <v>81</v>
      </c>
      <c r="F1776" s="2" t="s">
        <v>83</v>
      </c>
      <c r="G1776" s="1">
        <v>0</v>
      </c>
      <c r="H1776" s="1">
        <v>621</v>
      </c>
      <c r="I1776" s="2" t="s">
        <v>37</v>
      </c>
      <c r="J1776" s="2" t="s">
        <v>20</v>
      </c>
      <c r="K1776" s="1">
        <v>148.61000000000001</v>
      </c>
      <c r="L1776" s="3">
        <v>45390</v>
      </c>
    </row>
    <row r="1777" spans="1:12" x14ac:dyDescent="0.25">
      <c r="A1777" s="1">
        <v>101986</v>
      </c>
      <c r="B1777" s="2" t="s">
        <v>347</v>
      </c>
      <c r="C1777" s="2" t="s">
        <v>95</v>
      </c>
      <c r="D1777" s="2" t="s">
        <v>41</v>
      </c>
      <c r="E1777" s="2" t="s">
        <v>17</v>
      </c>
      <c r="F1777" s="2" t="s">
        <v>25</v>
      </c>
      <c r="G1777" s="1">
        <v>11</v>
      </c>
      <c r="H1777" s="1">
        <v>699</v>
      </c>
      <c r="I1777" s="2" t="s">
        <v>37</v>
      </c>
      <c r="J1777" s="2" t="s">
        <v>20</v>
      </c>
      <c r="K1777" s="1">
        <v>116.06</v>
      </c>
      <c r="L1777" s="3">
        <v>45390</v>
      </c>
    </row>
    <row r="1778" spans="1:12" x14ac:dyDescent="0.25">
      <c r="A1778" s="1">
        <v>101351</v>
      </c>
      <c r="B1778" s="2" t="s">
        <v>438</v>
      </c>
      <c r="C1778" s="2" t="s">
        <v>95</v>
      </c>
      <c r="D1778" s="2" t="s">
        <v>16</v>
      </c>
      <c r="E1778" s="2" t="s">
        <v>17</v>
      </c>
      <c r="F1778" s="2" t="s">
        <v>25</v>
      </c>
      <c r="G1778" s="1">
        <v>7</v>
      </c>
      <c r="H1778" s="1">
        <v>858</v>
      </c>
      <c r="I1778" s="2" t="s">
        <v>56</v>
      </c>
      <c r="J1778" s="2" t="s">
        <v>20</v>
      </c>
      <c r="K1778" s="1">
        <v>664.98</v>
      </c>
      <c r="L1778" s="3">
        <v>45389</v>
      </c>
    </row>
    <row r="1779" spans="1:12" x14ac:dyDescent="0.25">
      <c r="A1779" s="1">
        <v>101268</v>
      </c>
      <c r="B1779" s="2" t="s">
        <v>129</v>
      </c>
      <c r="C1779" s="2" t="s">
        <v>35</v>
      </c>
      <c r="D1779" s="2" t="s">
        <v>106</v>
      </c>
      <c r="E1779" s="2" t="s">
        <v>70</v>
      </c>
      <c r="F1779" s="2" t="s">
        <v>18</v>
      </c>
      <c r="G1779" s="1">
        <v>0</v>
      </c>
      <c r="H1779" s="1">
        <v>336</v>
      </c>
      <c r="I1779" s="2" t="s">
        <v>37</v>
      </c>
      <c r="J1779" s="2" t="s">
        <v>26</v>
      </c>
      <c r="K1779" s="1"/>
      <c r="L1779" s="3">
        <v>45389</v>
      </c>
    </row>
    <row r="1780" spans="1:12" x14ac:dyDescent="0.25">
      <c r="A1780" s="1">
        <v>101501</v>
      </c>
      <c r="B1780" s="2" t="s">
        <v>184</v>
      </c>
      <c r="C1780" s="2" t="s">
        <v>62</v>
      </c>
      <c r="D1780" s="2" t="s">
        <v>64</v>
      </c>
      <c r="E1780" s="2" t="s">
        <v>31</v>
      </c>
      <c r="F1780" s="2" t="s">
        <v>83</v>
      </c>
      <c r="G1780" s="1">
        <v>0</v>
      </c>
      <c r="H1780" s="1">
        <v>571</v>
      </c>
      <c r="I1780" s="2" t="s">
        <v>32</v>
      </c>
      <c r="J1780" s="2" t="s">
        <v>20</v>
      </c>
      <c r="K1780" s="1">
        <v>825.25</v>
      </c>
      <c r="L1780" s="3">
        <v>45388</v>
      </c>
    </row>
    <row r="1781" spans="1:12" x14ac:dyDescent="0.25">
      <c r="A1781" s="1">
        <v>101314</v>
      </c>
      <c r="B1781" s="2" t="s">
        <v>376</v>
      </c>
      <c r="C1781" s="2" t="s">
        <v>22</v>
      </c>
      <c r="D1781" s="2" t="s">
        <v>106</v>
      </c>
      <c r="E1781" s="2" t="s">
        <v>17</v>
      </c>
      <c r="F1781" s="2" t="s">
        <v>18</v>
      </c>
      <c r="G1781" s="1">
        <v>0</v>
      </c>
      <c r="H1781" s="1">
        <v>340</v>
      </c>
      <c r="I1781" s="2" t="s">
        <v>37</v>
      </c>
      <c r="J1781" s="2" t="s">
        <v>33</v>
      </c>
      <c r="K1781" s="1">
        <v>511.73</v>
      </c>
      <c r="L1781" s="3">
        <v>45388</v>
      </c>
    </row>
    <row r="1782" spans="1:12" x14ac:dyDescent="0.25">
      <c r="A1782" s="1">
        <v>101671</v>
      </c>
      <c r="B1782" s="2" t="s">
        <v>1300</v>
      </c>
      <c r="C1782" s="2" t="s">
        <v>103</v>
      </c>
      <c r="D1782" s="2" t="s">
        <v>16</v>
      </c>
      <c r="E1782" s="2" t="s">
        <v>55</v>
      </c>
      <c r="F1782" s="2" t="s">
        <v>18</v>
      </c>
      <c r="G1782" s="1">
        <v>0</v>
      </c>
      <c r="H1782" s="1">
        <v>374</v>
      </c>
      <c r="I1782" s="2" t="s">
        <v>19</v>
      </c>
      <c r="J1782" s="2" t="s">
        <v>26</v>
      </c>
      <c r="K1782" s="1">
        <v>470.26</v>
      </c>
      <c r="L1782" s="3">
        <v>45388</v>
      </c>
    </row>
    <row r="1783" spans="1:12" x14ac:dyDescent="0.25">
      <c r="A1783" s="1">
        <v>100031</v>
      </c>
      <c r="B1783" s="2" t="s">
        <v>179</v>
      </c>
      <c r="C1783" s="2" t="s">
        <v>149</v>
      </c>
      <c r="D1783" s="2" t="s">
        <v>64</v>
      </c>
      <c r="E1783" s="2" t="s">
        <v>17</v>
      </c>
      <c r="F1783" s="2" t="s">
        <v>18</v>
      </c>
      <c r="G1783" s="1">
        <v>0</v>
      </c>
      <c r="H1783" s="1">
        <v>518</v>
      </c>
      <c r="I1783" s="2" t="s">
        <v>19</v>
      </c>
      <c r="J1783" s="2" t="s">
        <v>20</v>
      </c>
      <c r="K1783" s="1">
        <v>422.17</v>
      </c>
      <c r="L1783" s="3">
        <v>45388</v>
      </c>
    </row>
    <row r="1784" spans="1:12" x14ac:dyDescent="0.25">
      <c r="A1784" s="1">
        <v>101452</v>
      </c>
      <c r="B1784" s="2" t="s">
        <v>616</v>
      </c>
      <c r="C1784" s="2" t="s">
        <v>95</v>
      </c>
      <c r="D1784" s="2" t="s">
        <v>41</v>
      </c>
      <c r="E1784" s="2" t="s">
        <v>70</v>
      </c>
      <c r="F1784" s="2" t="s">
        <v>83</v>
      </c>
      <c r="G1784" s="1">
        <v>0</v>
      </c>
      <c r="H1784" s="1">
        <v>898</v>
      </c>
      <c r="I1784" s="2" t="s">
        <v>19</v>
      </c>
      <c r="J1784" s="2" t="s">
        <v>20</v>
      </c>
      <c r="K1784" s="1">
        <v>204.66</v>
      </c>
      <c r="L1784" s="3">
        <v>45388</v>
      </c>
    </row>
    <row r="1785" spans="1:12" x14ac:dyDescent="0.25">
      <c r="A1785" s="1">
        <v>100182</v>
      </c>
      <c r="B1785" s="2" t="s">
        <v>840</v>
      </c>
      <c r="C1785" s="2" t="s">
        <v>187</v>
      </c>
      <c r="D1785" s="2" t="s">
        <v>16</v>
      </c>
      <c r="E1785" s="2" t="s">
        <v>78</v>
      </c>
      <c r="F1785" s="2" t="s">
        <v>18</v>
      </c>
      <c r="G1785" s="1">
        <v>0</v>
      </c>
      <c r="H1785" s="1">
        <v>519</v>
      </c>
      <c r="I1785" s="2" t="s">
        <v>37</v>
      </c>
      <c r="J1785" s="2" t="s">
        <v>26</v>
      </c>
      <c r="K1785" s="1">
        <v>489.3</v>
      </c>
      <c r="L1785" s="3">
        <v>45387</v>
      </c>
    </row>
    <row r="1786" spans="1:12" x14ac:dyDescent="0.25">
      <c r="A1786" s="1">
        <v>101713</v>
      </c>
      <c r="B1786" s="2" t="s">
        <v>102</v>
      </c>
      <c r="C1786" s="2" t="s">
        <v>103</v>
      </c>
      <c r="D1786" s="2" t="s">
        <v>50</v>
      </c>
      <c r="E1786" s="2" t="s">
        <v>78</v>
      </c>
      <c r="F1786" s="2" t="s">
        <v>42</v>
      </c>
      <c r="G1786" s="1">
        <v>46</v>
      </c>
      <c r="H1786" s="1">
        <v>733</v>
      </c>
      <c r="I1786" s="2" t="s">
        <v>37</v>
      </c>
      <c r="J1786" s="2" t="s">
        <v>20</v>
      </c>
      <c r="K1786" s="1">
        <v>418.15</v>
      </c>
      <c r="L1786" s="3">
        <v>45387</v>
      </c>
    </row>
    <row r="1787" spans="1:12" x14ac:dyDescent="0.25">
      <c r="A1787" s="1">
        <v>100211</v>
      </c>
      <c r="B1787" s="2" t="s">
        <v>388</v>
      </c>
      <c r="C1787" s="2" t="s">
        <v>142</v>
      </c>
      <c r="D1787" s="2" t="s">
        <v>50</v>
      </c>
      <c r="E1787" s="2" t="s">
        <v>55</v>
      </c>
      <c r="F1787" s="2" t="s">
        <v>18</v>
      </c>
      <c r="G1787" s="1">
        <v>0</v>
      </c>
      <c r="H1787" s="1">
        <v>662</v>
      </c>
      <c r="I1787" s="2" t="s">
        <v>32</v>
      </c>
      <c r="J1787" s="2" t="s">
        <v>20</v>
      </c>
      <c r="K1787" s="1">
        <v>269.89</v>
      </c>
      <c r="L1787" s="3">
        <v>45387</v>
      </c>
    </row>
    <row r="1788" spans="1:12" x14ac:dyDescent="0.25">
      <c r="A1788" s="1">
        <v>101858</v>
      </c>
      <c r="B1788" s="2" t="s">
        <v>601</v>
      </c>
      <c r="C1788" s="2" t="s">
        <v>100</v>
      </c>
      <c r="D1788" s="2" t="s">
        <v>64</v>
      </c>
      <c r="E1788" s="2" t="s">
        <v>17</v>
      </c>
      <c r="F1788" s="2" t="s">
        <v>18</v>
      </c>
      <c r="G1788" s="1">
        <v>0</v>
      </c>
      <c r="H1788" s="1">
        <v>849</v>
      </c>
      <c r="I1788" s="2" t="s">
        <v>56</v>
      </c>
      <c r="J1788" s="2" t="s">
        <v>20</v>
      </c>
      <c r="K1788" s="1">
        <v>258.94</v>
      </c>
      <c r="L1788" s="3">
        <v>45387</v>
      </c>
    </row>
    <row r="1789" spans="1:12" x14ac:dyDescent="0.25">
      <c r="A1789" s="1">
        <v>102029</v>
      </c>
      <c r="B1789" s="2" t="s">
        <v>890</v>
      </c>
      <c r="C1789" s="2" t="s">
        <v>149</v>
      </c>
      <c r="D1789" s="2" t="s">
        <v>50</v>
      </c>
      <c r="E1789" s="2" t="s">
        <v>78</v>
      </c>
      <c r="F1789" s="2" t="s">
        <v>83</v>
      </c>
      <c r="G1789" s="1" t="s">
        <v>35</v>
      </c>
      <c r="H1789" s="1">
        <v>733</v>
      </c>
      <c r="I1789" s="2" t="s">
        <v>19</v>
      </c>
      <c r="J1789" s="2" t="s">
        <v>20</v>
      </c>
      <c r="K1789" s="1">
        <v>255.01</v>
      </c>
      <c r="L1789" s="3">
        <v>45387</v>
      </c>
    </row>
    <row r="1790" spans="1:12" x14ac:dyDescent="0.25">
      <c r="A1790" s="1">
        <v>101835</v>
      </c>
      <c r="B1790" s="2" t="s">
        <v>671</v>
      </c>
      <c r="C1790" s="2" t="s">
        <v>122</v>
      </c>
      <c r="D1790" s="2" t="s">
        <v>16</v>
      </c>
      <c r="E1790" s="2" t="s">
        <v>70</v>
      </c>
      <c r="F1790" s="2" t="s">
        <v>83</v>
      </c>
      <c r="G1790" s="1">
        <v>0</v>
      </c>
      <c r="H1790" s="1">
        <v>302</v>
      </c>
      <c r="I1790" s="2" t="s">
        <v>19</v>
      </c>
      <c r="J1790" s="2" t="s">
        <v>20</v>
      </c>
      <c r="K1790" s="1">
        <v>981.89</v>
      </c>
      <c r="L1790" s="3">
        <v>45386</v>
      </c>
    </row>
    <row r="1791" spans="1:12" x14ac:dyDescent="0.25">
      <c r="A1791" s="1">
        <v>100115</v>
      </c>
      <c r="B1791" s="2" t="s">
        <v>38</v>
      </c>
      <c r="C1791" s="2" t="s">
        <v>39</v>
      </c>
      <c r="D1791" s="2" t="s">
        <v>64</v>
      </c>
      <c r="E1791" s="2" t="s">
        <v>81</v>
      </c>
      <c r="F1791" s="2" t="s">
        <v>18</v>
      </c>
      <c r="G1791" s="1">
        <v>0</v>
      </c>
      <c r="H1791" s="1">
        <v>533</v>
      </c>
      <c r="I1791" s="2" t="s">
        <v>19</v>
      </c>
      <c r="J1791" s="2" t="s">
        <v>33</v>
      </c>
      <c r="K1791" s="1">
        <v>466.34</v>
      </c>
      <c r="L1791" s="3">
        <v>45386</v>
      </c>
    </row>
    <row r="1792" spans="1:12" x14ac:dyDescent="0.25">
      <c r="A1792" s="1">
        <v>101976</v>
      </c>
      <c r="B1792" s="2" t="s">
        <v>438</v>
      </c>
      <c r="C1792" s="2" t="s">
        <v>95</v>
      </c>
      <c r="D1792" s="2" t="s">
        <v>64</v>
      </c>
      <c r="E1792" s="2" t="s">
        <v>55</v>
      </c>
      <c r="F1792" s="2" t="s">
        <v>25</v>
      </c>
      <c r="G1792" s="1">
        <v>21</v>
      </c>
      <c r="H1792" s="1">
        <v>858</v>
      </c>
      <c r="I1792" s="2" t="s">
        <v>45</v>
      </c>
      <c r="J1792" s="2" t="s">
        <v>20</v>
      </c>
      <c r="K1792" s="1">
        <v>348.87</v>
      </c>
      <c r="L1792" s="3">
        <v>45386</v>
      </c>
    </row>
    <row r="1793" spans="1:12" x14ac:dyDescent="0.25">
      <c r="A1793" s="1">
        <v>101013</v>
      </c>
      <c r="B1793" s="2" t="s">
        <v>1451</v>
      </c>
      <c r="C1793" s="2" t="s">
        <v>52</v>
      </c>
      <c r="D1793" s="2" t="s">
        <v>106</v>
      </c>
      <c r="E1793" s="2" t="s">
        <v>55</v>
      </c>
      <c r="F1793" s="2" t="s">
        <v>25</v>
      </c>
      <c r="G1793" s="1">
        <v>24</v>
      </c>
      <c r="H1793" s="1">
        <v>362</v>
      </c>
      <c r="I1793" s="2" t="s">
        <v>56</v>
      </c>
      <c r="J1793" s="2" t="s">
        <v>26</v>
      </c>
      <c r="K1793" s="1">
        <v>341.27</v>
      </c>
      <c r="L1793" s="3">
        <v>45386</v>
      </c>
    </row>
    <row r="1794" spans="1:12" x14ac:dyDescent="0.25">
      <c r="A1794" s="1">
        <v>101850</v>
      </c>
      <c r="B1794" s="2" t="s">
        <v>607</v>
      </c>
      <c r="C1794" s="2" t="s">
        <v>134</v>
      </c>
      <c r="D1794" s="2" t="s">
        <v>16</v>
      </c>
      <c r="E1794" s="2" t="s">
        <v>60</v>
      </c>
      <c r="F1794" s="2" t="s">
        <v>18</v>
      </c>
      <c r="G1794" s="1">
        <v>0</v>
      </c>
      <c r="H1794" s="1">
        <v>458</v>
      </c>
      <c r="I1794" s="2" t="s">
        <v>19</v>
      </c>
      <c r="J1794" s="2" t="s">
        <v>20</v>
      </c>
      <c r="K1794" s="1">
        <v>300.68</v>
      </c>
      <c r="L1794" s="3">
        <v>45386</v>
      </c>
    </row>
    <row r="1795" spans="1:12" x14ac:dyDescent="0.25">
      <c r="A1795" s="1">
        <v>101307</v>
      </c>
      <c r="B1795" s="2" t="s">
        <v>344</v>
      </c>
      <c r="C1795" s="2" t="s">
        <v>244</v>
      </c>
      <c r="D1795" s="2" t="s">
        <v>64</v>
      </c>
      <c r="E1795" s="2" t="s">
        <v>78</v>
      </c>
      <c r="F1795" s="2" t="s">
        <v>18</v>
      </c>
      <c r="G1795" s="1">
        <v>0</v>
      </c>
      <c r="H1795" s="1">
        <v>792</v>
      </c>
      <c r="I1795" s="2" t="s">
        <v>37</v>
      </c>
      <c r="J1795" s="2" t="s">
        <v>20</v>
      </c>
      <c r="K1795" s="1">
        <v>269.41500000000002</v>
      </c>
      <c r="L1795" s="3">
        <v>45386</v>
      </c>
    </row>
    <row r="1796" spans="1:12" x14ac:dyDescent="0.25">
      <c r="A1796" s="1">
        <v>102121</v>
      </c>
      <c r="B1796" s="2" t="s">
        <v>418</v>
      </c>
      <c r="C1796" s="2" t="s">
        <v>52</v>
      </c>
      <c r="D1796" s="2" t="s">
        <v>106</v>
      </c>
      <c r="E1796" s="2" t="s">
        <v>81</v>
      </c>
      <c r="F1796" s="2" t="s">
        <v>18</v>
      </c>
      <c r="G1796" s="1">
        <v>0</v>
      </c>
      <c r="H1796" s="1">
        <v>371</v>
      </c>
      <c r="I1796" s="2" t="s">
        <v>19</v>
      </c>
      <c r="J1796" s="2" t="s">
        <v>33</v>
      </c>
      <c r="K1796" s="1">
        <v>196.68</v>
      </c>
      <c r="L1796" s="3">
        <v>45386</v>
      </c>
    </row>
    <row r="1797" spans="1:12" x14ac:dyDescent="0.25">
      <c r="A1797" s="1">
        <v>102111</v>
      </c>
      <c r="B1797" s="2" t="s">
        <v>222</v>
      </c>
      <c r="C1797" s="2" t="s">
        <v>100</v>
      </c>
      <c r="D1797" s="2" t="s">
        <v>106</v>
      </c>
      <c r="E1797" s="2" t="s">
        <v>55</v>
      </c>
      <c r="F1797" s="2" t="s">
        <v>25</v>
      </c>
      <c r="G1797" s="1">
        <v>10</v>
      </c>
      <c r="H1797" s="1">
        <v>585</v>
      </c>
      <c r="I1797" s="2" t="s">
        <v>45</v>
      </c>
      <c r="J1797" s="2" t="s">
        <v>26</v>
      </c>
      <c r="K1797" s="1">
        <v>160.79</v>
      </c>
      <c r="L1797" s="3">
        <v>45386</v>
      </c>
    </row>
    <row r="1798" spans="1:12" x14ac:dyDescent="0.25">
      <c r="A1798" s="1">
        <v>101301</v>
      </c>
      <c r="B1798" s="2" t="s">
        <v>358</v>
      </c>
      <c r="C1798" s="2" t="s">
        <v>110</v>
      </c>
      <c r="D1798" s="2" t="s">
        <v>50</v>
      </c>
      <c r="E1798" s="2" t="s">
        <v>78</v>
      </c>
      <c r="F1798" s="2" t="s">
        <v>83</v>
      </c>
      <c r="G1798" s="1">
        <v>0</v>
      </c>
      <c r="H1798" s="1">
        <v>481</v>
      </c>
      <c r="I1798" s="2" t="s">
        <v>56</v>
      </c>
      <c r="J1798" s="2" t="s">
        <v>26</v>
      </c>
      <c r="K1798" s="1">
        <v>537.72</v>
      </c>
      <c r="L1798" s="3">
        <v>45385</v>
      </c>
    </row>
    <row r="1799" spans="1:12" x14ac:dyDescent="0.25">
      <c r="A1799" s="1">
        <v>101183</v>
      </c>
      <c r="B1799" s="2" t="s">
        <v>2030</v>
      </c>
      <c r="C1799" s="2" t="s">
        <v>168</v>
      </c>
      <c r="D1799" s="2" t="s">
        <v>16</v>
      </c>
      <c r="E1799" s="2" t="s">
        <v>17</v>
      </c>
      <c r="F1799" s="2" t="s">
        <v>18</v>
      </c>
      <c r="G1799" s="1">
        <v>0</v>
      </c>
      <c r="H1799" s="1">
        <v>768</v>
      </c>
      <c r="I1799" s="2" t="s">
        <v>37</v>
      </c>
      <c r="J1799" s="2" t="s">
        <v>26</v>
      </c>
      <c r="K1799" s="1">
        <v>341.56</v>
      </c>
      <c r="L1799" s="3">
        <v>45385</v>
      </c>
    </row>
    <row r="1800" spans="1:12" x14ac:dyDescent="0.25">
      <c r="A1800" s="1">
        <v>101533</v>
      </c>
      <c r="B1800" s="2" t="s">
        <v>71</v>
      </c>
      <c r="C1800" s="2" t="s">
        <v>72</v>
      </c>
      <c r="D1800" s="2" t="s">
        <v>50</v>
      </c>
      <c r="E1800" s="2" t="s">
        <v>78</v>
      </c>
      <c r="F1800" s="2" t="s">
        <v>18</v>
      </c>
      <c r="G1800" s="1">
        <v>0</v>
      </c>
      <c r="H1800" s="1">
        <v>841</v>
      </c>
      <c r="I1800" s="2" t="s">
        <v>56</v>
      </c>
      <c r="J1800" s="2" t="s">
        <v>20</v>
      </c>
      <c r="K1800" s="1">
        <v>318.14</v>
      </c>
      <c r="L1800" s="3">
        <v>45385</v>
      </c>
    </row>
    <row r="1801" spans="1:12" x14ac:dyDescent="0.25">
      <c r="A1801" s="1">
        <v>100253</v>
      </c>
      <c r="B1801" s="2" t="s">
        <v>215</v>
      </c>
      <c r="C1801" s="2" t="s">
        <v>126</v>
      </c>
      <c r="D1801" s="2" t="s">
        <v>41</v>
      </c>
      <c r="E1801" s="2" t="s">
        <v>81</v>
      </c>
      <c r="F1801" s="2" t="s">
        <v>25</v>
      </c>
      <c r="G1801" s="1">
        <v>16</v>
      </c>
      <c r="H1801" s="1">
        <v>395</v>
      </c>
      <c r="I1801" s="2" t="s">
        <v>37</v>
      </c>
      <c r="J1801" s="2" t="s">
        <v>26</v>
      </c>
      <c r="K1801" s="1">
        <v>274.01</v>
      </c>
      <c r="L1801" s="3">
        <v>45385</v>
      </c>
    </row>
    <row r="1802" spans="1:12" x14ac:dyDescent="0.25">
      <c r="A1802" s="1">
        <v>101312</v>
      </c>
      <c r="B1802" s="2" t="s">
        <v>563</v>
      </c>
      <c r="C1802" s="2" t="s">
        <v>58</v>
      </c>
      <c r="D1802" s="2" t="s">
        <v>50</v>
      </c>
      <c r="E1802" s="2" t="s">
        <v>78</v>
      </c>
      <c r="F1802" s="2" t="s">
        <v>18</v>
      </c>
      <c r="G1802" s="1">
        <v>0</v>
      </c>
      <c r="H1802" s="1">
        <v>893</v>
      </c>
      <c r="I1802" s="2" t="s">
        <v>45</v>
      </c>
      <c r="J1802" s="2" t="s">
        <v>20</v>
      </c>
      <c r="K1802" s="1">
        <v>165.35</v>
      </c>
      <c r="L1802" s="3">
        <v>45385</v>
      </c>
    </row>
    <row r="1803" spans="1:12" x14ac:dyDescent="0.25">
      <c r="A1803" s="1">
        <v>101129</v>
      </c>
      <c r="B1803" s="2" t="s">
        <v>928</v>
      </c>
      <c r="C1803" s="2" t="s">
        <v>110</v>
      </c>
      <c r="D1803" s="2" t="s">
        <v>50</v>
      </c>
      <c r="E1803" s="2" t="s">
        <v>78</v>
      </c>
      <c r="F1803" s="2" t="s">
        <v>18</v>
      </c>
      <c r="G1803" s="1">
        <v>0</v>
      </c>
      <c r="H1803" s="1">
        <v>409</v>
      </c>
      <c r="I1803" s="2" t="s">
        <v>56</v>
      </c>
      <c r="J1803" s="2" t="s">
        <v>20</v>
      </c>
      <c r="K1803" s="1">
        <v>114.09</v>
      </c>
      <c r="L1803" s="3">
        <v>45384</v>
      </c>
    </row>
    <row r="1804" spans="1:12" x14ac:dyDescent="0.25">
      <c r="A1804" s="1">
        <v>100152</v>
      </c>
      <c r="B1804" s="2" t="s">
        <v>329</v>
      </c>
      <c r="C1804" s="2" t="s">
        <v>270</v>
      </c>
      <c r="D1804" s="2" t="s">
        <v>50</v>
      </c>
      <c r="E1804" s="2" t="s">
        <v>55</v>
      </c>
      <c r="F1804" s="2" t="s">
        <v>25</v>
      </c>
      <c r="G1804" s="1">
        <v>4</v>
      </c>
      <c r="H1804" s="1">
        <v>328</v>
      </c>
      <c r="I1804" s="2" t="s">
        <v>32</v>
      </c>
      <c r="J1804" s="2" t="s">
        <v>33</v>
      </c>
      <c r="K1804" s="1">
        <v>1174.74</v>
      </c>
      <c r="L1804" s="3">
        <v>45383</v>
      </c>
    </row>
    <row r="1805" spans="1:12" x14ac:dyDescent="0.25">
      <c r="A1805" s="1">
        <v>101811</v>
      </c>
      <c r="B1805" s="2" t="s">
        <v>1203</v>
      </c>
      <c r="C1805" s="2" t="s">
        <v>187</v>
      </c>
      <c r="D1805" s="2" t="s">
        <v>50</v>
      </c>
      <c r="E1805" s="2" t="s">
        <v>78</v>
      </c>
      <c r="F1805" s="2" t="s">
        <v>18</v>
      </c>
      <c r="G1805" s="1">
        <v>0</v>
      </c>
      <c r="H1805" s="1">
        <v>752</v>
      </c>
      <c r="I1805" s="2" t="s">
        <v>32</v>
      </c>
      <c r="J1805" s="2" t="s">
        <v>33</v>
      </c>
      <c r="K1805" s="1">
        <v>1075.19</v>
      </c>
      <c r="L1805" s="3">
        <v>45383</v>
      </c>
    </row>
    <row r="1806" spans="1:12" x14ac:dyDescent="0.25">
      <c r="A1806" s="1">
        <v>100548</v>
      </c>
      <c r="B1806" s="2" t="s">
        <v>292</v>
      </c>
      <c r="C1806" s="2" t="s">
        <v>149</v>
      </c>
      <c r="D1806" s="2" t="s">
        <v>50</v>
      </c>
      <c r="E1806" s="2" t="s">
        <v>78</v>
      </c>
      <c r="F1806" s="2" t="s">
        <v>18</v>
      </c>
      <c r="G1806" s="1">
        <v>0</v>
      </c>
      <c r="H1806" s="1">
        <v>466</v>
      </c>
      <c r="I1806" s="2" t="s">
        <v>32</v>
      </c>
      <c r="J1806" s="2" t="s">
        <v>33</v>
      </c>
      <c r="K1806" s="1">
        <v>427.53</v>
      </c>
      <c r="L1806" s="3">
        <v>45383</v>
      </c>
    </row>
    <row r="1807" spans="1:12" x14ac:dyDescent="0.25">
      <c r="A1807" s="1">
        <v>101295</v>
      </c>
      <c r="B1807" s="2" t="s">
        <v>558</v>
      </c>
      <c r="C1807" s="2" t="s">
        <v>218</v>
      </c>
      <c r="D1807" s="2" t="s">
        <v>50</v>
      </c>
      <c r="E1807" s="2" t="s">
        <v>81</v>
      </c>
      <c r="F1807" s="2" t="s">
        <v>18</v>
      </c>
      <c r="G1807" s="1">
        <v>0</v>
      </c>
      <c r="H1807" s="1">
        <v>784</v>
      </c>
      <c r="I1807" s="2" t="s">
        <v>35</v>
      </c>
      <c r="J1807" s="2" t="s">
        <v>26</v>
      </c>
      <c r="K1807" s="1">
        <v>216.55</v>
      </c>
      <c r="L1807" s="3">
        <v>45383</v>
      </c>
    </row>
    <row r="1808" spans="1:12" x14ac:dyDescent="0.25">
      <c r="A1808" s="1">
        <v>100595</v>
      </c>
      <c r="B1808" s="2" t="s">
        <v>294</v>
      </c>
      <c r="C1808" s="2" t="s">
        <v>100</v>
      </c>
      <c r="D1808" s="2" t="s">
        <v>106</v>
      </c>
      <c r="E1808" s="2" t="s">
        <v>81</v>
      </c>
      <c r="F1808" s="2" t="s">
        <v>18</v>
      </c>
      <c r="G1808" s="1">
        <v>0</v>
      </c>
      <c r="H1808" s="1">
        <v>377</v>
      </c>
      <c r="I1808" s="2" t="s">
        <v>45</v>
      </c>
      <c r="J1808" s="2" t="s">
        <v>26</v>
      </c>
      <c r="K1808" s="1">
        <v>70.03</v>
      </c>
      <c r="L1808" s="3">
        <v>45383</v>
      </c>
    </row>
    <row r="1809" spans="1:12" x14ac:dyDescent="0.25">
      <c r="A1809" s="1">
        <v>100339</v>
      </c>
      <c r="B1809" s="2" t="s">
        <v>657</v>
      </c>
      <c r="C1809" s="2" t="s">
        <v>52</v>
      </c>
      <c r="D1809" s="2" t="s">
        <v>64</v>
      </c>
      <c r="E1809" s="2" t="s">
        <v>55</v>
      </c>
      <c r="F1809" s="2" t="s">
        <v>18</v>
      </c>
      <c r="G1809" s="1">
        <v>0</v>
      </c>
      <c r="H1809" s="1">
        <v>518</v>
      </c>
      <c r="I1809" s="2" t="s">
        <v>56</v>
      </c>
      <c r="J1809" s="2" t="s">
        <v>20</v>
      </c>
      <c r="K1809" s="1">
        <v>1260.92</v>
      </c>
      <c r="L1809" s="3">
        <v>45382</v>
      </c>
    </row>
    <row r="1810" spans="1:12" x14ac:dyDescent="0.25">
      <c r="A1810" s="1">
        <v>101496</v>
      </c>
      <c r="B1810" s="2" t="s">
        <v>563</v>
      </c>
      <c r="C1810" s="2" t="s">
        <v>58</v>
      </c>
      <c r="D1810" s="2" t="s">
        <v>106</v>
      </c>
      <c r="E1810" s="2" t="s">
        <v>78</v>
      </c>
      <c r="F1810" s="2" t="s">
        <v>42</v>
      </c>
      <c r="G1810" s="1">
        <v>174</v>
      </c>
      <c r="H1810" s="1">
        <v>893</v>
      </c>
      <c r="I1810" s="2" t="s">
        <v>32</v>
      </c>
      <c r="J1810" s="2" t="s">
        <v>33</v>
      </c>
      <c r="K1810" s="1">
        <v>558.59</v>
      </c>
      <c r="L1810" s="3">
        <v>45382</v>
      </c>
    </row>
    <row r="1811" spans="1:12" x14ac:dyDescent="0.25">
      <c r="A1811" s="1">
        <v>100879</v>
      </c>
      <c r="B1811" s="2" t="s">
        <v>94</v>
      </c>
      <c r="C1811" s="2" t="s">
        <v>95</v>
      </c>
      <c r="D1811" s="2" t="s">
        <v>50</v>
      </c>
      <c r="E1811" s="2" t="s">
        <v>70</v>
      </c>
      <c r="F1811" s="2" t="s">
        <v>18</v>
      </c>
      <c r="G1811" s="1">
        <v>0</v>
      </c>
      <c r="H1811" s="1">
        <v>360</v>
      </c>
      <c r="I1811" s="2" t="s">
        <v>56</v>
      </c>
      <c r="J1811" s="2" t="s">
        <v>26</v>
      </c>
      <c r="K1811" s="1">
        <v>434.68</v>
      </c>
      <c r="L1811" s="3">
        <v>45382</v>
      </c>
    </row>
    <row r="1812" spans="1:12" x14ac:dyDescent="0.25">
      <c r="A1812" s="1">
        <v>101691</v>
      </c>
      <c r="B1812" s="2" t="s">
        <v>61</v>
      </c>
      <c r="C1812" s="2" t="s">
        <v>62</v>
      </c>
      <c r="D1812" s="2" t="s">
        <v>41</v>
      </c>
      <c r="E1812" s="2" t="s">
        <v>78</v>
      </c>
      <c r="F1812" s="2" t="s">
        <v>83</v>
      </c>
      <c r="G1812" s="1">
        <v>0</v>
      </c>
      <c r="H1812" s="1">
        <v>542</v>
      </c>
      <c r="I1812" s="2" t="s">
        <v>19</v>
      </c>
      <c r="J1812" s="2" t="s">
        <v>26</v>
      </c>
      <c r="K1812" s="1">
        <v>394.21</v>
      </c>
      <c r="L1812" s="3">
        <v>45382</v>
      </c>
    </row>
    <row r="1813" spans="1:12" x14ac:dyDescent="0.25">
      <c r="A1813" s="1">
        <v>101157</v>
      </c>
      <c r="B1813" s="2" t="s">
        <v>742</v>
      </c>
      <c r="C1813" s="2" t="s">
        <v>100</v>
      </c>
      <c r="D1813" s="2" t="s">
        <v>64</v>
      </c>
      <c r="E1813" s="2" t="s">
        <v>70</v>
      </c>
      <c r="F1813" s="2" t="s">
        <v>83</v>
      </c>
      <c r="G1813" s="1">
        <v>0</v>
      </c>
      <c r="H1813" s="1">
        <v>571</v>
      </c>
      <c r="I1813" s="2" t="s">
        <v>32</v>
      </c>
      <c r="J1813" s="2" t="s">
        <v>26</v>
      </c>
      <c r="K1813" s="1">
        <v>358.28</v>
      </c>
      <c r="L1813" s="3">
        <v>45382</v>
      </c>
    </row>
    <row r="1814" spans="1:12" x14ac:dyDescent="0.25">
      <c r="A1814" s="1">
        <v>101882</v>
      </c>
      <c r="B1814" s="2" t="s">
        <v>136</v>
      </c>
      <c r="C1814" s="2" t="s">
        <v>58</v>
      </c>
      <c r="D1814" s="2" t="s">
        <v>50</v>
      </c>
      <c r="E1814" s="2" t="s">
        <v>55</v>
      </c>
      <c r="F1814" s="2" t="s">
        <v>83</v>
      </c>
      <c r="G1814" s="1">
        <v>0</v>
      </c>
      <c r="H1814" s="1">
        <v>540</v>
      </c>
      <c r="I1814" s="2" t="s">
        <v>45</v>
      </c>
      <c r="J1814" s="2" t="s">
        <v>26</v>
      </c>
      <c r="K1814" s="1">
        <v>317.73</v>
      </c>
      <c r="L1814" s="3">
        <v>45382</v>
      </c>
    </row>
    <row r="1815" spans="1:12" x14ac:dyDescent="0.25">
      <c r="A1815" s="1">
        <v>101702</v>
      </c>
      <c r="B1815" s="2" t="s">
        <v>355</v>
      </c>
      <c r="C1815" s="2" t="s">
        <v>244</v>
      </c>
      <c r="D1815" s="2" t="s">
        <v>41</v>
      </c>
      <c r="E1815" s="2" t="s">
        <v>70</v>
      </c>
      <c r="F1815" s="2" t="s">
        <v>18</v>
      </c>
      <c r="G1815" s="1">
        <v>0</v>
      </c>
      <c r="H1815" s="1">
        <v>746</v>
      </c>
      <c r="I1815" s="2" t="s">
        <v>56</v>
      </c>
      <c r="J1815" s="2" t="s">
        <v>20</v>
      </c>
      <c r="K1815" s="1">
        <v>84.22</v>
      </c>
      <c r="L1815" s="3">
        <v>45382</v>
      </c>
    </row>
    <row r="1816" spans="1:12" x14ac:dyDescent="0.25">
      <c r="A1816" s="1">
        <v>101123</v>
      </c>
      <c r="B1816" s="2" t="s">
        <v>136</v>
      </c>
      <c r="C1816" s="2" t="s">
        <v>58</v>
      </c>
      <c r="D1816" s="2" t="s">
        <v>16</v>
      </c>
      <c r="E1816" s="2" t="s">
        <v>60</v>
      </c>
      <c r="F1816" s="2" t="s">
        <v>83</v>
      </c>
      <c r="G1816" s="1">
        <v>0</v>
      </c>
      <c r="H1816" s="1">
        <v>540</v>
      </c>
      <c r="I1816" s="2" t="s">
        <v>56</v>
      </c>
      <c r="J1816" s="2" t="s">
        <v>33</v>
      </c>
      <c r="K1816" s="1">
        <v>623.34</v>
      </c>
      <c r="L1816" s="3">
        <v>45381</v>
      </c>
    </row>
    <row r="1817" spans="1:12" x14ac:dyDescent="0.25">
      <c r="A1817" s="1">
        <v>101879</v>
      </c>
      <c r="B1817" s="2" t="s">
        <v>506</v>
      </c>
      <c r="C1817" s="2" t="s">
        <v>58</v>
      </c>
      <c r="D1817" s="2" t="s">
        <v>16</v>
      </c>
      <c r="E1817" s="2" t="s">
        <v>17</v>
      </c>
      <c r="F1817" s="2" t="s">
        <v>83</v>
      </c>
      <c r="G1817" s="1">
        <v>0</v>
      </c>
      <c r="H1817" s="1">
        <v>394</v>
      </c>
      <c r="I1817" s="2" t="s">
        <v>32</v>
      </c>
      <c r="J1817" s="2" t="s">
        <v>20</v>
      </c>
      <c r="K1817" s="1">
        <v>595.57000000000005</v>
      </c>
      <c r="L1817" s="3">
        <v>45381</v>
      </c>
    </row>
    <row r="1818" spans="1:12" x14ac:dyDescent="0.25">
      <c r="A1818" s="1">
        <v>102016</v>
      </c>
      <c r="B1818" s="2" t="s">
        <v>27</v>
      </c>
      <c r="C1818" s="2" t="s">
        <v>28</v>
      </c>
      <c r="D1818" s="2" t="s">
        <v>64</v>
      </c>
      <c r="E1818" s="2" t="s">
        <v>55</v>
      </c>
      <c r="F1818" s="2" t="s">
        <v>18</v>
      </c>
      <c r="G1818" s="1">
        <v>0</v>
      </c>
      <c r="H1818" s="1">
        <v>849</v>
      </c>
      <c r="I1818" s="2" t="s">
        <v>56</v>
      </c>
      <c r="J1818" s="2" t="s">
        <v>33</v>
      </c>
      <c r="K1818" s="1">
        <v>554.25</v>
      </c>
      <c r="L1818" s="3">
        <v>45381</v>
      </c>
    </row>
    <row r="1819" spans="1:12" x14ac:dyDescent="0.25">
      <c r="A1819" s="1">
        <v>100380</v>
      </c>
      <c r="B1819" s="2" t="s">
        <v>84</v>
      </c>
      <c r="C1819" s="2" t="s">
        <v>85</v>
      </c>
      <c r="D1819" s="2" t="s">
        <v>64</v>
      </c>
      <c r="E1819" s="2" t="s">
        <v>70</v>
      </c>
      <c r="F1819" s="2" t="s">
        <v>18</v>
      </c>
      <c r="G1819" s="1">
        <v>0</v>
      </c>
      <c r="H1819" s="1">
        <v>400</v>
      </c>
      <c r="I1819" s="2" t="s">
        <v>45</v>
      </c>
      <c r="J1819" s="2" t="s">
        <v>26</v>
      </c>
      <c r="K1819" s="1">
        <v>387.11</v>
      </c>
      <c r="L1819" s="3">
        <v>45381</v>
      </c>
    </row>
    <row r="1820" spans="1:12" x14ac:dyDescent="0.25">
      <c r="A1820" s="1">
        <v>101358</v>
      </c>
      <c r="B1820" s="2" t="s">
        <v>1053</v>
      </c>
      <c r="C1820" s="2" t="s">
        <v>47</v>
      </c>
      <c r="D1820" s="2" t="s">
        <v>50</v>
      </c>
      <c r="E1820" s="2" t="s">
        <v>55</v>
      </c>
      <c r="F1820" s="2" t="s">
        <v>18</v>
      </c>
      <c r="G1820" s="1">
        <v>0</v>
      </c>
      <c r="H1820" s="1">
        <v>864</v>
      </c>
      <c r="I1820" s="2" t="s">
        <v>37</v>
      </c>
      <c r="J1820" s="2" t="s">
        <v>20</v>
      </c>
      <c r="K1820" s="1">
        <v>294.92</v>
      </c>
      <c r="L1820" s="3">
        <v>45381</v>
      </c>
    </row>
    <row r="1821" spans="1:12" x14ac:dyDescent="0.25">
      <c r="A1821" s="1">
        <v>101855</v>
      </c>
      <c r="B1821" s="2" t="s">
        <v>1435</v>
      </c>
      <c r="C1821" s="2" t="s">
        <v>47</v>
      </c>
      <c r="D1821" s="2" t="s">
        <v>41</v>
      </c>
      <c r="E1821" s="2" t="s">
        <v>31</v>
      </c>
      <c r="F1821" s="2" t="s">
        <v>42</v>
      </c>
      <c r="G1821" s="1">
        <v>31</v>
      </c>
      <c r="H1821" s="1">
        <v>744</v>
      </c>
      <c r="I1821" s="2" t="s">
        <v>19</v>
      </c>
      <c r="J1821" s="2" t="s">
        <v>20</v>
      </c>
      <c r="K1821" s="1">
        <v>270.8</v>
      </c>
      <c r="L1821" s="3">
        <v>45381</v>
      </c>
    </row>
    <row r="1822" spans="1:12" x14ac:dyDescent="0.25">
      <c r="A1822" s="1">
        <v>100933</v>
      </c>
      <c r="B1822" s="2" t="s">
        <v>151</v>
      </c>
      <c r="C1822" s="2" t="s">
        <v>152</v>
      </c>
      <c r="D1822" s="2" t="s">
        <v>106</v>
      </c>
      <c r="E1822" s="2" t="s">
        <v>78</v>
      </c>
      <c r="F1822" s="2" t="s">
        <v>18</v>
      </c>
      <c r="G1822" s="1" t="s">
        <v>35</v>
      </c>
      <c r="H1822" s="1">
        <v>534</v>
      </c>
      <c r="I1822" s="2" t="s">
        <v>45</v>
      </c>
      <c r="J1822" s="2" t="s">
        <v>33</v>
      </c>
      <c r="K1822" s="1">
        <v>256.42</v>
      </c>
      <c r="L1822" s="3">
        <v>45381</v>
      </c>
    </row>
    <row r="1823" spans="1:12" x14ac:dyDescent="0.25">
      <c r="A1823" s="1">
        <v>101316</v>
      </c>
      <c r="B1823" s="2" t="s">
        <v>1069</v>
      </c>
      <c r="C1823" s="2" t="s">
        <v>22</v>
      </c>
      <c r="D1823" s="2" t="s">
        <v>50</v>
      </c>
      <c r="E1823" s="2" t="s">
        <v>81</v>
      </c>
      <c r="F1823" s="2" t="s">
        <v>18</v>
      </c>
      <c r="G1823" s="1">
        <v>0</v>
      </c>
      <c r="H1823" s="1">
        <v>607</v>
      </c>
      <c r="I1823" s="2" t="s">
        <v>19</v>
      </c>
      <c r="J1823" s="2" t="s">
        <v>20</v>
      </c>
      <c r="K1823" s="1">
        <v>404.43</v>
      </c>
      <c r="L1823" s="3">
        <v>45380</v>
      </c>
    </row>
    <row r="1824" spans="1:12" x14ac:dyDescent="0.25">
      <c r="A1824" s="1">
        <v>100382</v>
      </c>
      <c r="B1824" s="2" t="s">
        <v>255</v>
      </c>
      <c r="C1824" s="2" t="s">
        <v>52</v>
      </c>
      <c r="D1824" s="2" t="s">
        <v>16</v>
      </c>
      <c r="E1824" s="2" t="s">
        <v>60</v>
      </c>
      <c r="F1824" s="2" t="s">
        <v>42</v>
      </c>
      <c r="G1824" s="1">
        <v>84</v>
      </c>
      <c r="H1824" s="1">
        <v>639</v>
      </c>
      <c r="I1824" s="2" t="s">
        <v>32</v>
      </c>
      <c r="J1824" s="2" t="s">
        <v>26</v>
      </c>
      <c r="K1824" s="1">
        <v>328.01</v>
      </c>
      <c r="L1824" s="3">
        <v>45380</v>
      </c>
    </row>
    <row r="1825" spans="1:12" x14ac:dyDescent="0.25">
      <c r="A1825" s="1">
        <v>100083</v>
      </c>
      <c r="B1825" s="2" t="s">
        <v>504</v>
      </c>
      <c r="C1825" s="2" t="s">
        <v>187</v>
      </c>
      <c r="D1825" s="2" t="s">
        <v>41</v>
      </c>
      <c r="E1825" s="2" t="s">
        <v>78</v>
      </c>
      <c r="F1825" s="2" t="s">
        <v>83</v>
      </c>
      <c r="G1825" s="1">
        <v>0</v>
      </c>
      <c r="H1825" s="1">
        <v>494</v>
      </c>
      <c r="I1825" s="2" t="s">
        <v>32</v>
      </c>
      <c r="J1825" s="2" t="s">
        <v>26</v>
      </c>
      <c r="K1825" s="1">
        <v>177.84</v>
      </c>
      <c r="L1825" s="3">
        <v>45380</v>
      </c>
    </row>
    <row r="1826" spans="1:12" x14ac:dyDescent="0.25">
      <c r="A1826" s="1">
        <v>101180</v>
      </c>
      <c r="B1826" s="2" t="s">
        <v>1022</v>
      </c>
      <c r="C1826" s="2" t="s">
        <v>270</v>
      </c>
      <c r="D1826" s="2" t="s">
        <v>50</v>
      </c>
      <c r="E1826" s="2" t="s">
        <v>78</v>
      </c>
      <c r="F1826" s="2" t="s">
        <v>18</v>
      </c>
      <c r="G1826" s="1">
        <v>0</v>
      </c>
      <c r="H1826" s="1">
        <v>383</v>
      </c>
      <c r="I1826" s="2" t="s">
        <v>45</v>
      </c>
      <c r="J1826" s="2" t="s">
        <v>20</v>
      </c>
      <c r="K1826" s="1">
        <v>145.99</v>
      </c>
      <c r="L1826" s="3">
        <v>45380</v>
      </c>
    </row>
    <row r="1827" spans="1:12" x14ac:dyDescent="0.25">
      <c r="A1827" s="1">
        <v>101648</v>
      </c>
      <c r="B1827" s="2" t="s">
        <v>243</v>
      </c>
      <c r="C1827" s="2" t="s">
        <v>244</v>
      </c>
      <c r="D1827" s="2" t="s">
        <v>50</v>
      </c>
      <c r="E1827" s="2" t="s">
        <v>70</v>
      </c>
      <c r="F1827" s="2" t="s">
        <v>83</v>
      </c>
      <c r="G1827" s="1">
        <v>0</v>
      </c>
      <c r="H1827" s="1">
        <v>729</v>
      </c>
      <c r="I1827" s="2" t="s">
        <v>45</v>
      </c>
      <c r="J1827" s="2" t="s">
        <v>26</v>
      </c>
      <c r="K1827" s="1">
        <v>137.38999999999999</v>
      </c>
      <c r="L1827" s="3">
        <v>45380</v>
      </c>
    </row>
    <row r="1828" spans="1:12" x14ac:dyDescent="0.25">
      <c r="A1828" s="1">
        <v>100948</v>
      </c>
      <c r="B1828" s="2" t="s">
        <v>46</v>
      </c>
      <c r="C1828" s="2" t="s">
        <v>47</v>
      </c>
      <c r="D1828" s="2" t="s">
        <v>50</v>
      </c>
      <c r="E1828" s="2" t="s">
        <v>17</v>
      </c>
      <c r="F1828" s="2" t="s">
        <v>25</v>
      </c>
      <c r="G1828" s="1">
        <v>6</v>
      </c>
      <c r="H1828" s="1">
        <v>615</v>
      </c>
      <c r="I1828" s="2" t="s">
        <v>45</v>
      </c>
      <c r="J1828" s="2" t="s">
        <v>33</v>
      </c>
      <c r="K1828" s="1">
        <v>121.45</v>
      </c>
      <c r="L1828" s="3">
        <v>45380</v>
      </c>
    </row>
    <row r="1829" spans="1:12" x14ac:dyDescent="0.25">
      <c r="A1829" s="1">
        <v>101978</v>
      </c>
      <c r="B1829" s="2" t="s">
        <v>84</v>
      </c>
      <c r="C1829" s="2" t="s">
        <v>85</v>
      </c>
      <c r="D1829" s="2" t="s">
        <v>64</v>
      </c>
      <c r="E1829" s="2" t="s">
        <v>60</v>
      </c>
      <c r="F1829" s="2" t="s">
        <v>83</v>
      </c>
      <c r="G1829" s="1">
        <v>0</v>
      </c>
      <c r="H1829" s="1">
        <v>400</v>
      </c>
      <c r="I1829" s="2" t="s">
        <v>32</v>
      </c>
      <c r="J1829" s="2" t="s">
        <v>20</v>
      </c>
      <c r="K1829" s="1">
        <v>675.5</v>
      </c>
      <c r="L1829" s="3">
        <v>45379</v>
      </c>
    </row>
    <row r="1830" spans="1:12" x14ac:dyDescent="0.25">
      <c r="A1830" s="1">
        <v>102165</v>
      </c>
      <c r="B1830" s="2" t="s">
        <v>460</v>
      </c>
      <c r="C1830" s="2" t="s">
        <v>95</v>
      </c>
      <c r="D1830" s="2" t="s">
        <v>106</v>
      </c>
      <c r="E1830" s="2" t="s">
        <v>17</v>
      </c>
      <c r="F1830" s="2" t="s">
        <v>83</v>
      </c>
      <c r="G1830" s="1">
        <v>0</v>
      </c>
      <c r="H1830" s="1">
        <v>716</v>
      </c>
      <c r="I1830" s="2" t="s">
        <v>19</v>
      </c>
      <c r="J1830" s="2" t="s">
        <v>33</v>
      </c>
      <c r="K1830" s="1">
        <v>501.67</v>
      </c>
      <c r="L1830" s="3">
        <v>45379</v>
      </c>
    </row>
    <row r="1831" spans="1:12" x14ac:dyDescent="0.25">
      <c r="A1831" s="1">
        <v>101961</v>
      </c>
      <c r="B1831" s="2" t="s">
        <v>779</v>
      </c>
      <c r="C1831" s="2" t="s">
        <v>39</v>
      </c>
      <c r="D1831" s="2" t="s">
        <v>16</v>
      </c>
      <c r="E1831" s="2" t="s">
        <v>81</v>
      </c>
      <c r="F1831" s="2" t="s">
        <v>42</v>
      </c>
      <c r="G1831" s="1">
        <v>86</v>
      </c>
      <c r="H1831" s="1">
        <v>402</v>
      </c>
      <c r="I1831" s="2" t="s">
        <v>37</v>
      </c>
      <c r="J1831" s="2" t="s">
        <v>35</v>
      </c>
      <c r="K1831" s="1">
        <v>424.11</v>
      </c>
      <c r="L1831" s="3">
        <v>45379</v>
      </c>
    </row>
    <row r="1832" spans="1:12" x14ac:dyDescent="0.25">
      <c r="A1832" s="1">
        <v>101736</v>
      </c>
      <c r="B1832" s="2" t="s">
        <v>708</v>
      </c>
      <c r="C1832" s="2" t="s">
        <v>270</v>
      </c>
      <c r="D1832" s="2" t="s">
        <v>16</v>
      </c>
      <c r="E1832" s="2" t="s">
        <v>35</v>
      </c>
      <c r="F1832" s="2" t="s">
        <v>42</v>
      </c>
      <c r="G1832" s="1">
        <v>113</v>
      </c>
      <c r="H1832" s="1">
        <v>451</v>
      </c>
      <c r="I1832" s="2" t="s">
        <v>45</v>
      </c>
      <c r="J1832" s="2" t="s">
        <v>20</v>
      </c>
      <c r="K1832" s="1">
        <v>314.52999999999997</v>
      </c>
      <c r="L1832" s="3">
        <v>45379</v>
      </c>
    </row>
    <row r="1833" spans="1:12" x14ac:dyDescent="0.25">
      <c r="A1833" s="1">
        <v>100396</v>
      </c>
      <c r="B1833" s="2" t="s">
        <v>599</v>
      </c>
      <c r="C1833" s="2" t="s">
        <v>52</v>
      </c>
      <c r="D1833" s="2" t="s">
        <v>50</v>
      </c>
      <c r="E1833" s="2" t="s">
        <v>55</v>
      </c>
      <c r="F1833" s="2" t="s">
        <v>18</v>
      </c>
      <c r="G1833" s="1">
        <v>0</v>
      </c>
      <c r="H1833" s="1">
        <v>552</v>
      </c>
      <c r="I1833" s="2" t="s">
        <v>45</v>
      </c>
      <c r="J1833" s="2" t="s">
        <v>26</v>
      </c>
      <c r="K1833" s="1">
        <v>280.3</v>
      </c>
      <c r="L1833" s="3">
        <v>45379</v>
      </c>
    </row>
    <row r="1834" spans="1:12" x14ac:dyDescent="0.25">
      <c r="A1834" s="1">
        <v>100154</v>
      </c>
      <c r="B1834" s="2" t="s">
        <v>215</v>
      </c>
      <c r="C1834" s="2" t="s">
        <v>126</v>
      </c>
      <c r="D1834" s="2" t="s">
        <v>41</v>
      </c>
      <c r="E1834" s="2" t="s">
        <v>70</v>
      </c>
      <c r="F1834" s="2" t="s">
        <v>18</v>
      </c>
      <c r="G1834" s="1">
        <v>0</v>
      </c>
      <c r="H1834" s="1">
        <v>395</v>
      </c>
      <c r="I1834" s="2" t="s">
        <v>37</v>
      </c>
      <c r="J1834" s="2" t="s">
        <v>33</v>
      </c>
      <c r="K1834" s="1">
        <v>753.79</v>
      </c>
      <c r="L1834" s="3">
        <v>45378</v>
      </c>
    </row>
    <row r="1835" spans="1:12" x14ac:dyDescent="0.25">
      <c r="A1835" s="1">
        <v>100053</v>
      </c>
      <c r="B1835" s="2" t="s">
        <v>340</v>
      </c>
      <c r="C1835" s="2" t="s">
        <v>100</v>
      </c>
      <c r="D1835" s="2" t="s">
        <v>16</v>
      </c>
      <c r="E1835" s="2" t="s">
        <v>81</v>
      </c>
      <c r="F1835" s="2" t="s">
        <v>18</v>
      </c>
      <c r="G1835" s="1" t="s">
        <v>35</v>
      </c>
      <c r="H1835" s="1">
        <v>705</v>
      </c>
      <c r="I1835" s="2" t="s">
        <v>45</v>
      </c>
      <c r="J1835" s="2" t="s">
        <v>20</v>
      </c>
      <c r="K1835" s="1">
        <v>615.14</v>
      </c>
      <c r="L1835" s="3">
        <v>45378</v>
      </c>
    </row>
    <row r="1836" spans="1:12" x14ac:dyDescent="0.25">
      <c r="A1836" s="1">
        <v>101768</v>
      </c>
      <c r="B1836" s="2" t="s">
        <v>148</v>
      </c>
      <c r="C1836" s="2" t="s">
        <v>149</v>
      </c>
      <c r="D1836" s="2" t="s">
        <v>64</v>
      </c>
      <c r="E1836" s="2" t="s">
        <v>17</v>
      </c>
      <c r="F1836" s="2" t="s">
        <v>18</v>
      </c>
      <c r="G1836" s="1">
        <v>0</v>
      </c>
      <c r="H1836" s="1">
        <v>876</v>
      </c>
      <c r="I1836" s="2" t="s">
        <v>32</v>
      </c>
      <c r="J1836" s="2" t="s">
        <v>33</v>
      </c>
      <c r="K1836" s="1">
        <v>606.91999999999996</v>
      </c>
      <c r="L1836" s="3">
        <v>45378</v>
      </c>
    </row>
    <row r="1837" spans="1:12" x14ac:dyDescent="0.25">
      <c r="A1837" s="1">
        <v>100669</v>
      </c>
      <c r="B1837" s="2" t="s">
        <v>27</v>
      </c>
      <c r="C1837" s="2" t="s">
        <v>28</v>
      </c>
      <c r="D1837" s="2" t="s">
        <v>106</v>
      </c>
      <c r="E1837" s="2" t="s">
        <v>78</v>
      </c>
      <c r="F1837" s="2" t="s">
        <v>25</v>
      </c>
      <c r="G1837" s="1">
        <v>9</v>
      </c>
      <c r="H1837" s="1">
        <v>849</v>
      </c>
      <c r="I1837" s="2" t="s">
        <v>37</v>
      </c>
      <c r="J1837" s="2" t="s">
        <v>26</v>
      </c>
      <c r="K1837" s="1">
        <v>559.33000000000004</v>
      </c>
      <c r="L1837" s="3">
        <v>45378</v>
      </c>
    </row>
    <row r="1838" spans="1:12" x14ac:dyDescent="0.25">
      <c r="A1838" s="1">
        <v>101167</v>
      </c>
      <c r="B1838" s="2" t="s">
        <v>225</v>
      </c>
      <c r="C1838" s="2" t="s">
        <v>142</v>
      </c>
      <c r="D1838" s="2" t="s">
        <v>64</v>
      </c>
      <c r="E1838" s="2" t="s">
        <v>55</v>
      </c>
      <c r="F1838" s="2" t="s">
        <v>42</v>
      </c>
      <c r="G1838" s="1">
        <v>98</v>
      </c>
      <c r="H1838" s="1">
        <v>741</v>
      </c>
      <c r="I1838" s="2" t="s">
        <v>45</v>
      </c>
      <c r="J1838" s="2" t="s">
        <v>20</v>
      </c>
      <c r="K1838" s="1">
        <v>513.41999999999996</v>
      </c>
      <c r="L1838" s="3">
        <v>45378</v>
      </c>
    </row>
    <row r="1839" spans="1:12" x14ac:dyDescent="0.25">
      <c r="A1839" s="1">
        <v>100002</v>
      </c>
      <c r="B1839" s="2" t="s">
        <v>497</v>
      </c>
      <c r="C1839" s="2" t="s">
        <v>142</v>
      </c>
      <c r="D1839" s="2" t="s">
        <v>16</v>
      </c>
      <c r="E1839" s="2" t="s">
        <v>81</v>
      </c>
      <c r="F1839" s="2" t="s">
        <v>18</v>
      </c>
      <c r="G1839" s="1">
        <v>0</v>
      </c>
      <c r="H1839" s="1">
        <v>465</v>
      </c>
      <c r="I1839" s="2" t="s">
        <v>37</v>
      </c>
      <c r="J1839" s="2" t="s">
        <v>33</v>
      </c>
      <c r="K1839" s="1">
        <v>303.13</v>
      </c>
      <c r="L1839" s="3">
        <v>45378</v>
      </c>
    </row>
    <row r="1840" spans="1:12" x14ac:dyDescent="0.25">
      <c r="A1840" s="1">
        <v>100403</v>
      </c>
      <c r="B1840" s="2" t="s">
        <v>292</v>
      </c>
      <c r="C1840" s="2" t="s">
        <v>149</v>
      </c>
      <c r="D1840" s="2" t="s">
        <v>50</v>
      </c>
      <c r="E1840" s="2" t="s">
        <v>31</v>
      </c>
      <c r="F1840" s="2" t="s">
        <v>18</v>
      </c>
      <c r="G1840" s="1" t="s">
        <v>35</v>
      </c>
      <c r="H1840" s="1">
        <v>466</v>
      </c>
      <c r="I1840" s="2" t="s">
        <v>32</v>
      </c>
      <c r="J1840" s="2" t="s">
        <v>20</v>
      </c>
      <c r="K1840" s="1">
        <v>112.68</v>
      </c>
      <c r="L1840" s="3">
        <v>45378</v>
      </c>
    </row>
    <row r="1841" spans="1:12" x14ac:dyDescent="0.25">
      <c r="A1841" s="1">
        <v>101230</v>
      </c>
      <c r="B1841" s="2" t="s">
        <v>43</v>
      </c>
      <c r="C1841" s="2" t="s">
        <v>22</v>
      </c>
      <c r="D1841" s="2" t="s">
        <v>50</v>
      </c>
      <c r="E1841" s="2" t="s">
        <v>70</v>
      </c>
      <c r="F1841" s="2" t="s">
        <v>25</v>
      </c>
      <c r="G1841" s="1">
        <v>28</v>
      </c>
      <c r="H1841" s="1">
        <v>396</v>
      </c>
      <c r="I1841" s="2" t="s">
        <v>45</v>
      </c>
      <c r="J1841" s="2" t="s">
        <v>20</v>
      </c>
      <c r="K1841" s="1">
        <v>151.4</v>
      </c>
      <c r="L1841" s="3">
        <v>45377</v>
      </c>
    </row>
    <row r="1842" spans="1:12" x14ac:dyDescent="0.25">
      <c r="A1842" s="1">
        <v>101714</v>
      </c>
      <c r="B1842" s="2" t="s">
        <v>908</v>
      </c>
      <c r="C1842" s="2" t="s">
        <v>110</v>
      </c>
      <c r="D1842" s="2" t="s">
        <v>41</v>
      </c>
      <c r="E1842" s="2" t="s">
        <v>78</v>
      </c>
      <c r="F1842" s="2" t="s">
        <v>18</v>
      </c>
      <c r="G1842" s="1">
        <v>0</v>
      </c>
      <c r="H1842" s="1">
        <v>550</v>
      </c>
      <c r="I1842" s="2" t="s">
        <v>32</v>
      </c>
      <c r="J1842" s="2" t="s">
        <v>26</v>
      </c>
      <c r="K1842" s="1">
        <v>48.34</v>
      </c>
      <c r="L1842" s="3">
        <v>45377</v>
      </c>
    </row>
    <row r="1843" spans="1:12" x14ac:dyDescent="0.25">
      <c r="A1843" s="1">
        <v>100986</v>
      </c>
      <c r="B1843" s="2" t="s">
        <v>176</v>
      </c>
      <c r="C1843" s="2" t="s">
        <v>58</v>
      </c>
      <c r="D1843" s="2" t="s">
        <v>41</v>
      </c>
      <c r="E1843" s="2" t="s">
        <v>55</v>
      </c>
      <c r="F1843" s="2" t="s">
        <v>25</v>
      </c>
      <c r="G1843" s="1">
        <v>28</v>
      </c>
      <c r="H1843" s="1">
        <v>528</v>
      </c>
      <c r="I1843" s="2" t="s">
        <v>19</v>
      </c>
      <c r="J1843" s="2" t="s">
        <v>26</v>
      </c>
      <c r="K1843" s="1">
        <v>637.41</v>
      </c>
      <c r="L1843" s="3">
        <v>45376</v>
      </c>
    </row>
    <row r="1844" spans="1:12" x14ac:dyDescent="0.25">
      <c r="A1844" s="1">
        <v>102025</v>
      </c>
      <c r="B1844" s="2" t="s">
        <v>444</v>
      </c>
      <c r="C1844" s="2" t="s">
        <v>52</v>
      </c>
      <c r="D1844" s="2" t="s">
        <v>64</v>
      </c>
      <c r="E1844" s="2" t="s">
        <v>55</v>
      </c>
      <c r="F1844" s="2" t="s">
        <v>25</v>
      </c>
      <c r="G1844" s="1">
        <v>26</v>
      </c>
      <c r="H1844" s="1">
        <v>688</v>
      </c>
      <c r="I1844" s="2" t="s">
        <v>56</v>
      </c>
      <c r="J1844" s="2" t="s">
        <v>20</v>
      </c>
      <c r="K1844" s="1">
        <v>457.68</v>
      </c>
      <c r="L1844" s="3">
        <v>45375</v>
      </c>
    </row>
    <row r="1845" spans="1:12" x14ac:dyDescent="0.25">
      <c r="A1845" s="1">
        <v>100106</v>
      </c>
      <c r="B1845" s="2" t="s">
        <v>460</v>
      </c>
      <c r="C1845" s="2" t="s">
        <v>95</v>
      </c>
      <c r="D1845" s="2" t="s">
        <v>106</v>
      </c>
      <c r="E1845" s="2" t="s">
        <v>81</v>
      </c>
      <c r="F1845" s="2" t="s">
        <v>25</v>
      </c>
      <c r="G1845" s="1">
        <v>17</v>
      </c>
      <c r="H1845" s="1">
        <v>716</v>
      </c>
      <c r="I1845" s="2" t="s">
        <v>32</v>
      </c>
      <c r="J1845" s="2" t="s">
        <v>20</v>
      </c>
      <c r="K1845" s="1">
        <v>427.08</v>
      </c>
      <c r="L1845" s="3">
        <v>45375</v>
      </c>
    </row>
    <row r="1846" spans="1:12" x14ac:dyDescent="0.25">
      <c r="A1846" s="1">
        <v>100529</v>
      </c>
      <c r="B1846" s="2" t="s">
        <v>151</v>
      </c>
      <c r="C1846" s="2" t="s">
        <v>152</v>
      </c>
      <c r="D1846" s="2" t="s">
        <v>16</v>
      </c>
      <c r="E1846" s="2" t="s">
        <v>55</v>
      </c>
      <c r="F1846" s="2" t="s">
        <v>25</v>
      </c>
      <c r="G1846" s="1">
        <v>14</v>
      </c>
      <c r="H1846" s="1">
        <v>534</v>
      </c>
      <c r="I1846" s="2" t="s">
        <v>56</v>
      </c>
      <c r="J1846" s="2" t="s">
        <v>20</v>
      </c>
      <c r="K1846" s="1">
        <v>369.77</v>
      </c>
      <c r="L1846" s="3">
        <v>45375</v>
      </c>
    </row>
    <row r="1847" spans="1:12" x14ac:dyDescent="0.25">
      <c r="A1847" s="1">
        <v>101927</v>
      </c>
      <c r="B1847" s="2" t="s">
        <v>113</v>
      </c>
      <c r="C1847" s="2" t="s">
        <v>95</v>
      </c>
      <c r="D1847" s="2" t="s">
        <v>106</v>
      </c>
      <c r="E1847" s="2" t="s">
        <v>81</v>
      </c>
      <c r="F1847" s="2" t="s">
        <v>18</v>
      </c>
      <c r="G1847" s="1">
        <v>0</v>
      </c>
      <c r="H1847" s="1">
        <v>657</v>
      </c>
      <c r="I1847" s="2" t="s">
        <v>56</v>
      </c>
      <c r="J1847" s="2" t="s">
        <v>20</v>
      </c>
      <c r="K1847" s="1">
        <v>707.04</v>
      </c>
      <c r="L1847" s="3">
        <v>45374</v>
      </c>
    </row>
    <row r="1848" spans="1:12" x14ac:dyDescent="0.25">
      <c r="A1848" s="1">
        <v>100006</v>
      </c>
      <c r="B1848" s="2" t="s">
        <v>325</v>
      </c>
      <c r="C1848" s="2" t="s">
        <v>126</v>
      </c>
      <c r="D1848" s="2" t="s">
        <v>64</v>
      </c>
      <c r="E1848" s="2" t="s">
        <v>55</v>
      </c>
      <c r="F1848" s="2" t="s">
        <v>18</v>
      </c>
      <c r="G1848" s="1">
        <v>0</v>
      </c>
      <c r="H1848" s="1">
        <v>570</v>
      </c>
      <c r="I1848" s="2" t="s">
        <v>45</v>
      </c>
      <c r="J1848" s="2" t="s">
        <v>20</v>
      </c>
      <c r="K1848" s="1">
        <v>562.28</v>
      </c>
      <c r="L1848" s="3">
        <v>45374</v>
      </c>
    </row>
    <row r="1849" spans="1:12" x14ac:dyDescent="0.25">
      <c r="A1849" s="1">
        <v>100977</v>
      </c>
      <c r="B1849" s="2" t="s">
        <v>51</v>
      </c>
      <c r="C1849" s="2" t="s">
        <v>52</v>
      </c>
      <c r="D1849" s="2" t="s">
        <v>41</v>
      </c>
      <c r="E1849" s="2" t="s">
        <v>55</v>
      </c>
      <c r="F1849" s="2" t="s">
        <v>18</v>
      </c>
      <c r="G1849" s="1">
        <v>0</v>
      </c>
      <c r="H1849" s="1">
        <v>567</v>
      </c>
      <c r="I1849" s="2" t="s">
        <v>56</v>
      </c>
      <c r="J1849" s="2" t="s">
        <v>20</v>
      </c>
      <c r="K1849" s="1">
        <v>135.87</v>
      </c>
      <c r="L1849" s="3">
        <v>45374</v>
      </c>
    </row>
    <row r="1850" spans="1:12" x14ac:dyDescent="0.25">
      <c r="A1850" s="1">
        <v>100269</v>
      </c>
      <c r="B1850" s="2" t="s">
        <v>1177</v>
      </c>
      <c r="C1850" s="2" t="s">
        <v>62</v>
      </c>
      <c r="D1850" s="2" t="s">
        <v>106</v>
      </c>
      <c r="E1850" s="2" t="s">
        <v>17</v>
      </c>
      <c r="F1850" s="2" t="s">
        <v>18</v>
      </c>
      <c r="G1850" s="1">
        <v>0</v>
      </c>
      <c r="H1850" s="1">
        <v>482</v>
      </c>
      <c r="I1850" s="2" t="s">
        <v>45</v>
      </c>
      <c r="J1850" s="2" t="s">
        <v>26</v>
      </c>
      <c r="K1850" s="1">
        <v>1087.79</v>
      </c>
      <c r="L1850" s="3">
        <v>45373</v>
      </c>
    </row>
    <row r="1851" spans="1:12" x14ac:dyDescent="0.25">
      <c r="A1851" s="1">
        <v>100936</v>
      </c>
      <c r="B1851" s="2" t="s">
        <v>431</v>
      </c>
      <c r="C1851" s="2" t="s">
        <v>28</v>
      </c>
      <c r="D1851" s="2" t="s">
        <v>106</v>
      </c>
      <c r="E1851" s="2" t="s">
        <v>60</v>
      </c>
      <c r="F1851" s="2" t="s">
        <v>83</v>
      </c>
      <c r="G1851" s="1">
        <v>0</v>
      </c>
      <c r="H1851" s="1">
        <v>691</v>
      </c>
      <c r="I1851" s="2" t="s">
        <v>37</v>
      </c>
      <c r="J1851" s="2" t="s">
        <v>20</v>
      </c>
      <c r="K1851" s="1">
        <v>775.15</v>
      </c>
      <c r="L1851" s="3">
        <v>45373</v>
      </c>
    </row>
    <row r="1852" spans="1:12" x14ac:dyDescent="0.25">
      <c r="A1852" s="1">
        <v>100512</v>
      </c>
      <c r="B1852" s="2" t="s">
        <v>779</v>
      </c>
      <c r="C1852" s="2" t="s">
        <v>39</v>
      </c>
      <c r="D1852" s="2" t="s">
        <v>64</v>
      </c>
      <c r="E1852" s="2" t="s">
        <v>17</v>
      </c>
      <c r="F1852" s="2" t="s">
        <v>83</v>
      </c>
      <c r="G1852" s="1">
        <v>0</v>
      </c>
      <c r="H1852" s="1">
        <v>402</v>
      </c>
      <c r="I1852" s="2" t="s">
        <v>45</v>
      </c>
      <c r="J1852" s="2" t="s">
        <v>33</v>
      </c>
      <c r="K1852" s="1">
        <v>476.83</v>
      </c>
      <c r="L1852" s="3">
        <v>45373</v>
      </c>
    </row>
    <row r="1853" spans="1:12" x14ac:dyDescent="0.25">
      <c r="A1853" s="1">
        <v>102096</v>
      </c>
      <c r="B1853" s="2" t="s">
        <v>610</v>
      </c>
      <c r="C1853" s="2" t="s">
        <v>126</v>
      </c>
      <c r="D1853" s="2" t="s">
        <v>64</v>
      </c>
      <c r="E1853" s="2" t="s">
        <v>17</v>
      </c>
      <c r="F1853" s="2" t="s">
        <v>18</v>
      </c>
      <c r="G1853" s="1">
        <v>0</v>
      </c>
      <c r="H1853" s="1">
        <v>315</v>
      </c>
      <c r="I1853" s="2" t="s">
        <v>32</v>
      </c>
      <c r="J1853" s="2" t="s">
        <v>20</v>
      </c>
      <c r="K1853" s="1">
        <v>315.27</v>
      </c>
      <c r="L1853" s="3">
        <v>45373</v>
      </c>
    </row>
    <row r="1854" spans="1:12" x14ac:dyDescent="0.25">
      <c r="A1854" s="1">
        <v>100954</v>
      </c>
      <c r="B1854" s="2" t="s">
        <v>71</v>
      </c>
      <c r="C1854" s="2" t="s">
        <v>72</v>
      </c>
      <c r="D1854" s="2" t="s">
        <v>16</v>
      </c>
      <c r="E1854" s="2" t="s">
        <v>78</v>
      </c>
      <c r="F1854" s="2" t="s">
        <v>83</v>
      </c>
      <c r="G1854" s="1">
        <v>0</v>
      </c>
      <c r="H1854" s="1">
        <v>841</v>
      </c>
      <c r="I1854" s="2" t="s">
        <v>37</v>
      </c>
      <c r="J1854" s="2" t="s">
        <v>33</v>
      </c>
      <c r="K1854" s="1">
        <v>145.15</v>
      </c>
      <c r="L1854" s="3">
        <v>45373</v>
      </c>
    </row>
    <row r="1855" spans="1:12" x14ac:dyDescent="0.25">
      <c r="A1855" s="1">
        <v>101447</v>
      </c>
      <c r="B1855" s="2" t="s">
        <v>198</v>
      </c>
      <c r="C1855" s="2" t="s">
        <v>134</v>
      </c>
      <c r="D1855" s="2" t="s">
        <v>41</v>
      </c>
      <c r="E1855" s="2" t="s">
        <v>55</v>
      </c>
      <c r="F1855" s="2" t="s">
        <v>83</v>
      </c>
      <c r="G1855" s="1">
        <v>0</v>
      </c>
      <c r="H1855" s="1">
        <v>555</v>
      </c>
      <c r="I1855" s="2" t="s">
        <v>56</v>
      </c>
      <c r="J1855" s="2" t="s">
        <v>33</v>
      </c>
      <c r="K1855" s="1">
        <v>30.99</v>
      </c>
      <c r="L1855" s="3">
        <v>45373</v>
      </c>
    </row>
    <row r="1856" spans="1:12" x14ac:dyDescent="0.25">
      <c r="A1856" s="1">
        <v>100085</v>
      </c>
      <c r="B1856" s="2" t="s">
        <v>367</v>
      </c>
      <c r="C1856" s="2" t="s">
        <v>103</v>
      </c>
      <c r="D1856" s="2" t="s">
        <v>16</v>
      </c>
      <c r="E1856" s="2" t="s">
        <v>17</v>
      </c>
      <c r="F1856" s="2" t="s">
        <v>42</v>
      </c>
      <c r="G1856" s="1">
        <v>81</v>
      </c>
      <c r="H1856" s="1">
        <v>621</v>
      </c>
      <c r="I1856" s="2" t="s">
        <v>37</v>
      </c>
      <c r="J1856" s="2" t="s">
        <v>33</v>
      </c>
      <c r="K1856" s="1">
        <v>578.4</v>
      </c>
      <c r="L1856" s="3">
        <v>45372</v>
      </c>
    </row>
    <row r="1857" spans="1:12" x14ac:dyDescent="0.25">
      <c r="A1857" s="1">
        <v>100743</v>
      </c>
      <c r="B1857" s="2" t="s">
        <v>329</v>
      </c>
      <c r="C1857" s="2" t="s">
        <v>270</v>
      </c>
      <c r="D1857" s="2" t="s">
        <v>41</v>
      </c>
      <c r="E1857" s="2" t="s">
        <v>35</v>
      </c>
      <c r="F1857" s="2" t="s">
        <v>18</v>
      </c>
      <c r="G1857" s="1">
        <v>0</v>
      </c>
      <c r="H1857" s="1">
        <v>328</v>
      </c>
      <c r="I1857" s="2" t="s">
        <v>37</v>
      </c>
      <c r="J1857" s="2" t="s">
        <v>33</v>
      </c>
      <c r="K1857" s="1">
        <v>338.55</v>
      </c>
      <c r="L1857" s="3">
        <v>45372</v>
      </c>
    </row>
    <row r="1858" spans="1:12" x14ac:dyDescent="0.25">
      <c r="A1858" s="1">
        <v>101836</v>
      </c>
      <c r="B1858" s="2" t="s">
        <v>61</v>
      </c>
      <c r="C1858" s="2" t="s">
        <v>62</v>
      </c>
      <c r="D1858" s="2" t="s">
        <v>64</v>
      </c>
      <c r="E1858" s="2" t="s">
        <v>31</v>
      </c>
      <c r="F1858" s="2" t="s">
        <v>18</v>
      </c>
      <c r="G1858" s="1">
        <v>0</v>
      </c>
      <c r="H1858" s="1">
        <v>542</v>
      </c>
      <c r="I1858" s="2" t="s">
        <v>19</v>
      </c>
      <c r="J1858" s="2" t="s">
        <v>20</v>
      </c>
      <c r="K1858" s="1">
        <v>335.92</v>
      </c>
      <c r="L1858" s="3">
        <v>45372</v>
      </c>
    </row>
    <row r="1859" spans="1:12" x14ac:dyDescent="0.25">
      <c r="A1859" s="1">
        <v>101201</v>
      </c>
      <c r="B1859" s="2" t="s">
        <v>210</v>
      </c>
      <c r="C1859" s="2" t="s">
        <v>95</v>
      </c>
      <c r="D1859" s="2" t="s">
        <v>16</v>
      </c>
      <c r="E1859" s="2" t="s">
        <v>78</v>
      </c>
      <c r="F1859" s="2" t="s">
        <v>18</v>
      </c>
      <c r="G1859" s="1">
        <v>0</v>
      </c>
      <c r="H1859" s="1">
        <v>369</v>
      </c>
      <c r="I1859" s="2" t="s">
        <v>37</v>
      </c>
      <c r="J1859" s="2" t="s">
        <v>33</v>
      </c>
      <c r="K1859" s="1">
        <v>111.61</v>
      </c>
      <c r="L1859" s="3">
        <v>45372</v>
      </c>
    </row>
    <row r="1860" spans="1:12" x14ac:dyDescent="0.25">
      <c r="A1860" s="1">
        <v>101460</v>
      </c>
      <c r="B1860" s="2" t="s">
        <v>315</v>
      </c>
      <c r="C1860" s="2" t="s">
        <v>22</v>
      </c>
      <c r="D1860" s="2" t="s">
        <v>50</v>
      </c>
      <c r="E1860" s="2" t="s">
        <v>70</v>
      </c>
      <c r="F1860" s="2" t="s">
        <v>25</v>
      </c>
      <c r="G1860" s="1">
        <v>20</v>
      </c>
      <c r="H1860" s="1">
        <v>509</v>
      </c>
      <c r="I1860" s="2" t="s">
        <v>37</v>
      </c>
      <c r="J1860" s="2" t="s">
        <v>26</v>
      </c>
      <c r="K1860" s="1">
        <v>461.47</v>
      </c>
      <c r="L1860" s="3">
        <v>45371</v>
      </c>
    </row>
    <row r="1861" spans="1:12" x14ac:dyDescent="0.25">
      <c r="A1861" s="1">
        <v>101512</v>
      </c>
      <c r="B1861" s="2" t="s">
        <v>75</v>
      </c>
      <c r="C1861" s="2" t="s">
        <v>39</v>
      </c>
      <c r="D1861" s="2" t="s">
        <v>16</v>
      </c>
      <c r="E1861" s="2" t="s">
        <v>81</v>
      </c>
      <c r="F1861" s="2" t="s">
        <v>18</v>
      </c>
      <c r="G1861" s="1">
        <v>0</v>
      </c>
      <c r="H1861" s="1">
        <v>554</v>
      </c>
      <c r="I1861" s="2" t="s">
        <v>19</v>
      </c>
      <c r="J1861" s="2" t="s">
        <v>20</v>
      </c>
      <c r="K1861" s="1">
        <v>434.77</v>
      </c>
      <c r="L1861" s="3">
        <v>45371</v>
      </c>
    </row>
    <row r="1862" spans="1:12" x14ac:dyDescent="0.25">
      <c r="A1862" s="1">
        <v>100910</v>
      </c>
      <c r="B1862" s="2" t="s">
        <v>965</v>
      </c>
      <c r="C1862" s="2" t="s">
        <v>110</v>
      </c>
      <c r="D1862" s="2" t="s">
        <v>64</v>
      </c>
      <c r="E1862" s="2" t="s">
        <v>31</v>
      </c>
      <c r="F1862" s="2" t="s">
        <v>18</v>
      </c>
      <c r="G1862" s="1">
        <v>0</v>
      </c>
      <c r="H1862" s="1">
        <v>821</v>
      </c>
      <c r="I1862" s="2" t="s">
        <v>45</v>
      </c>
      <c r="J1862" s="2" t="s">
        <v>26</v>
      </c>
      <c r="K1862" s="1">
        <v>79.540000000000006</v>
      </c>
      <c r="L1862" s="3">
        <v>45371</v>
      </c>
    </row>
    <row r="1863" spans="1:12" x14ac:dyDescent="0.25">
      <c r="A1863" s="1">
        <v>101465</v>
      </c>
      <c r="B1863" s="2" t="s">
        <v>282</v>
      </c>
      <c r="C1863" s="2" t="s">
        <v>152</v>
      </c>
      <c r="D1863" s="2" t="s">
        <v>50</v>
      </c>
      <c r="E1863" s="2" t="s">
        <v>55</v>
      </c>
      <c r="F1863" s="2" t="s">
        <v>42</v>
      </c>
      <c r="G1863" s="1">
        <v>96</v>
      </c>
      <c r="H1863" s="1">
        <v>301</v>
      </c>
      <c r="I1863" s="2" t="s">
        <v>37</v>
      </c>
      <c r="J1863" s="2" t="s">
        <v>33</v>
      </c>
      <c r="K1863" s="1">
        <v>538.52</v>
      </c>
      <c r="L1863" s="3">
        <v>45370</v>
      </c>
    </row>
    <row r="1864" spans="1:12" x14ac:dyDescent="0.25">
      <c r="A1864" s="1">
        <v>100994</v>
      </c>
      <c r="B1864" s="2" t="s">
        <v>444</v>
      </c>
      <c r="C1864" s="2" t="s">
        <v>52</v>
      </c>
      <c r="D1864" s="2" t="s">
        <v>106</v>
      </c>
      <c r="E1864" s="2" t="s">
        <v>70</v>
      </c>
      <c r="F1864" s="2" t="s">
        <v>18</v>
      </c>
      <c r="G1864" s="1">
        <v>0</v>
      </c>
      <c r="H1864" s="1">
        <v>688</v>
      </c>
      <c r="I1864" s="2" t="s">
        <v>37</v>
      </c>
      <c r="J1864" s="2" t="s">
        <v>20</v>
      </c>
      <c r="K1864" s="1">
        <v>354.89</v>
      </c>
      <c r="L1864" s="3">
        <v>45370</v>
      </c>
    </row>
    <row r="1865" spans="1:12" x14ac:dyDescent="0.25">
      <c r="A1865" s="1">
        <v>100239</v>
      </c>
      <c r="B1865" s="2" t="s">
        <v>236</v>
      </c>
      <c r="C1865" s="2" t="s">
        <v>47</v>
      </c>
      <c r="D1865" s="2" t="s">
        <v>41</v>
      </c>
      <c r="E1865" s="2" t="s">
        <v>70</v>
      </c>
      <c r="F1865" s="2" t="s">
        <v>25</v>
      </c>
      <c r="G1865" s="1">
        <v>29</v>
      </c>
      <c r="H1865" s="1">
        <v>797</v>
      </c>
      <c r="I1865" s="2" t="s">
        <v>19</v>
      </c>
      <c r="J1865" s="2" t="s">
        <v>20</v>
      </c>
      <c r="K1865" s="1">
        <v>237.03</v>
      </c>
      <c r="L1865" s="3">
        <v>45370</v>
      </c>
    </row>
    <row r="1866" spans="1:12" x14ac:dyDescent="0.25">
      <c r="A1866" s="1">
        <v>101642</v>
      </c>
      <c r="B1866" s="2" t="s">
        <v>1206</v>
      </c>
      <c r="C1866" s="2" t="s">
        <v>22</v>
      </c>
      <c r="D1866" s="2" t="s">
        <v>106</v>
      </c>
      <c r="E1866" s="2" t="s">
        <v>60</v>
      </c>
      <c r="F1866" s="2" t="s">
        <v>18</v>
      </c>
      <c r="G1866" s="1">
        <v>0</v>
      </c>
      <c r="H1866" s="1">
        <v>607</v>
      </c>
      <c r="I1866" s="2" t="s">
        <v>56</v>
      </c>
      <c r="J1866" s="2" t="s">
        <v>20</v>
      </c>
      <c r="K1866" s="1">
        <v>565.74</v>
      </c>
      <c r="L1866" s="3">
        <v>45369</v>
      </c>
    </row>
    <row r="1867" spans="1:12" x14ac:dyDescent="0.25">
      <c r="A1867" s="1">
        <v>101948</v>
      </c>
      <c r="B1867" s="2" t="s">
        <v>607</v>
      </c>
      <c r="C1867" s="2" t="s">
        <v>134</v>
      </c>
      <c r="D1867" s="2" t="s">
        <v>41</v>
      </c>
      <c r="E1867" s="2" t="s">
        <v>17</v>
      </c>
      <c r="F1867" s="2" t="s">
        <v>18</v>
      </c>
      <c r="G1867" s="1">
        <v>0</v>
      </c>
      <c r="H1867" s="1">
        <v>458</v>
      </c>
      <c r="I1867" s="2" t="s">
        <v>37</v>
      </c>
      <c r="J1867" s="2" t="s">
        <v>20</v>
      </c>
      <c r="K1867" s="1">
        <v>451.55</v>
      </c>
      <c r="L1867" s="3">
        <v>45369</v>
      </c>
    </row>
    <row r="1868" spans="1:12" x14ac:dyDescent="0.25">
      <c r="A1868" s="1">
        <v>101646</v>
      </c>
      <c r="B1868" s="2" t="s">
        <v>708</v>
      </c>
      <c r="C1868" s="2" t="s">
        <v>270</v>
      </c>
      <c r="D1868" s="2" t="s">
        <v>16</v>
      </c>
      <c r="E1868" s="2" t="s">
        <v>70</v>
      </c>
      <c r="F1868" s="2" t="s">
        <v>83</v>
      </c>
      <c r="G1868" s="1">
        <v>0</v>
      </c>
      <c r="H1868" s="1">
        <v>451</v>
      </c>
      <c r="I1868" s="2" t="s">
        <v>37</v>
      </c>
      <c r="J1868" s="2" t="s">
        <v>20</v>
      </c>
      <c r="K1868" s="1"/>
      <c r="L1868" s="3">
        <v>45369</v>
      </c>
    </row>
    <row r="1869" spans="1:12" x14ac:dyDescent="0.25">
      <c r="A1869" s="1">
        <v>101815</v>
      </c>
      <c r="B1869" s="2" t="s">
        <v>890</v>
      </c>
      <c r="C1869" s="2" t="s">
        <v>149</v>
      </c>
      <c r="D1869" s="2" t="s">
        <v>16</v>
      </c>
      <c r="E1869" s="2" t="s">
        <v>17</v>
      </c>
      <c r="F1869" s="2" t="s">
        <v>25</v>
      </c>
      <c r="G1869" s="1">
        <v>29</v>
      </c>
      <c r="H1869" s="1">
        <v>733</v>
      </c>
      <c r="I1869" s="2" t="s">
        <v>56</v>
      </c>
      <c r="J1869" s="2" t="s">
        <v>20</v>
      </c>
      <c r="K1869" s="1">
        <v>546.38</v>
      </c>
      <c r="L1869" s="3">
        <v>45368</v>
      </c>
    </row>
    <row r="1870" spans="1:12" x14ac:dyDescent="0.25">
      <c r="A1870" s="1">
        <v>101034</v>
      </c>
      <c r="B1870" s="2" t="s">
        <v>765</v>
      </c>
      <c r="C1870" s="2" t="s">
        <v>22</v>
      </c>
      <c r="D1870" s="2" t="s">
        <v>16</v>
      </c>
      <c r="E1870" s="2" t="s">
        <v>17</v>
      </c>
      <c r="F1870" s="2" t="s">
        <v>18</v>
      </c>
      <c r="G1870" s="1">
        <v>0</v>
      </c>
      <c r="H1870" s="1">
        <v>851</v>
      </c>
      <c r="I1870" s="2" t="s">
        <v>35</v>
      </c>
      <c r="J1870" s="2" t="s">
        <v>26</v>
      </c>
      <c r="K1870" s="1">
        <v>305.37</v>
      </c>
      <c r="L1870" s="3">
        <v>45368</v>
      </c>
    </row>
    <row r="1871" spans="1:12" x14ac:dyDescent="0.25">
      <c r="A1871" s="1">
        <v>101234</v>
      </c>
      <c r="B1871" s="2" t="s">
        <v>534</v>
      </c>
      <c r="C1871" s="2" t="s">
        <v>39</v>
      </c>
      <c r="D1871" s="2" t="s">
        <v>41</v>
      </c>
      <c r="E1871" s="2" t="s">
        <v>55</v>
      </c>
      <c r="F1871" s="2" t="s">
        <v>18</v>
      </c>
      <c r="G1871" s="1">
        <v>0</v>
      </c>
      <c r="H1871" s="1">
        <v>592</v>
      </c>
      <c r="I1871" s="2" t="s">
        <v>45</v>
      </c>
      <c r="J1871" s="2" t="s">
        <v>20</v>
      </c>
      <c r="K1871" s="1">
        <v>112.76</v>
      </c>
      <c r="L1871" s="3">
        <v>45368</v>
      </c>
    </row>
    <row r="1872" spans="1:12" x14ac:dyDescent="0.25">
      <c r="A1872" s="1">
        <v>100614</v>
      </c>
      <c r="B1872" s="2" t="s">
        <v>136</v>
      </c>
      <c r="C1872" s="2" t="s">
        <v>58</v>
      </c>
      <c r="D1872" s="2" t="s">
        <v>50</v>
      </c>
      <c r="E1872" s="2" t="s">
        <v>81</v>
      </c>
      <c r="F1872" s="2" t="s">
        <v>42</v>
      </c>
      <c r="G1872" s="1">
        <v>50</v>
      </c>
      <c r="H1872" s="1">
        <v>540</v>
      </c>
      <c r="I1872" s="2" t="s">
        <v>45</v>
      </c>
      <c r="J1872" s="2" t="s">
        <v>26</v>
      </c>
      <c r="K1872" s="1">
        <v>709.96</v>
      </c>
      <c r="L1872" s="3">
        <v>45367</v>
      </c>
    </row>
    <row r="1873" spans="1:12" x14ac:dyDescent="0.25">
      <c r="A1873" s="1">
        <v>100832</v>
      </c>
      <c r="B1873" s="2" t="s">
        <v>779</v>
      </c>
      <c r="C1873" s="2" t="s">
        <v>39</v>
      </c>
      <c r="D1873" s="2" t="s">
        <v>50</v>
      </c>
      <c r="E1873" s="2" t="s">
        <v>78</v>
      </c>
      <c r="F1873" s="2" t="s">
        <v>25</v>
      </c>
      <c r="G1873" s="1">
        <v>21</v>
      </c>
      <c r="H1873" s="1">
        <v>402</v>
      </c>
      <c r="I1873" s="2" t="s">
        <v>56</v>
      </c>
      <c r="J1873" s="2" t="s">
        <v>26</v>
      </c>
      <c r="K1873" s="1">
        <v>442.71</v>
      </c>
      <c r="L1873" s="3">
        <v>45367</v>
      </c>
    </row>
    <row r="1874" spans="1:12" x14ac:dyDescent="0.25">
      <c r="A1874" s="1">
        <v>100769</v>
      </c>
      <c r="B1874" s="2" t="s">
        <v>607</v>
      </c>
      <c r="C1874" s="2" t="s">
        <v>134</v>
      </c>
      <c r="D1874" s="2" t="s">
        <v>50</v>
      </c>
      <c r="E1874" s="2" t="s">
        <v>78</v>
      </c>
      <c r="F1874" s="2" t="s">
        <v>18</v>
      </c>
      <c r="G1874" s="1">
        <v>0</v>
      </c>
      <c r="H1874" s="1">
        <v>458</v>
      </c>
      <c r="I1874" s="2" t="s">
        <v>56</v>
      </c>
      <c r="J1874" s="2" t="s">
        <v>20</v>
      </c>
      <c r="K1874" s="1">
        <v>441.86</v>
      </c>
      <c r="L1874" s="3">
        <v>45367</v>
      </c>
    </row>
    <row r="1875" spans="1:12" x14ac:dyDescent="0.25">
      <c r="A1875" s="1">
        <v>100047</v>
      </c>
      <c r="B1875" s="2" t="s">
        <v>1155</v>
      </c>
      <c r="C1875" s="2" t="s">
        <v>218</v>
      </c>
      <c r="D1875" s="2" t="s">
        <v>106</v>
      </c>
      <c r="E1875" s="2" t="s">
        <v>78</v>
      </c>
      <c r="F1875" s="2" t="s">
        <v>25</v>
      </c>
      <c r="G1875" s="1">
        <v>11</v>
      </c>
      <c r="H1875" s="1">
        <v>557</v>
      </c>
      <c r="I1875" s="2" t="s">
        <v>37</v>
      </c>
      <c r="J1875" s="2" t="s">
        <v>20</v>
      </c>
      <c r="K1875" s="1">
        <v>357.87</v>
      </c>
      <c r="L1875" s="3">
        <v>45367</v>
      </c>
    </row>
    <row r="1876" spans="1:12" x14ac:dyDescent="0.25">
      <c r="A1876" s="1">
        <v>100156</v>
      </c>
      <c r="B1876" s="2" t="s">
        <v>601</v>
      </c>
      <c r="C1876" s="2" t="s">
        <v>100</v>
      </c>
      <c r="D1876" s="2" t="s">
        <v>64</v>
      </c>
      <c r="E1876" s="2" t="s">
        <v>31</v>
      </c>
      <c r="F1876" s="2" t="s">
        <v>18</v>
      </c>
      <c r="G1876" s="1">
        <v>0</v>
      </c>
      <c r="H1876" s="1">
        <v>849</v>
      </c>
      <c r="I1876" s="2" t="s">
        <v>37</v>
      </c>
      <c r="J1876" s="2" t="s">
        <v>20</v>
      </c>
      <c r="K1876" s="1">
        <v>457.39</v>
      </c>
      <c r="L1876" s="3">
        <v>45366</v>
      </c>
    </row>
    <row r="1877" spans="1:12" x14ac:dyDescent="0.25">
      <c r="A1877" s="1">
        <v>100177</v>
      </c>
      <c r="B1877" s="2" t="s">
        <v>399</v>
      </c>
      <c r="C1877" s="2" t="s">
        <v>187</v>
      </c>
      <c r="D1877" s="2" t="s">
        <v>16</v>
      </c>
      <c r="E1877" s="2" t="s">
        <v>78</v>
      </c>
      <c r="F1877" s="2" t="s">
        <v>83</v>
      </c>
      <c r="G1877" s="1">
        <v>0</v>
      </c>
      <c r="H1877" s="1">
        <v>370</v>
      </c>
      <c r="I1877" s="2" t="s">
        <v>56</v>
      </c>
      <c r="J1877" s="2" t="s">
        <v>20</v>
      </c>
      <c r="K1877" s="1">
        <v>417.38</v>
      </c>
      <c r="L1877" s="3">
        <v>45366</v>
      </c>
    </row>
    <row r="1878" spans="1:12" x14ac:dyDescent="0.25">
      <c r="A1878" s="1">
        <v>100003</v>
      </c>
      <c r="B1878" s="2" t="s">
        <v>177</v>
      </c>
      <c r="C1878" s="2" t="s">
        <v>35</v>
      </c>
      <c r="D1878" s="2" t="s">
        <v>16</v>
      </c>
      <c r="E1878" s="2" t="s">
        <v>60</v>
      </c>
      <c r="F1878" s="2" t="s">
        <v>18</v>
      </c>
      <c r="G1878" s="1">
        <v>0</v>
      </c>
      <c r="H1878" s="1">
        <v>375</v>
      </c>
      <c r="I1878" s="2" t="s">
        <v>56</v>
      </c>
      <c r="J1878" s="2" t="s">
        <v>20</v>
      </c>
      <c r="K1878" s="1">
        <v>281.64</v>
      </c>
      <c r="L1878" s="3">
        <v>45366</v>
      </c>
    </row>
    <row r="1879" spans="1:12" x14ac:dyDescent="0.25">
      <c r="A1879" s="1">
        <v>100959</v>
      </c>
      <c r="B1879" s="2" t="s">
        <v>816</v>
      </c>
      <c r="C1879" s="2" t="s">
        <v>95</v>
      </c>
      <c r="D1879" s="2" t="s">
        <v>64</v>
      </c>
      <c r="E1879" s="2" t="s">
        <v>55</v>
      </c>
      <c r="F1879" s="2" t="s">
        <v>18</v>
      </c>
      <c r="G1879" s="1">
        <v>0</v>
      </c>
      <c r="H1879" s="1">
        <v>422</v>
      </c>
      <c r="I1879" s="2" t="s">
        <v>45</v>
      </c>
      <c r="J1879" s="2" t="s">
        <v>20</v>
      </c>
      <c r="K1879" s="1">
        <v>689.46</v>
      </c>
      <c r="L1879" s="3">
        <v>45365</v>
      </c>
    </row>
    <row r="1880" spans="1:12" x14ac:dyDescent="0.25">
      <c r="A1880" s="1">
        <v>100492</v>
      </c>
      <c r="B1880" s="2" t="s">
        <v>807</v>
      </c>
      <c r="C1880" s="2" t="s">
        <v>85</v>
      </c>
      <c r="D1880" s="2" t="s">
        <v>16</v>
      </c>
      <c r="E1880" s="2" t="s">
        <v>31</v>
      </c>
      <c r="F1880" s="2" t="s">
        <v>18</v>
      </c>
      <c r="G1880" s="1">
        <v>0</v>
      </c>
      <c r="H1880" s="1">
        <v>443</v>
      </c>
      <c r="I1880" s="2" t="s">
        <v>19</v>
      </c>
      <c r="J1880" s="2" t="s">
        <v>20</v>
      </c>
      <c r="K1880" s="1">
        <v>516.92999999999995</v>
      </c>
      <c r="L1880" s="3">
        <v>45365</v>
      </c>
    </row>
    <row r="1881" spans="1:12" x14ac:dyDescent="0.25">
      <c r="A1881" s="1">
        <v>101891</v>
      </c>
      <c r="B1881" s="2" t="s">
        <v>738</v>
      </c>
      <c r="C1881" s="2" t="s">
        <v>100</v>
      </c>
      <c r="D1881" s="2" t="s">
        <v>16</v>
      </c>
      <c r="E1881" s="2" t="s">
        <v>60</v>
      </c>
      <c r="F1881" s="2" t="s">
        <v>18</v>
      </c>
      <c r="G1881" s="1">
        <v>0</v>
      </c>
      <c r="H1881" s="1">
        <v>585</v>
      </c>
      <c r="I1881" s="2" t="s">
        <v>56</v>
      </c>
      <c r="J1881" s="2" t="s">
        <v>33</v>
      </c>
      <c r="K1881" s="1">
        <v>195.85</v>
      </c>
      <c r="L1881" s="3">
        <v>45365</v>
      </c>
    </row>
    <row r="1882" spans="1:12" x14ac:dyDescent="0.25">
      <c r="A1882" s="1">
        <v>100232</v>
      </c>
      <c r="B1882" s="2" t="s">
        <v>601</v>
      </c>
      <c r="C1882" s="2" t="s">
        <v>100</v>
      </c>
      <c r="D1882" s="2" t="s">
        <v>41</v>
      </c>
      <c r="E1882" s="2" t="s">
        <v>81</v>
      </c>
      <c r="F1882" s="2" t="s">
        <v>18</v>
      </c>
      <c r="G1882" s="1">
        <v>0</v>
      </c>
      <c r="H1882" s="1">
        <v>849</v>
      </c>
      <c r="I1882" s="2" t="s">
        <v>32</v>
      </c>
      <c r="J1882" s="2" t="s">
        <v>26</v>
      </c>
      <c r="K1882" s="1">
        <v>717.53</v>
      </c>
      <c r="L1882" s="3">
        <v>45364</v>
      </c>
    </row>
    <row r="1883" spans="1:12" x14ac:dyDescent="0.25">
      <c r="A1883" s="1">
        <v>101459</v>
      </c>
      <c r="B1883" s="2" t="s">
        <v>232</v>
      </c>
      <c r="C1883" s="2" t="s">
        <v>152</v>
      </c>
      <c r="D1883" s="2" t="s">
        <v>41</v>
      </c>
      <c r="E1883" s="2" t="s">
        <v>55</v>
      </c>
      <c r="F1883" s="2" t="s">
        <v>83</v>
      </c>
      <c r="G1883" s="1">
        <v>0</v>
      </c>
      <c r="H1883" s="1">
        <v>781</v>
      </c>
      <c r="I1883" s="2" t="s">
        <v>37</v>
      </c>
      <c r="J1883" s="2" t="s">
        <v>26</v>
      </c>
      <c r="K1883" s="1">
        <v>528.62</v>
      </c>
      <c r="L1883" s="3">
        <v>45364</v>
      </c>
    </row>
    <row r="1884" spans="1:12" x14ac:dyDescent="0.25">
      <c r="A1884" s="1">
        <v>100519</v>
      </c>
      <c r="B1884" s="2" t="s">
        <v>460</v>
      </c>
      <c r="C1884" s="2" t="s">
        <v>95</v>
      </c>
      <c r="D1884" s="2" t="s">
        <v>16</v>
      </c>
      <c r="E1884" s="2" t="s">
        <v>81</v>
      </c>
      <c r="F1884" s="2" t="s">
        <v>42</v>
      </c>
      <c r="G1884" s="1">
        <v>40</v>
      </c>
      <c r="H1884" s="1">
        <v>716</v>
      </c>
      <c r="I1884" s="2" t="s">
        <v>19</v>
      </c>
      <c r="J1884" s="2" t="s">
        <v>26</v>
      </c>
      <c r="K1884" s="1">
        <v>385.22</v>
      </c>
      <c r="L1884" s="3">
        <v>45364</v>
      </c>
    </row>
    <row r="1885" spans="1:12" x14ac:dyDescent="0.25">
      <c r="A1885" s="1">
        <v>100896</v>
      </c>
      <c r="B1885" s="2" t="s">
        <v>133</v>
      </c>
      <c r="C1885" s="2" t="s">
        <v>134</v>
      </c>
      <c r="D1885" s="2" t="s">
        <v>41</v>
      </c>
      <c r="E1885" s="2" t="s">
        <v>55</v>
      </c>
      <c r="F1885" s="2" t="s">
        <v>18</v>
      </c>
      <c r="G1885" s="1">
        <v>0</v>
      </c>
      <c r="H1885" s="1">
        <v>345</v>
      </c>
      <c r="I1885" s="2" t="s">
        <v>45</v>
      </c>
      <c r="J1885" s="2" t="s">
        <v>20</v>
      </c>
      <c r="K1885" s="1">
        <v>381.29</v>
      </c>
      <c r="L1885" s="3">
        <v>45364</v>
      </c>
    </row>
    <row r="1886" spans="1:12" x14ac:dyDescent="0.25">
      <c r="A1886" s="1">
        <v>101454</v>
      </c>
      <c r="B1886" s="2" t="s">
        <v>537</v>
      </c>
      <c r="C1886" s="2" t="s">
        <v>187</v>
      </c>
      <c r="D1886" s="2" t="s">
        <v>16</v>
      </c>
      <c r="E1886" s="2" t="s">
        <v>17</v>
      </c>
      <c r="F1886" s="2" t="s">
        <v>18</v>
      </c>
      <c r="G1886" s="1" t="s">
        <v>35</v>
      </c>
      <c r="H1886" s="1">
        <v>874</v>
      </c>
      <c r="I1886" s="2" t="s">
        <v>37</v>
      </c>
      <c r="J1886" s="2" t="s">
        <v>20</v>
      </c>
      <c r="K1886" s="1">
        <v>608.41999999999996</v>
      </c>
      <c r="L1886" s="3">
        <v>45363</v>
      </c>
    </row>
    <row r="1887" spans="1:12" x14ac:dyDescent="0.25">
      <c r="A1887" s="1">
        <v>100626</v>
      </c>
      <c r="B1887" s="2" t="s">
        <v>196</v>
      </c>
      <c r="C1887" s="2" t="s">
        <v>152</v>
      </c>
      <c r="D1887" s="2" t="s">
        <v>64</v>
      </c>
      <c r="E1887" s="2" t="s">
        <v>55</v>
      </c>
      <c r="F1887" s="2" t="s">
        <v>18</v>
      </c>
      <c r="G1887" s="1">
        <v>0</v>
      </c>
      <c r="H1887" s="1">
        <v>405</v>
      </c>
      <c r="I1887" s="2" t="s">
        <v>32</v>
      </c>
      <c r="J1887" s="2" t="s">
        <v>20</v>
      </c>
      <c r="K1887" s="1">
        <v>398.21</v>
      </c>
      <c r="L1887" s="3">
        <v>45363</v>
      </c>
    </row>
    <row r="1888" spans="1:12" x14ac:dyDescent="0.25">
      <c r="A1888" s="1">
        <v>100332</v>
      </c>
      <c r="B1888" s="2" t="s">
        <v>259</v>
      </c>
      <c r="C1888" s="2" t="s">
        <v>218</v>
      </c>
      <c r="D1888" s="2" t="s">
        <v>64</v>
      </c>
      <c r="E1888" s="2" t="s">
        <v>78</v>
      </c>
      <c r="F1888" s="2" t="s">
        <v>18</v>
      </c>
      <c r="G1888" s="1">
        <v>0</v>
      </c>
      <c r="H1888" s="1">
        <v>732</v>
      </c>
      <c r="I1888" s="2" t="s">
        <v>37</v>
      </c>
      <c r="J1888" s="2" t="s">
        <v>26</v>
      </c>
      <c r="K1888" s="1">
        <v>340.55</v>
      </c>
      <c r="L1888" s="3">
        <v>45363</v>
      </c>
    </row>
    <row r="1889" spans="1:12" x14ac:dyDescent="0.25">
      <c r="A1889" s="1">
        <v>101797</v>
      </c>
      <c r="B1889" s="2" t="s">
        <v>21</v>
      </c>
      <c r="C1889" s="2" t="s">
        <v>22</v>
      </c>
      <c r="D1889" s="2" t="s">
        <v>41</v>
      </c>
      <c r="E1889" s="2" t="s">
        <v>35</v>
      </c>
      <c r="F1889" s="2" t="s">
        <v>83</v>
      </c>
      <c r="G1889" s="1">
        <v>0</v>
      </c>
      <c r="H1889" s="1">
        <v>771</v>
      </c>
      <c r="I1889" s="2" t="s">
        <v>56</v>
      </c>
      <c r="J1889" s="2" t="s">
        <v>20</v>
      </c>
      <c r="K1889" s="1"/>
      <c r="L1889" s="3">
        <v>45362</v>
      </c>
    </row>
    <row r="1890" spans="1:12" x14ac:dyDescent="0.25">
      <c r="A1890" s="1">
        <v>101974</v>
      </c>
      <c r="B1890" s="2" t="s">
        <v>157</v>
      </c>
      <c r="C1890" s="2" t="s">
        <v>103</v>
      </c>
      <c r="D1890" s="2" t="s">
        <v>106</v>
      </c>
      <c r="E1890" s="2" t="s">
        <v>35</v>
      </c>
      <c r="F1890" s="2" t="s">
        <v>18</v>
      </c>
      <c r="G1890" s="1">
        <v>0</v>
      </c>
      <c r="H1890" s="1">
        <v>897</v>
      </c>
      <c r="I1890" s="2" t="s">
        <v>32</v>
      </c>
      <c r="J1890" s="2" t="s">
        <v>33</v>
      </c>
      <c r="K1890" s="1">
        <v>182.14</v>
      </c>
      <c r="L1890" s="3">
        <v>45361</v>
      </c>
    </row>
    <row r="1891" spans="1:12" x14ac:dyDescent="0.25">
      <c r="A1891" s="1">
        <v>101755</v>
      </c>
      <c r="B1891" s="2" t="s">
        <v>385</v>
      </c>
      <c r="C1891" s="2" t="s">
        <v>85</v>
      </c>
      <c r="D1891" s="2" t="s">
        <v>16</v>
      </c>
      <c r="E1891" s="2" t="s">
        <v>55</v>
      </c>
      <c r="F1891" s="2" t="s">
        <v>18</v>
      </c>
      <c r="G1891" s="1">
        <v>0</v>
      </c>
      <c r="H1891" s="1">
        <v>490</v>
      </c>
      <c r="I1891" s="2" t="s">
        <v>37</v>
      </c>
      <c r="J1891" s="2" t="s">
        <v>26</v>
      </c>
      <c r="K1891" s="1">
        <v>63.08</v>
      </c>
      <c r="L1891" s="3">
        <v>45361</v>
      </c>
    </row>
    <row r="1892" spans="1:12" x14ac:dyDescent="0.25">
      <c r="A1892" s="1">
        <v>101902</v>
      </c>
      <c r="B1892" s="2" t="s">
        <v>1663</v>
      </c>
      <c r="C1892" s="2" t="s">
        <v>100</v>
      </c>
      <c r="D1892" s="2" t="s">
        <v>50</v>
      </c>
      <c r="E1892" s="2" t="s">
        <v>78</v>
      </c>
      <c r="F1892" s="2" t="s">
        <v>25</v>
      </c>
      <c r="G1892" s="1">
        <v>22</v>
      </c>
      <c r="H1892" s="1">
        <v>452</v>
      </c>
      <c r="I1892" s="2" t="s">
        <v>19</v>
      </c>
      <c r="J1892" s="2" t="s">
        <v>20</v>
      </c>
      <c r="K1892" s="1">
        <v>787.72</v>
      </c>
      <c r="L1892" s="3">
        <v>45360</v>
      </c>
    </row>
    <row r="1893" spans="1:12" x14ac:dyDescent="0.25">
      <c r="A1893" s="1">
        <v>100758</v>
      </c>
      <c r="B1893" s="2" t="s">
        <v>515</v>
      </c>
      <c r="C1893" s="2" t="s">
        <v>22</v>
      </c>
      <c r="D1893" s="2" t="s">
        <v>64</v>
      </c>
      <c r="E1893" s="2" t="s">
        <v>55</v>
      </c>
      <c r="F1893" s="2" t="s">
        <v>18</v>
      </c>
      <c r="G1893" s="1">
        <v>0</v>
      </c>
      <c r="H1893" s="1">
        <v>826</v>
      </c>
      <c r="I1893" s="2" t="s">
        <v>37</v>
      </c>
      <c r="J1893" s="2" t="s">
        <v>20</v>
      </c>
      <c r="K1893" s="1">
        <v>377.06</v>
      </c>
      <c r="L1893" s="3">
        <v>45360</v>
      </c>
    </row>
    <row r="1894" spans="1:12" x14ac:dyDescent="0.25">
      <c r="A1894" s="1">
        <v>101915</v>
      </c>
      <c r="B1894" s="2" t="s">
        <v>255</v>
      </c>
      <c r="C1894" s="2" t="s">
        <v>52</v>
      </c>
      <c r="D1894" s="2" t="s">
        <v>64</v>
      </c>
      <c r="E1894" s="2" t="s">
        <v>81</v>
      </c>
      <c r="F1894" s="2" t="s">
        <v>18</v>
      </c>
      <c r="G1894" s="1">
        <v>0</v>
      </c>
      <c r="H1894" s="1">
        <v>639</v>
      </c>
      <c r="I1894" s="2" t="s">
        <v>19</v>
      </c>
      <c r="J1894" s="2" t="s">
        <v>20</v>
      </c>
      <c r="K1894" s="1">
        <v>340.65</v>
      </c>
      <c r="L1894" s="3">
        <v>45360</v>
      </c>
    </row>
    <row r="1895" spans="1:12" x14ac:dyDescent="0.25">
      <c r="A1895" s="1">
        <v>100627</v>
      </c>
      <c r="B1895" s="2" t="s">
        <v>444</v>
      </c>
      <c r="C1895" s="2" t="s">
        <v>52</v>
      </c>
      <c r="D1895" s="2" t="s">
        <v>41</v>
      </c>
      <c r="E1895" s="2" t="s">
        <v>60</v>
      </c>
      <c r="F1895" s="2" t="s">
        <v>25</v>
      </c>
      <c r="G1895" s="1">
        <v>22</v>
      </c>
      <c r="H1895" s="1">
        <v>688</v>
      </c>
      <c r="I1895" s="2" t="s">
        <v>56</v>
      </c>
      <c r="J1895" s="2" t="s">
        <v>33</v>
      </c>
      <c r="K1895" s="1">
        <v>318.7</v>
      </c>
      <c r="L1895" s="3">
        <v>45360</v>
      </c>
    </row>
    <row r="1896" spans="1:12" x14ac:dyDescent="0.25">
      <c r="A1896" s="1">
        <v>101391</v>
      </c>
      <c r="B1896" s="2" t="s">
        <v>427</v>
      </c>
      <c r="C1896" s="2" t="s">
        <v>244</v>
      </c>
      <c r="D1896" s="2" t="s">
        <v>106</v>
      </c>
      <c r="E1896" s="2" t="s">
        <v>81</v>
      </c>
      <c r="F1896" s="2" t="s">
        <v>18</v>
      </c>
      <c r="G1896" s="1">
        <v>0</v>
      </c>
      <c r="H1896" s="1">
        <v>740</v>
      </c>
      <c r="I1896" s="2" t="s">
        <v>32</v>
      </c>
      <c r="J1896" s="2" t="s">
        <v>20</v>
      </c>
      <c r="K1896" s="1">
        <v>271.95999999999998</v>
      </c>
      <c r="L1896" s="3">
        <v>45360</v>
      </c>
    </row>
    <row r="1897" spans="1:12" x14ac:dyDescent="0.25">
      <c r="A1897" s="1">
        <v>101450</v>
      </c>
      <c r="B1897" s="2" t="s">
        <v>230</v>
      </c>
      <c r="C1897" s="2" t="s">
        <v>95</v>
      </c>
      <c r="D1897" s="2" t="s">
        <v>41</v>
      </c>
      <c r="E1897" s="2" t="s">
        <v>60</v>
      </c>
      <c r="F1897" s="2" t="s">
        <v>83</v>
      </c>
      <c r="G1897" s="1">
        <v>0</v>
      </c>
      <c r="H1897" s="1">
        <v>818</v>
      </c>
      <c r="I1897" s="2" t="s">
        <v>32</v>
      </c>
      <c r="J1897" s="2" t="s">
        <v>33</v>
      </c>
      <c r="K1897" s="1">
        <v>53.55</v>
      </c>
      <c r="L1897" s="3">
        <v>45359</v>
      </c>
    </row>
    <row r="1898" spans="1:12" x14ac:dyDescent="0.25">
      <c r="A1898" s="1">
        <v>100488</v>
      </c>
      <c r="B1898" s="2" t="s">
        <v>402</v>
      </c>
      <c r="C1898" s="2" t="s">
        <v>95</v>
      </c>
      <c r="D1898" s="2" t="s">
        <v>16</v>
      </c>
      <c r="E1898" s="2" t="s">
        <v>60</v>
      </c>
      <c r="F1898" s="2" t="s">
        <v>42</v>
      </c>
      <c r="G1898" s="1">
        <v>161</v>
      </c>
      <c r="H1898" s="1">
        <v>355</v>
      </c>
      <c r="I1898" s="2" t="s">
        <v>56</v>
      </c>
      <c r="J1898" s="2" t="s">
        <v>33</v>
      </c>
      <c r="K1898" s="1">
        <v>721.44</v>
      </c>
      <c r="L1898" s="3">
        <v>45358</v>
      </c>
    </row>
    <row r="1899" spans="1:12" x14ac:dyDescent="0.25">
      <c r="A1899" s="1">
        <v>102141</v>
      </c>
      <c r="B1899" s="2" t="s">
        <v>616</v>
      </c>
      <c r="C1899" s="2" t="s">
        <v>95</v>
      </c>
      <c r="D1899" s="2" t="s">
        <v>106</v>
      </c>
      <c r="E1899" s="2" t="s">
        <v>60</v>
      </c>
      <c r="F1899" s="2" t="s">
        <v>42</v>
      </c>
      <c r="G1899" s="1">
        <v>174</v>
      </c>
      <c r="H1899" s="1">
        <v>898</v>
      </c>
      <c r="I1899" s="2" t="s">
        <v>56</v>
      </c>
      <c r="J1899" s="2" t="s">
        <v>20</v>
      </c>
      <c r="K1899" s="1">
        <v>334.27</v>
      </c>
      <c r="L1899" s="3">
        <v>45358</v>
      </c>
    </row>
    <row r="1900" spans="1:12" x14ac:dyDescent="0.25">
      <c r="A1900" s="1">
        <v>101673</v>
      </c>
      <c r="B1900" s="2" t="s">
        <v>196</v>
      </c>
      <c r="C1900" s="2" t="s">
        <v>35</v>
      </c>
      <c r="D1900" s="2" t="s">
        <v>50</v>
      </c>
      <c r="E1900" s="2" t="s">
        <v>81</v>
      </c>
      <c r="F1900" s="2" t="s">
        <v>18</v>
      </c>
      <c r="G1900" s="1">
        <v>0</v>
      </c>
      <c r="H1900" s="1">
        <v>405</v>
      </c>
      <c r="I1900" s="2" t="s">
        <v>56</v>
      </c>
      <c r="J1900" s="2" t="s">
        <v>33</v>
      </c>
      <c r="K1900" s="1">
        <v>313.49</v>
      </c>
      <c r="L1900" s="3">
        <v>45358</v>
      </c>
    </row>
    <row r="1901" spans="1:12" x14ac:dyDescent="0.25">
      <c r="A1901" s="1">
        <v>100428</v>
      </c>
      <c r="B1901" s="2" t="s">
        <v>1036</v>
      </c>
      <c r="C1901" s="2" t="s">
        <v>149</v>
      </c>
      <c r="D1901" s="2" t="s">
        <v>64</v>
      </c>
      <c r="E1901" s="2" t="s">
        <v>70</v>
      </c>
      <c r="F1901" s="2" t="s">
        <v>83</v>
      </c>
      <c r="G1901" s="1">
        <v>0</v>
      </c>
      <c r="H1901" s="1">
        <v>358</v>
      </c>
      <c r="I1901" s="2" t="s">
        <v>19</v>
      </c>
      <c r="J1901" s="2" t="s">
        <v>20</v>
      </c>
      <c r="K1901" s="1">
        <v>240.03</v>
      </c>
      <c r="L1901" s="3">
        <v>45358</v>
      </c>
    </row>
    <row r="1902" spans="1:12" x14ac:dyDescent="0.25">
      <c r="A1902" s="1">
        <v>101400</v>
      </c>
      <c r="B1902" s="2" t="s">
        <v>382</v>
      </c>
      <c r="C1902" s="2" t="s">
        <v>152</v>
      </c>
      <c r="D1902" s="2" t="s">
        <v>50</v>
      </c>
      <c r="E1902" s="2" t="s">
        <v>31</v>
      </c>
      <c r="F1902" s="2" t="s">
        <v>83</v>
      </c>
      <c r="G1902" s="1">
        <v>0</v>
      </c>
      <c r="H1902" s="1">
        <v>797</v>
      </c>
      <c r="I1902" s="2" t="s">
        <v>37</v>
      </c>
      <c r="J1902" s="2" t="s">
        <v>26</v>
      </c>
      <c r="K1902" s="1">
        <v>489.36</v>
      </c>
      <c r="L1902" s="3">
        <v>45357</v>
      </c>
    </row>
    <row r="1903" spans="1:12" x14ac:dyDescent="0.25">
      <c r="A1903" s="1">
        <v>100342</v>
      </c>
      <c r="B1903" s="2" t="s">
        <v>576</v>
      </c>
      <c r="C1903" s="2" t="s">
        <v>22</v>
      </c>
      <c r="D1903" s="2" t="s">
        <v>16</v>
      </c>
      <c r="E1903" s="2" t="s">
        <v>70</v>
      </c>
      <c r="F1903" s="2" t="s">
        <v>18</v>
      </c>
      <c r="G1903" s="1">
        <v>0</v>
      </c>
      <c r="H1903" s="1">
        <v>418</v>
      </c>
      <c r="I1903" s="2" t="s">
        <v>32</v>
      </c>
      <c r="J1903" s="2" t="s">
        <v>20</v>
      </c>
      <c r="K1903" s="1">
        <v>353.91</v>
      </c>
      <c r="L1903" s="3">
        <v>45357</v>
      </c>
    </row>
    <row r="1904" spans="1:12" x14ac:dyDescent="0.25">
      <c r="A1904" s="1">
        <v>101291</v>
      </c>
      <c r="B1904" s="2" t="s">
        <v>528</v>
      </c>
      <c r="C1904" s="2" t="s">
        <v>103</v>
      </c>
      <c r="D1904" s="2" t="s">
        <v>50</v>
      </c>
      <c r="E1904" s="2" t="s">
        <v>17</v>
      </c>
      <c r="F1904" s="2" t="s">
        <v>18</v>
      </c>
      <c r="G1904" s="1">
        <v>0</v>
      </c>
      <c r="H1904" s="1">
        <v>583</v>
      </c>
      <c r="I1904" s="2" t="s">
        <v>32</v>
      </c>
      <c r="J1904" s="2" t="s">
        <v>26</v>
      </c>
      <c r="K1904" s="1">
        <v>263.14999999999998</v>
      </c>
      <c r="L1904" s="3">
        <v>45357</v>
      </c>
    </row>
    <row r="1905" spans="1:12" x14ac:dyDescent="0.25">
      <c r="A1905" s="1">
        <v>100603</v>
      </c>
      <c r="B1905" s="2" t="s">
        <v>157</v>
      </c>
      <c r="C1905" s="2" t="s">
        <v>103</v>
      </c>
      <c r="D1905" s="2" t="s">
        <v>50</v>
      </c>
      <c r="E1905" s="2" t="s">
        <v>31</v>
      </c>
      <c r="F1905" s="2" t="s">
        <v>42</v>
      </c>
      <c r="G1905" s="1">
        <v>68</v>
      </c>
      <c r="H1905" s="1">
        <v>897</v>
      </c>
      <c r="I1905" s="2" t="s">
        <v>56</v>
      </c>
      <c r="J1905" s="2" t="s">
        <v>33</v>
      </c>
      <c r="K1905" s="1">
        <v>78.31</v>
      </c>
      <c r="L1905" s="3">
        <v>45357</v>
      </c>
    </row>
    <row r="1906" spans="1:12" x14ac:dyDescent="0.25">
      <c r="A1906" s="1">
        <v>101076</v>
      </c>
      <c r="B1906" s="2" t="s">
        <v>276</v>
      </c>
      <c r="C1906" s="2" t="s">
        <v>52</v>
      </c>
      <c r="D1906" s="2" t="s">
        <v>106</v>
      </c>
      <c r="E1906" s="2" t="s">
        <v>35</v>
      </c>
      <c r="F1906" s="2" t="s">
        <v>83</v>
      </c>
      <c r="G1906" s="1">
        <v>0</v>
      </c>
      <c r="H1906" s="1">
        <v>638</v>
      </c>
      <c r="I1906" s="2" t="s">
        <v>56</v>
      </c>
      <c r="J1906" s="2" t="s">
        <v>33</v>
      </c>
      <c r="K1906" s="1">
        <v>555.53</v>
      </c>
      <c r="L1906" s="3">
        <v>45356</v>
      </c>
    </row>
    <row r="1907" spans="1:12" x14ac:dyDescent="0.25">
      <c r="A1907" s="1">
        <v>100139</v>
      </c>
      <c r="B1907" s="2" t="s">
        <v>157</v>
      </c>
      <c r="C1907" s="2" t="s">
        <v>103</v>
      </c>
      <c r="D1907" s="2" t="s">
        <v>106</v>
      </c>
      <c r="E1907" s="2" t="s">
        <v>81</v>
      </c>
      <c r="F1907" s="2" t="s">
        <v>18</v>
      </c>
      <c r="G1907" s="1">
        <v>0</v>
      </c>
      <c r="H1907" s="1">
        <v>897</v>
      </c>
      <c r="I1907" s="2" t="s">
        <v>37</v>
      </c>
      <c r="J1907" s="2" t="s">
        <v>20</v>
      </c>
      <c r="K1907" s="1">
        <v>532.37</v>
      </c>
      <c r="L1907" s="3">
        <v>45356</v>
      </c>
    </row>
    <row r="1908" spans="1:12" x14ac:dyDescent="0.25">
      <c r="A1908" s="1">
        <v>100714</v>
      </c>
      <c r="B1908" s="2" t="s">
        <v>742</v>
      </c>
      <c r="C1908" s="2" t="s">
        <v>100</v>
      </c>
      <c r="D1908" s="2" t="s">
        <v>41</v>
      </c>
      <c r="E1908" s="2" t="s">
        <v>60</v>
      </c>
      <c r="F1908" s="2" t="s">
        <v>83</v>
      </c>
      <c r="G1908" s="1">
        <v>0</v>
      </c>
      <c r="H1908" s="1">
        <v>571</v>
      </c>
      <c r="I1908" s="2" t="s">
        <v>32</v>
      </c>
      <c r="J1908" s="2" t="s">
        <v>20</v>
      </c>
      <c r="K1908" s="1">
        <v>492.86</v>
      </c>
      <c r="L1908" s="3">
        <v>45356</v>
      </c>
    </row>
    <row r="1909" spans="1:12" x14ac:dyDescent="0.25">
      <c r="A1909" s="1">
        <v>101709</v>
      </c>
      <c r="B1909" s="2" t="s">
        <v>212</v>
      </c>
      <c r="C1909" s="2" t="s">
        <v>95</v>
      </c>
      <c r="D1909" s="2" t="s">
        <v>64</v>
      </c>
      <c r="E1909" s="2" t="s">
        <v>55</v>
      </c>
      <c r="F1909" s="2" t="s">
        <v>42</v>
      </c>
      <c r="G1909" s="1">
        <v>70</v>
      </c>
      <c r="H1909" s="1">
        <v>662</v>
      </c>
      <c r="I1909" s="2" t="s">
        <v>56</v>
      </c>
      <c r="J1909" s="2" t="s">
        <v>20</v>
      </c>
      <c r="K1909" s="1">
        <v>491.18</v>
      </c>
      <c r="L1909" s="3">
        <v>45356</v>
      </c>
    </row>
    <row r="1910" spans="1:12" x14ac:dyDescent="0.25">
      <c r="A1910" s="1">
        <v>100653</v>
      </c>
      <c r="B1910" s="2" t="s">
        <v>325</v>
      </c>
      <c r="C1910" s="2" t="s">
        <v>126</v>
      </c>
      <c r="D1910" s="2" t="s">
        <v>50</v>
      </c>
      <c r="E1910" s="2" t="s">
        <v>31</v>
      </c>
      <c r="F1910" s="2" t="s">
        <v>25</v>
      </c>
      <c r="G1910" s="1">
        <v>21</v>
      </c>
      <c r="H1910" s="1">
        <v>570</v>
      </c>
      <c r="I1910" s="2" t="s">
        <v>45</v>
      </c>
      <c r="J1910" s="2" t="s">
        <v>33</v>
      </c>
      <c r="K1910" s="1">
        <v>268.01</v>
      </c>
      <c r="L1910" s="3">
        <v>45356</v>
      </c>
    </row>
    <row r="1911" spans="1:12" x14ac:dyDescent="0.25">
      <c r="A1911" s="1">
        <v>100262</v>
      </c>
      <c r="B1911" s="2" t="s">
        <v>463</v>
      </c>
      <c r="C1911" s="2" t="s">
        <v>126</v>
      </c>
      <c r="D1911" s="2" t="s">
        <v>50</v>
      </c>
      <c r="E1911" s="2" t="s">
        <v>81</v>
      </c>
      <c r="F1911" s="2" t="s">
        <v>18</v>
      </c>
      <c r="G1911" s="1">
        <v>0</v>
      </c>
      <c r="H1911" s="1">
        <v>765</v>
      </c>
      <c r="I1911" s="2" t="s">
        <v>32</v>
      </c>
      <c r="J1911" s="2" t="s">
        <v>20</v>
      </c>
      <c r="K1911" s="1">
        <v>153.81</v>
      </c>
      <c r="L1911" s="3">
        <v>45356</v>
      </c>
    </row>
    <row r="1912" spans="1:12" x14ac:dyDescent="0.25">
      <c r="A1912" s="1">
        <v>101328</v>
      </c>
      <c r="B1912" s="2" t="s">
        <v>276</v>
      </c>
      <c r="C1912" s="2" t="s">
        <v>35</v>
      </c>
      <c r="D1912" s="2" t="s">
        <v>41</v>
      </c>
      <c r="E1912" s="2" t="s">
        <v>55</v>
      </c>
      <c r="F1912" s="2" t="s">
        <v>83</v>
      </c>
      <c r="G1912" s="1">
        <v>0</v>
      </c>
      <c r="H1912" s="1">
        <v>638</v>
      </c>
      <c r="I1912" s="2" t="s">
        <v>19</v>
      </c>
      <c r="J1912" s="2" t="s">
        <v>26</v>
      </c>
      <c r="K1912" s="1">
        <v>832.94</v>
      </c>
      <c r="L1912" s="3">
        <v>45355</v>
      </c>
    </row>
    <row r="1913" spans="1:12" x14ac:dyDescent="0.25">
      <c r="A1913" s="1">
        <v>101900</v>
      </c>
      <c r="B1913" s="2" t="s">
        <v>765</v>
      </c>
      <c r="C1913" s="2" t="s">
        <v>22</v>
      </c>
      <c r="D1913" s="2" t="s">
        <v>64</v>
      </c>
      <c r="E1913" s="2" t="s">
        <v>60</v>
      </c>
      <c r="F1913" s="2" t="s">
        <v>18</v>
      </c>
      <c r="G1913" s="1">
        <v>0</v>
      </c>
      <c r="H1913" s="1">
        <v>851</v>
      </c>
      <c r="I1913" s="2" t="s">
        <v>56</v>
      </c>
      <c r="J1913" s="2" t="s">
        <v>20</v>
      </c>
      <c r="K1913" s="1">
        <v>804.46</v>
      </c>
      <c r="L1913" s="3">
        <v>45355</v>
      </c>
    </row>
    <row r="1914" spans="1:12" x14ac:dyDescent="0.25">
      <c r="A1914" s="1">
        <v>100301</v>
      </c>
      <c r="B1914" s="2" t="s">
        <v>619</v>
      </c>
      <c r="C1914" s="2" t="s">
        <v>244</v>
      </c>
      <c r="D1914" s="2" t="s">
        <v>50</v>
      </c>
      <c r="E1914" s="2" t="s">
        <v>55</v>
      </c>
      <c r="F1914" s="2" t="s">
        <v>18</v>
      </c>
      <c r="G1914" s="1">
        <v>0</v>
      </c>
      <c r="H1914" s="1">
        <v>351</v>
      </c>
      <c r="I1914" s="2" t="s">
        <v>56</v>
      </c>
      <c r="J1914" s="2" t="s">
        <v>20</v>
      </c>
      <c r="K1914" s="1">
        <v>158.58000000000001</v>
      </c>
      <c r="L1914" s="3">
        <v>45355</v>
      </c>
    </row>
    <row r="1915" spans="1:12" x14ac:dyDescent="0.25">
      <c r="A1915" s="1">
        <v>101178</v>
      </c>
      <c r="B1915" s="2" t="s">
        <v>217</v>
      </c>
      <c r="C1915" s="2" t="s">
        <v>218</v>
      </c>
      <c r="D1915" s="2" t="s">
        <v>41</v>
      </c>
      <c r="E1915" s="2" t="s">
        <v>35</v>
      </c>
      <c r="F1915" s="2" t="s">
        <v>83</v>
      </c>
      <c r="G1915" s="1">
        <v>0</v>
      </c>
      <c r="H1915" s="1">
        <v>894</v>
      </c>
      <c r="I1915" s="2" t="s">
        <v>32</v>
      </c>
      <c r="J1915" s="2" t="s">
        <v>20</v>
      </c>
      <c r="K1915" s="1">
        <v>144.88999999999999</v>
      </c>
      <c r="L1915" s="3">
        <v>45355</v>
      </c>
    </row>
    <row r="1916" spans="1:12" x14ac:dyDescent="0.25">
      <c r="A1916" s="1">
        <v>100224</v>
      </c>
      <c r="B1916" s="2" t="s">
        <v>1373</v>
      </c>
      <c r="C1916" s="2" t="s">
        <v>122</v>
      </c>
      <c r="D1916" s="2" t="s">
        <v>50</v>
      </c>
      <c r="E1916" s="2" t="s">
        <v>17</v>
      </c>
      <c r="F1916" s="2" t="s">
        <v>25</v>
      </c>
      <c r="G1916" s="1">
        <v>7</v>
      </c>
      <c r="H1916" s="1">
        <v>359</v>
      </c>
      <c r="I1916" s="2" t="s">
        <v>37</v>
      </c>
      <c r="J1916" s="2" t="s">
        <v>20</v>
      </c>
      <c r="K1916" s="1">
        <v>37.58</v>
      </c>
      <c r="L1916" s="3">
        <v>45355</v>
      </c>
    </row>
    <row r="1917" spans="1:12" x14ac:dyDescent="0.25">
      <c r="A1917" s="1">
        <v>101586</v>
      </c>
      <c r="B1917" s="2" t="s">
        <v>794</v>
      </c>
      <c r="C1917" s="2" t="s">
        <v>52</v>
      </c>
      <c r="D1917" s="2" t="s">
        <v>41</v>
      </c>
      <c r="E1917" s="2" t="s">
        <v>55</v>
      </c>
      <c r="F1917" s="2" t="s">
        <v>83</v>
      </c>
      <c r="G1917" s="1">
        <v>0</v>
      </c>
      <c r="H1917" s="1">
        <v>733</v>
      </c>
      <c r="I1917" s="2" t="s">
        <v>35</v>
      </c>
      <c r="J1917" s="2" t="s">
        <v>33</v>
      </c>
      <c r="K1917" s="1">
        <v>130.94999999999999</v>
      </c>
      <c r="L1917" s="3">
        <v>45354</v>
      </c>
    </row>
    <row r="1918" spans="1:12" x14ac:dyDescent="0.25">
      <c r="A1918" s="1">
        <v>101596</v>
      </c>
      <c r="B1918" s="2" t="s">
        <v>207</v>
      </c>
      <c r="C1918" s="2" t="s">
        <v>103</v>
      </c>
      <c r="D1918" s="2" t="s">
        <v>50</v>
      </c>
      <c r="E1918" s="2" t="s">
        <v>17</v>
      </c>
      <c r="F1918" s="2" t="s">
        <v>18</v>
      </c>
      <c r="G1918" s="1" t="s">
        <v>35</v>
      </c>
      <c r="H1918" s="1">
        <v>360</v>
      </c>
      <c r="I1918" s="2" t="s">
        <v>56</v>
      </c>
      <c r="J1918" s="2" t="s">
        <v>20</v>
      </c>
      <c r="K1918" s="1">
        <v>39.729999999999997</v>
      </c>
      <c r="L1918" s="3">
        <v>45354</v>
      </c>
    </row>
    <row r="1919" spans="1:12" x14ac:dyDescent="0.25">
      <c r="A1919" s="1">
        <v>101568</v>
      </c>
      <c r="B1919" s="2" t="s">
        <v>616</v>
      </c>
      <c r="C1919" s="2" t="s">
        <v>95</v>
      </c>
      <c r="D1919" s="2" t="s">
        <v>64</v>
      </c>
      <c r="E1919" s="2" t="s">
        <v>60</v>
      </c>
      <c r="F1919" s="2" t="s">
        <v>83</v>
      </c>
      <c r="G1919" s="1">
        <v>0</v>
      </c>
      <c r="H1919" s="1">
        <v>898</v>
      </c>
      <c r="I1919" s="2" t="s">
        <v>45</v>
      </c>
      <c r="J1919" s="2" t="s">
        <v>20</v>
      </c>
      <c r="K1919" s="1">
        <v>578.63</v>
      </c>
      <c r="L1919" s="3">
        <v>45353</v>
      </c>
    </row>
    <row r="1920" spans="1:12" x14ac:dyDescent="0.25">
      <c r="A1920" s="1">
        <v>101278</v>
      </c>
      <c r="B1920" s="2" t="s">
        <v>27</v>
      </c>
      <c r="C1920" s="2" t="s">
        <v>28</v>
      </c>
      <c r="D1920" s="2" t="s">
        <v>50</v>
      </c>
      <c r="E1920" s="2" t="s">
        <v>55</v>
      </c>
      <c r="F1920" s="2" t="s">
        <v>18</v>
      </c>
      <c r="G1920" s="1">
        <v>0</v>
      </c>
      <c r="H1920" s="1">
        <v>849</v>
      </c>
      <c r="I1920" s="2" t="s">
        <v>32</v>
      </c>
      <c r="J1920" s="2" t="s">
        <v>33</v>
      </c>
      <c r="K1920" s="1">
        <v>462.92</v>
      </c>
      <c r="L1920" s="3">
        <v>45353</v>
      </c>
    </row>
    <row r="1921" spans="1:12" x14ac:dyDescent="0.25">
      <c r="A1921" s="1">
        <v>101418</v>
      </c>
      <c r="B1921" s="2" t="s">
        <v>241</v>
      </c>
      <c r="C1921" s="2" t="s">
        <v>58</v>
      </c>
      <c r="D1921" s="2" t="s">
        <v>50</v>
      </c>
      <c r="E1921" s="2" t="s">
        <v>70</v>
      </c>
      <c r="F1921" s="2" t="s">
        <v>18</v>
      </c>
      <c r="G1921" s="1">
        <v>0</v>
      </c>
      <c r="H1921" s="1">
        <v>468</v>
      </c>
      <c r="I1921" s="2" t="s">
        <v>32</v>
      </c>
      <c r="J1921" s="2" t="s">
        <v>26</v>
      </c>
      <c r="K1921" s="1">
        <v>454.12</v>
      </c>
      <c r="L1921" s="3">
        <v>45353</v>
      </c>
    </row>
    <row r="1922" spans="1:12" x14ac:dyDescent="0.25">
      <c r="A1922" s="1">
        <v>100280</v>
      </c>
      <c r="B1922" s="2" t="s">
        <v>545</v>
      </c>
      <c r="C1922" s="2" t="s">
        <v>126</v>
      </c>
      <c r="D1922" s="2" t="s">
        <v>64</v>
      </c>
      <c r="E1922" s="2" t="s">
        <v>31</v>
      </c>
      <c r="F1922" s="2" t="s">
        <v>18</v>
      </c>
      <c r="G1922" s="1">
        <v>0</v>
      </c>
      <c r="H1922" s="1">
        <v>494</v>
      </c>
      <c r="I1922" s="2" t="s">
        <v>32</v>
      </c>
      <c r="J1922" s="2" t="s">
        <v>20</v>
      </c>
      <c r="K1922" s="1">
        <v>418.5</v>
      </c>
      <c r="L1922" s="3">
        <v>45353</v>
      </c>
    </row>
    <row r="1923" spans="1:12" x14ac:dyDescent="0.25">
      <c r="A1923" s="1">
        <v>101953</v>
      </c>
      <c r="B1923" s="2" t="s">
        <v>512</v>
      </c>
      <c r="C1923" s="2" t="s">
        <v>152</v>
      </c>
      <c r="D1923" s="2" t="s">
        <v>50</v>
      </c>
      <c r="E1923" s="2" t="s">
        <v>78</v>
      </c>
      <c r="F1923" s="2" t="s">
        <v>25</v>
      </c>
      <c r="G1923" s="1">
        <v>2</v>
      </c>
      <c r="H1923" s="1">
        <v>853</v>
      </c>
      <c r="I1923" s="2" t="s">
        <v>45</v>
      </c>
      <c r="J1923" s="2" t="s">
        <v>35</v>
      </c>
      <c r="K1923" s="1">
        <v>212.27</v>
      </c>
      <c r="L1923" s="3">
        <v>45353</v>
      </c>
    </row>
    <row r="1924" spans="1:12" x14ac:dyDescent="0.25">
      <c r="A1924" s="1">
        <v>100306</v>
      </c>
      <c r="B1924" s="2" t="s">
        <v>1206</v>
      </c>
      <c r="C1924" s="2" t="s">
        <v>22</v>
      </c>
      <c r="D1924" s="2" t="s">
        <v>64</v>
      </c>
      <c r="E1924" s="2" t="s">
        <v>55</v>
      </c>
      <c r="F1924" s="2" t="s">
        <v>18</v>
      </c>
      <c r="G1924" s="1">
        <v>0</v>
      </c>
      <c r="H1924" s="1">
        <v>607</v>
      </c>
      <c r="I1924" s="2" t="s">
        <v>19</v>
      </c>
      <c r="J1924" s="2" t="s">
        <v>33</v>
      </c>
      <c r="K1924" s="1">
        <v>197.97</v>
      </c>
      <c r="L1924" s="3">
        <v>45353</v>
      </c>
    </row>
    <row r="1925" spans="1:12" x14ac:dyDescent="0.25">
      <c r="A1925" s="1">
        <v>101357</v>
      </c>
      <c r="B1925" s="2" t="s">
        <v>27</v>
      </c>
      <c r="C1925" s="2" t="s">
        <v>28</v>
      </c>
      <c r="D1925" s="2" t="s">
        <v>41</v>
      </c>
      <c r="E1925" s="2" t="s">
        <v>31</v>
      </c>
      <c r="F1925" s="2" t="s">
        <v>18</v>
      </c>
      <c r="G1925" s="1">
        <v>0</v>
      </c>
      <c r="H1925" s="1">
        <v>849</v>
      </c>
      <c r="I1925" s="2" t="s">
        <v>32</v>
      </c>
      <c r="J1925" s="2" t="s">
        <v>33</v>
      </c>
      <c r="K1925" s="1">
        <v>165.12</v>
      </c>
      <c r="L1925" s="3">
        <v>45353</v>
      </c>
    </row>
    <row r="1926" spans="1:12" x14ac:dyDescent="0.25">
      <c r="A1926" s="1">
        <v>101131</v>
      </c>
      <c r="B1926" s="2" t="s">
        <v>825</v>
      </c>
      <c r="C1926" s="2" t="s">
        <v>58</v>
      </c>
      <c r="D1926" s="2" t="s">
        <v>50</v>
      </c>
      <c r="E1926" s="2" t="s">
        <v>55</v>
      </c>
      <c r="F1926" s="2" t="s">
        <v>18</v>
      </c>
      <c r="G1926" s="1">
        <v>0</v>
      </c>
      <c r="H1926" s="1">
        <v>636</v>
      </c>
      <c r="I1926" s="2" t="s">
        <v>19</v>
      </c>
      <c r="J1926" s="2" t="s">
        <v>26</v>
      </c>
      <c r="K1926" s="1">
        <v>105.97</v>
      </c>
      <c r="L1926" s="3">
        <v>45353</v>
      </c>
    </row>
    <row r="1927" spans="1:12" x14ac:dyDescent="0.25">
      <c r="A1927" s="1">
        <v>101092</v>
      </c>
      <c r="B1927" s="2" t="s">
        <v>282</v>
      </c>
      <c r="C1927" s="2" t="s">
        <v>152</v>
      </c>
      <c r="D1927" s="2" t="s">
        <v>50</v>
      </c>
      <c r="E1927" s="2" t="s">
        <v>55</v>
      </c>
      <c r="F1927" s="2" t="s">
        <v>83</v>
      </c>
      <c r="G1927" s="1">
        <v>0</v>
      </c>
      <c r="H1927" s="1">
        <v>301</v>
      </c>
      <c r="I1927" s="2" t="s">
        <v>56</v>
      </c>
      <c r="J1927" s="2" t="s">
        <v>20</v>
      </c>
      <c r="K1927" s="1">
        <v>751.69</v>
      </c>
      <c r="L1927" s="3">
        <v>45352</v>
      </c>
    </row>
    <row r="1928" spans="1:12" x14ac:dyDescent="0.25">
      <c r="A1928" s="1">
        <v>101458</v>
      </c>
      <c r="B1928" s="2" t="s">
        <v>382</v>
      </c>
      <c r="C1928" s="2" t="s">
        <v>152</v>
      </c>
      <c r="D1928" s="2" t="s">
        <v>16</v>
      </c>
      <c r="E1928" s="2" t="s">
        <v>60</v>
      </c>
      <c r="F1928" s="2" t="s">
        <v>18</v>
      </c>
      <c r="G1928" s="1">
        <v>0</v>
      </c>
      <c r="H1928" s="1">
        <v>797</v>
      </c>
      <c r="I1928" s="2" t="s">
        <v>45</v>
      </c>
      <c r="J1928" s="2" t="s">
        <v>20</v>
      </c>
      <c r="K1928" s="1">
        <v>505.82</v>
      </c>
      <c r="L1928" s="3">
        <v>45352</v>
      </c>
    </row>
    <row r="1929" spans="1:12" x14ac:dyDescent="0.25">
      <c r="A1929" s="1">
        <v>100146</v>
      </c>
      <c r="B1929" s="2" t="s">
        <v>1036</v>
      </c>
      <c r="C1929" s="2" t="s">
        <v>149</v>
      </c>
      <c r="D1929" s="2" t="s">
        <v>16</v>
      </c>
      <c r="E1929" s="2" t="s">
        <v>31</v>
      </c>
      <c r="F1929" s="2" t="s">
        <v>18</v>
      </c>
      <c r="G1929" s="1">
        <v>0</v>
      </c>
      <c r="H1929" s="1">
        <v>358</v>
      </c>
      <c r="I1929" s="2" t="s">
        <v>45</v>
      </c>
      <c r="J1929" s="2" t="s">
        <v>20</v>
      </c>
      <c r="K1929" s="1">
        <v>476.12</v>
      </c>
      <c r="L1929" s="3">
        <v>45352</v>
      </c>
    </row>
    <row r="1930" spans="1:12" x14ac:dyDescent="0.25">
      <c r="A1930" s="1">
        <v>101542</v>
      </c>
      <c r="B1930" s="2" t="s">
        <v>325</v>
      </c>
      <c r="C1930" s="2" t="s">
        <v>126</v>
      </c>
      <c r="D1930" s="2" t="s">
        <v>64</v>
      </c>
      <c r="E1930" s="2" t="s">
        <v>81</v>
      </c>
      <c r="F1930" s="2" t="s">
        <v>83</v>
      </c>
      <c r="G1930" s="1">
        <v>0</v>
      </c>
      <c r="H1930" s="1">
        <v>570</v>
      </c>
      <c r="I1930" s="2" t="s">
        <v>32</v>
      </c>
      <c r="J1930" s="2" t="s">
        <v>20</v>
      </c>
      <c r="K1930" s="1">
        <v>289.95999999999998</v>
      </c>
      <c r="L1930" s="3">
        <v>45351</v>
      </c>
    </row>
    <row r="1931" spans="1:12" x14ac:dyDescent="0.25">
      <c r="A1931" s="1">
        <v>100202</v>
      </c>
      <c r="B1931" s="2" t="s">
        <v>319</v>
      </c>
      <c r="C1931" s="2" t="s">
        <v>100</v>
      </c>
      <c r="D1931" s="2" t="s">
        <v>41</v>
      </c>
      <c r="E1931" s="2" t="s">
        <v>60</v>
      </c>
      <c r="F1931" s="2" t="s">
        <v>18</v>
      </c>
      <c r="G1931" s="1">
        <v>0</v>
      </c>
      <c r="H1931" s="1">
        <v>411</v>
      </c>
      <c r="I1931" s="2" t="s">
        <v>56</v>
      </c>
      <c r="J1931" s="2" t="s">
        <v>33</v>
      </c>
      <c r="K1931" s="1">
        <v>232.96</v>
      </c>
      <c r="L1931" s="3">
        <v>45351</v>
      </c>
    </row>
    <row r="1932" spans="1:12" x14ac:dyDescent="0.25">
      <c r="A1932" s="1">
        <v>102178</v>
      </c>
      <c r="B1932" s="2" t="s">
        <v>160</v>
      </c>
      <c r="C1932" s="2" t="s">
        <v>72</v>
      </c>
      <c r="D1932" s="2" t="s">
        <v>106</v>
      </c>
      <c r="E1932" s="2" t="s">
        <v>70</v>
      </c>
      <c r="F1932" s="2" t="s">
        <v>83</v>
      </c>
      <c r="G1932" s="1">
        <v>0</v>
      </c>
      <c r="H1932" s="1">
        <v>585</v>
      </c>
      <c r="I1932" s="2" t="s">
        <v>19</v>
      </c>
      <c r="J1932" s="2" t="s">
        <v>26</v>
      </c>
      <c r="K1932" s="1">
        <v>869.29</v>
      </c>
      <c r="L1932" s="3">
        <v>45350</v>
      </c>
    </row>
    <row r="1933" spans="1:12" x14ac:dyDescent="0.25">
      <c r="A1933" s="1">
        <v>101160</v>
      </c>
      <c r="B1933" s="2" t="s">
        <v>534</v>
      </c>
      <c r="C1933" s="2" t="s">
        <v>39</v>
      </c>
      <c r="D1933" s="2" t="s">
        <v>64</v>
      </c>
      <c r="E1933" s="2" t="s">
        <v>81</v>
      </c>
      <c r="F1933" s="2" t="s">
        <v>25</v>
      </c>
      <c r="G1933" s="1">
        <v>23</v>
      </c>
      <c r="H1933" s="1">
        <v>592</v>
      </c>
      <c r="I1933" s="2" t="s">
        <v>37</v>
      </c>
      <c r="J1933" s="2" t="s">
        <v>20</v>
      </c>
      <c r="K1933" s="1">
        <v>727.54</v>
      </c>
      <c r="L1933" s="3">
        <v>45350</v>
      </c>
    </row>
    <row r="1934" spans="1:12" x14ac:dyDescent="0.25">
      <c r="A1934" s="1">
        <v>101469</v>
      </c>
      <c r="B1934" s="2" t="s">
        <v>1378</v>
      </c>
      <c r="C1934" s="2" t="s">
        <v>142</v>
      </c>
      <c r="D1934" s="2" t="s">
        <v>50</v>
      </c>
      <c r="E1934" s="2" t="s">
        <v>81</v>
      </c>
      <c r="F1934" s="2" t="s">
        <v>18</v>
      </c>
      <c r="G1934" s="1">
        <v>0</v>
      </c>
      <c r="H1934" s="1">
        <v>369</v>
      </c>
      <c r="I1934" s="2" t="s">
        <v>19</v>
      </c>
      <c r="J1934" s="2" t="s">
        <v>26</v>
      </c>
      <c r="K1934" s="1">
        <v>674.42</v>
      </c>
      <c r="L1934" s="3">
        <v>45350</v>
      </c>
    </row>
    <row r="1935" spans="1:12" x14ac:dyDescent="0.25">
      <c r="A1935" s="1">
        <v>100254</v>
      </c>
      <c r="B1935" s="2" t="s">
        <v>703</v>
      </c>
      <c r="C1935" s="2" t="s">
        <v>52</v>
      </c>
      <c r="D1935" s="2" t="s">
        <v>41</v>
      </c>
      <c r="E1935" s="2" t="s">
        <v>78</v>
      </c>
      <c r="F1935" s="2" t="s">
        <v>83</v>
      </c>
      <c r="G1935" s="1">
        <v>0</v>
      </c>
      <c r="H1935" s="1">
        <v>609</v>
      </c>
      <c r="I1935" s="2" t="s">
        <v>56</v>
      </c>
      <c r="J1935" s="2" t="s">
        <v>26</v>
      </c>
      <c r="K1935" s="1">
        <v>545.16</v>
      </c>
      <c r="L1935" s="3">
        <v>45350</v>
      </c>
    </row>
    <row r="1936" spans="1:12" x14ac:dyDescent="0.25">
      <c r="A1936" s="1">
        <v>101373</v>
      </c>
      <c r="B1936" s="2" t="s">
        <v>157</v>
      </c>
      <c r="C1936" s="2" t="s">
        <v>103</v>
      </c>
      <c r="D1936" s="2" t="s">
        <v>41</v>
      </c>
      <c r="E1936" s="2" t="s">
        <v>60</v>
      </c>
      <c r="F1936" s="2" t="s">
        <v>83</v>
      </c>
      <c r="G1936" s="1">
        <v>0</v>
      </c>
      <c r="H1936" s="1">
        <v>897</v>
      </c>
      <c r="I1936" s="2" t="s">
        <v>32</v>
      </c>
      <c r="J1936" s="2" t="s">
        <v>26</v>
      </c>
      <c r="K1936" s="1">
        <v>469.1</v>
      </c>
      <c r="L1936" s="3">
        <v>45350</v>
      </c>
    </row>
    <row r="1937" spans="1:12" x14ac:dyDescent="0.25">
      <c r="A1937" s="1">
        <v>100810</v>
      </c>
      <c r="B1937" s="2" t="s">
        <v>402</v>
      </c>
      <c r="C1937" s="2" t="s">
        <v>95</v>
      </c>
      <c r="D1937" s="2" t="s">
        <v>106</v>
      </c>
      <c r="E1937" s="2" t="s">
        <v>81</v>
      </c>
      <c r="F1937" s="2" t="s">
        <v>83</v>
      </c>
      <c r="G1937" s="1">
        <v>0</v>
      </c>
      <c r="H1937" s="1">
        <v>355</v>
      </c>
      <c r="I1937" s="2" t="s">
        <v>35</v>
      </c>
      <c r="J1937" s="2" t="s">
        <v>20</v>
      </c>
      <c r="K1937" s="1">
        <v>272.42</v>
      </c>
      <c r="L1937" s="3">
        <v>45350</v>
      </c>
    </row>
    <row r="1938" spans="1:12" x14ac:dyDescent="0.25">
      <c r="A1938" s="1">
        <v>101482</v>
      </c>
      <c r="B1938" s="2" t="s">
        <v>1357</v>
      </c>
      <c r="C1938" s="2" t="s">
        <v>100</v>
      </c>
      <c r="D1938" s="2" t="s">
        <v>41</v>
      </c>
      <c r="E1938" s="2" t="s">
        <v>81</v>
      </c>
      <c r="F1938" s="2" t="s">
        <v>18</v>
      </c>
      <c r="G1938" s="1">
        <v>0</v>
      </c>
      <c r="H1938" s="1">
        <v>522</v>
      </c>
      <c r="I1938" s="2" t="s">
        <v>56</v>
      </c>
      <c r="J1938" s="2" t="s">
        <v>33</v>
      </c>
      <c r="K1938" s="1">
        <v>505.31</v>
      </c>
      <c r="L1938" s="3">
        <v>45349</v>
      </c>
    </row>
    <row r="1939" spans="1:12" x14ac:dyDescent="0.25">
      <c r="A1939" s="1">
        <v>101096</v>
      </c>
      <c r="B1939" s="2" t="s">
        <v>1175</v>
      </c>
      <c r="C1939" s="2" t="s">
        <v>142</v>
      </c>
      <c r="D1939" s="2" t="s">
        <v>41</v>
      </c>
      <c r="E1939" s="2" t="s">
        <v>31</v>
      </c>
      <c r="F1939" s="2" t="s">
        <v>18</v>
      </c>
      <c r="G1939" s="1">
        <v>0</v>
      </c>
      <c r="H1939" s="1">
        <v>573</v>
      </c>
      <c r="I1939" s="2" t="s">
        <v>56</v>
      </c>
      <c r="J1939" s="2" t="s">
        <v>20</v>
      </c>
      <c r="K1939" s="1">
        <v>393.94</v>
      </c>
      <c r="L1939" s="3">
        <v>45349</v>
      </c>
    </row>
    <row r="1940" spans="1:12" x14ac:dyDescent="0.25">
      <c r="A1940" s="1">
        <v>101258</v>
      </c>
      <c r="B1940" s="2" t="s">
        <v>160</v>
      </c>
      <c r="C1940" s="2" t="s">
        <v>72</v>
      </c>
      <c r="D1940" s="2" t="s">
        <v>41</v>
      </c>
      <c r="E1940" s="2" t="s">
        <v>31</v>
      </c>
      <c r="F1940" s="2" t="s">
        <v>18</v>
      </c>
      <c r="G1940" s="1">
        <v>0</v>
      </c>
      <c r="H1940" s="1">
        <v>585</v>
      </c>
      <c r="I1940" s="2" t="s">
        <v>45</v>
      </c>
      <c r="J1940" s="2" t="s">
        <v>26</v>
      </c>
      <c r="K1940" s="1">
        <v>90.56</v>
      </c>
      <c r="L1940" s="3">
        <v>45349</v>
      </c>
    </row>
    <row r="1941" spans="1:12" x14ac:dyDescent="0.25">
      <c r="A1941" s="1">
        <v>101964</v>
      </c>
      <c r="B1941" s="2" t="s">
        <v>61</v>
      </c>
      <c r="C1941" s="2" t="s">
        <v>62</v>
      </c>
      <c r="D1941" s="2" t="s">
        <v>41</v>
      </c>
      <c r="E1941" s="2" t="s">
        <v>81</v>
      </c>
      <c r="F1941" s="2" t="s">
        <v>25</v>
      </c>
      <c r="G1941" s="1">
        <v>25</v>
      </c>
      <c r="H1941" s="1">
        <v>542</v>
      </c>
      <c r="I1941" s="2" t="s">
        <v>56</v>
      </c>
      <c r="J1941" s="2" t="s">
        <v>20</v>
      </c>
      <c r="K1941" s="1">
        <v>419.04</v>
      </c>
      <c r="L1941" s="3">
        <v>45348</v>
      </c>
    </row>
    <row r="1942" spans="1:12" x14ac:dyDescent="0.25">
      <c r="A1942" s="1">
        <v>100478</v>
      </c>
      <c r="B1942" s="2" t="s">
        <v>347</v>
      </c>
      <c r="C1942" s="2" t="s">
        <v>95</v>
      </c>
      <c r="D1942" s="2" t="s">
        <v>50</v>
      </c>
      <c r="E1942" s="2" t="s">
        <v>78</v>
      </c>
      <c r="F1942" s="2" t="s">
        <v>18</v>
      </c>
      <c r="G1942" s="1">
        <v>0</v>
      </c>
      <c r="H1942" s="1">
        <v>699</v>
      </c>
      <c r="I1942" s="2" t="s">
        <v>37</v>
      </c>
      <c r="J1942" s="2" t="s">
        <v>26</v>
      </c>
      <c r="K1942" s="1">
        <v>327.54000000000002</v>
      </c>
      <c r="L1942" s="3">
        <v>45348</v>
      </c>
    </row>
    <row r="1943" spans="1:12" x14ac:dyDescent="0.25">
      <c r="A1943" s="1">
        <v>102152</v>
      </c>
      <c r="B1943" s="2" t="s">
        <v>418</v>
      </c>
      <c r="C1943" s="2" t="s">
        <v>52</v>
      </c>
      <c r="D1943" s="2" t="s">
        <v>16</v>
      </c>
      <c r="E1943" s="2" t="s">
        <v>60</v>
      </c>
      <c r="F1943" s="2" t="s">
        <v>83</v>
      </c>
      <c r="G1943" s="1">
        <v>0</v>
      </c>
      <c r="H1943" s="1">
        <v>371</v>
      </c>
      <c r="I1943" s="2" t="s">
        <v>32</v>
      </c>
      <c r="J1943" s="2" t="s">
        <v>26</v>
      </c>
      <c r="K1943" s="1">
        <v>290</v>
      </c>
      <c r="L1943" s="3">
        <v>45348</v>
      </c>
    </row>
    <row r="1944" spans="1:12" x14ac:dyDescent="0.25">
      <c r="A1944" s="1">
        <v>100370</v>
      </c>
      <c r="B1944" s="2" t="s">
        <v>99</v>
      </c>
      <c r="C1944" s="2" t="s">
        <v>100</v>
      </c>
      <c r="D1944" s="2" t="s">
        <v>64</v>
      </c>
      <c r="E1944" s="2" t="s">
        <v>31</v>
      </c>
      <c r="F1944" s="2" t="s">
        <v>25</v>
      </c>
      <c r="G1944" s="1">
        <v>29</v>
      </c>
      <c r="H1944" s="1">
        <v>414</v>
      </c>
      <c r="I1944" s="2" t="s">
        <v>19</v>
      </c>
      <c r="J1944" s="2" t="s">
        <v>20</v>
      </c>
      <c r="K1944" s="1">
        <v>108.13</v>
      </c>
      <c r="L1944" s="3">
        <v>45348</v>
      </c>
    </row>
    <row r="1945" spans="1:12" x14ac:dyDescent="0.25">
      <c r="A1945" s="1">
        <v>102093</v>
      </c>
      <c r="B1945" s="2" t="s">
        <v>860</v>
      </c>
      <c r="C1945" s="2" t="s">
        <v>152</v>
      </c>
      <c r="D1945" s="2" t="s">
        <v>41</v>
      </c>
      <c r="E1945" s="2" t="s">
        <v>78</v>
      </c>
      <c r="F1945" s="2" t="s">
        <v>83</v>
      </c>
      <c r="G1945" s="1" t="s">
        <v>35</v>
      </c>
      <c r="H1945" s="1">
        <v>651</v>
      </c>
      <c r="I1945" s="2" t="s">
        <v>37</v>
      </c>
      <c r="J1945" s="2" t="s">
        <v>20</v>
      </c>
      <c r="K1945" s="1">
        <v>61.54</v>
      </c>
      <c r="L1945" s="3">
        <v>45348</v>
      </c>
    </row>
    <row r="1946" spans="1:12" x14ac:dyDescent="0.25">
      <c r="A1946" s="1">
        <v>101710</v>
      </c>
      <c r="B1946" s="2" t="s">
        <v>294</v>
      </c>
      <c r="C1946" s="2" t="s">
        <v>100</v>
      </c>
      <c r="D1946" s="2" t="s">
        <v>16</v>
      </c>
      <c r="E1946" s="2" t="s">
        <v>78</v>
      </c>
      <c r="F1946" s="2" t="s">
        <v>18</v>
      </c>
      <c r="G1946" s="1">
        <v>0</v>
      </c>
      <c r="H1946" s="1">
        <v>377</v>
      </c>
      <c r="I1946" s="2" t="s">
        <v>32</v>
      </c>
      <c r="J1946" s="2" t="s">
        <v>20</v>
      </c>
      <c r="K1946" s="1">
        <v>726.16</v>
      </c>
      <c r="L1946" s="3">
        <v>45347</v>
      </c>
    </row>
    <row r="1947" spans="1:12" x14ac:dyDescent="0.25">
      <c r="A1947" s="1">
        <v>100018</v>
      </c>
      <c r="B1947" s="2" t="s">
        <v>995</v>
      </c>
      <c r="C1947" s="2" t="s">
        <v>134</v>
      </c>
      <c r="D1947" s="2" t="s">
        <v>50</v>
      </c>
      <c r="E1947" s="2" t="s">
        <v>31</v>
      </c>
      <c r="F1947" s="2" t="s">
        <v>18</v>
      </c>
      <c r="G1947" s="1" t="s">
        <v>35</v>
      </c>
      <c r="H1947" s="1">
        <v>866</v>
      </c>
      <c r="I1947" s="2" t="s">
        <v>45</v>
      </c>
      <c r="J1947" s="2" t="s">
        <v>26</v>
      </c>
      <c r="K1947" s="1">
        <v>269.25</v>
      </c>
      <c r="L1947" s="3">
        <v>45347</v>
      </c>
    </row>
    <row r="1948" spans="1:12" x14ac:dyDescent="0.25">
      <c r="A1948" s="1">
        <v>100914</v>
      </c>
      <c r="B1948" s="2" t="s">
        <v>936</v>
      </c>
      <c r="C1948" s="2" t="s">
        <v>110</v>
      </c>
      <c r="D1948" s="2" t="s">
        <v>41</v>
      </c>
      <c r="E1948" s="2" t="s">
        <v>31</v>
      </c>
      <c r="F1948" s="2" t="s">
        <v>18</v>
      </c>
      <c r="G1948" s="1">
        <v>0</v>
      </c>
      <c r="H1948" s="1">
        <v>508</v>
      </c>
      <c r="I1948" s="2" t="s">
        <v>32</v>
      </c>
      <c r="J1948" s="2" t="s">
        <v>26</v>
      </c>
      <c r="K1948" s="1">
        <v>182.95</v>
      </c>
      <c r="L1948" s="3">
        <v>45345</v>
      </c>
    </row>
    <row r="1949" spans="1:12" x14ac:dyDescent="0.25">
      <c r="A1949" s="1">
        <v>101402</v>
      </c>
      <c r="B1949" s="2" t="s">
        <v>1378</v>
      </c>
      <c r="C1949" s="2" t="s">
        <v>142</v>
      </c>
      <c r="D1949" s="2" t="s">
        <v>16</v>
      </c>
      <c r="E1949" s="2" t="s">
        <v>55</v>
      </c>
      <c r="F1949" s="2" t="s">
        <v>83</v>
      </c>
      <c r="G1949" s="1">
        <v>0</v>
      </c>
      <c r="H1949" s="1">
        <v>369</v>
      </c>
      <c r="I1949" s="2" t="s">
        <v>56</v>
      </c>
      <c r="J1949" s="2" t="s">
        <v>33</v>
      </c>
      <c r="K1949" s="1"/>
      <c r="L1949" s="3">
        <v>45345</v>
      </c>
    </row>
    <row r="1950" spans="1:12" x14ac:dyDescent="0.25">
      <c r="A1950" s="1">
        <v>101327</v>
      </c>
      <c r="B1950" s="2" t="s">
        <v>212</v>
      </c>
      <c r="C1950" s="2" t="s">
        <v>95</v>
      </c>
      <c r="D1950" s="2" t="s">
        <v>16</v>
      </c>
      <c r="E1950" s="2" t="s">
        <v>55</v>
      </c>
      <c r="F1950" s="2" t="s">
        <v>18</v>
      </c>
      <c r="G1950" s="1">
        <v>0</v>
      </c>
      <c r="H1950" s="1">
        <v>662</v>
      </c>
      <c r="I1950" s="2" t="s">
        <v>37</v>
      </c>
      <c r="J1950" s="2" t="s">
        <v>26</v>
      </c>
      <c r="K1950" s="1">
        <v>692.52</v>
      </c>
      <c r="L1950" s="3">
        <v>45344</v>
      </c>
    </row>
    <row r="1951" spans="1:12" x14ac:dyDescent="0.25">
      <c r="A1951" s="1">
        <v>102167</v>
      </c>
      <c r="B1951" s="2" t="s">
        <v>497</v>
      </c>
      <c r="C1951" s="2" t="s">
        <v>142</v>
      </c>
      <c r="D1951" s="2" t="s">
        <v>41</v>
      </c>
      <c r="E1951" s="2" t="s">
        <v>78</v>
      </c>
      <c r="F1951" s="2" t="s">
        <v>25</v>
      </c>
      <c r="G1951" s="1">
        <v>23</v>
      </c>
      <c r="H1951" s="1">
        <v>465</v>
      </c>
      <c r="I1951" s="2" t="s">
        <v>32</v>
      </c>
      <c r="J1951" s="2" t="s">
        <v>26</v>
      </c>
      <c r="K1951" s="1">
        <v>650.41999999999996</v>
      </c>
      <c r="L1951" s="3">
        <v>45344</v>
      </c>
    </row>
    <row r="1952" spans="1:12" x14ac:dyDescent="0.25">
      <c r="A1952" s="1">
        <v>100050</v>
      </c>
      <c r="B1952" s="2" t="s">
        <v>1535</v>
      </c>
      <c r="C1952" s="2" t="s">
        <v>122</v>
      </c>
      <c r="D1952" s="2" t="s">
        <v>41</v>
      </c>
      <c r="E1952" s="2" t="s">
        <v>78</v>
      </c>
      <c r="F1952" s="2" t="s">
        <v>83</v>
      </c>
      <c r="G1952" s="1">
        <v>0</v>
      </c>
      <c r="H1952" s="1">
        <v>873</v>
      </c>
      <c r="I1952" s="2" t="s">
        <v>37</v>
      </c>
      <c r="J1952" s="2" t="s">
        <v>33</v>
      </c>
      <c r="K1952" s="1">
        <v>431.7</v>
      </c>
      <c r="L1952" s="3">
        <v>45344</v>
      </c>
    </row>
    <row r="1953" spans="1:12" x14ac:dyDescent="0.25">
      <c r="A1953" s="1">
        <v>100027</v>
      </c>
      <c r="B1953" s="2" t="s">
        <v>94</v>
      </c>
      <c r="C1953" s="2" t="s">
        <v>95</v>
      </c>
      <c r="D1953" s="2" t="s">
        <v>64</v>
      </c>
      <c r="E1953" s="2" t="s">
        <v>81</v>
      </c>
      <c r="F1953" s="2" t="s">
        <v>18</v>
      </c>
      <c r="G1953" s="1">
        <v>0</v>
      </c>
      <c r="H1953" s="1">
        <v>360</v>
      </c>
      <c r="I1953" s="2" t="s">
        <v>32</v>
      </c>
      <c r="J1953" s="2" t="s">
        <v>20</v>
      </c>
      <c r="K1953" s="1">
        <v>308.35000000000002</v>
      </c>
      <c r="L1953" s="3">
        <v>45344</v>
      </c>
    </row>
    <row r="1954" spans="1:12" x14ac:dyDescent="0.25">
      <c r="A1954" s="1">
        <v>100564</v>
      </c>
      <c r="B1954" s="2" t="s">
        <v>247</v>
      </c>
      <c r="C1954" s="2" t="s">
        <v>126</v>
      </c>
      <c r="D1954" s="2" t="s">
        <v>64</v>
      </c>
      <c r="E1954" s="2" t="s">
        <v>55</v>
      </c>
      <c r="F1954" s="2" t="s">
        <v>42</v>
      </c>
      <c r="G1954" s="1">
        <v>59</v>
      </c>
      <c r="H1954" s="1">
        <v>527</v>
      </c>
      <c r="I1954" s="2" t="s">
        <v>32</v>
      </c>
      <c r="J1954" s="2" t="s">
        <v>33</v>
      </c>
      <c r="K1954" s="1">
        <v>149.88999999999999</v>
      </c>
      <c r="L1954" s="3">
        <v>45344</v>
      </c>
    </row>
    <row r="1955" spans="1:12" x14ac:dyDescent="0.25">
      <c r="A1955" s="1">
        <v>101959</v>
      </c>
      <c r="B1955" s="2" t="s">
        <v>138</v>
      </c>
      <c r="C1955" s="2" t="s">
        <v>85</v>
      </c>
      <c r="D1955" s="2" t="s">
        <v>64</v>
      </c>
      <c r="E1955" s="2" t="s">
        <v>17</v>
      </c>
      <c r="F1955" s="2" t="s">
        <v>18</v>
      </c>
      <c r="G1955" s="1">
        <v>0</v>
      </c>
      <c r="H1955" s="1">
        <v>623</v>
      </c>
      <c r="I1955" s="2" t="s">
        <v>37</v>
      </c>
      <c r="J1955" s="2" t="s">
        <v>26</v>
      </c>
      <c r="K1955" s="1">
        <v>532.16</v>
      </c>
      <c r="L1955" s="3">
        <v>45343</v>
      </c>
    </row>
    <row r="1956" spans="1:12" x14ac:dyDescent="0.25">
      <c r="A1956" s="1">
        <v>100913</v>
      </c>
      <c r="B1956" s="2" t="s">
        <v>243</v>
      </c>
      <c r="C1956" s="2" t="s">
        <v>244</v>
      </c>
      <c r="D1956" s="2" t="s">
        <v>50</v>
      </c>
      <c r="E1956" s="2" t="s">
        <v>31</v>
      </c>
      <c r="F1956" s="2" t="s">
        <v>25</v>
      </c>
      <c r="G1956" s="1">
        <v>3</v>
      </c>
      <c r="H1956" s="1">
        <v>729</v>
      </c>
      <c r="I1956" s="2" t="s">
        <v>37</v>
      </c>
      <c r="J1956" s="2" t="s">
        <v>33</v>
      </c>
      <c r="K1956" s="1">
        <v>414.96</v>
      </c>
      <c r="L1956" s="3">
        <v>45343</v>
      </c>
    </row>
    <row r="1957" spans="1:12" x14ac:dyDescent="0.25">
      <c r="A1957" s="1">
        <v>100327</v>
      </c>
      <c r="B1957" s="2" t="s">
        <v>581</v>
      </c>
      <c r="C1957" s="2" t="s">
        <v>103</v>
      </c>
      <c r="D1957" s="2" t="s">
        <v>41</v>
      </c>
      <c r="E1957" s="2" t="s">
        <v>31</v>
      </c>
      <c r="F1957" s="2" t="s">
        <v>25</v>
      </c>
      <c r="G1957" s="1">
        <v>13</v>
      </c>
      <c r="H1957" s="1">
        <v>435</v>
      </c>
      <c r="I1957" s="2" t="s">
        <v>19</v>
      </c>
      <c r="J1957" s="2" t="s">
        <v>20</v>
      </c>
      <c r="K1957" s="1">
        <v>242.74</v>
      </c>
      <c r="L1957" s="3">
        <v>45343</v>
      </c>
    </row>
    <row r="1958" spans="1:12" x14ac:dyDescent="0.25">
      <c r="A1958" s="1">
        <v>102143</v>
      </c>
      <c r="B1958" s="2" t="s">
        <v>820</v>
      </c>
      <c r="C1958" s="2" t="s">
        <v>22</v>
      </c>
      <c r="D1958" s="2" t="s">
        <v>106</v>
      </c>
      <c r="E1958" s="2" t="s">
        <v>70</v>
      </c>
      <c r="F1958" s="2" t="s">
        <v>18</v>
      </c>
      <c r="G1958" s="1">
        <v>0</v>
      </c>
      <c r="H1958" s="1">
        <v>621</v>
      </c>
      <c r="I1958" s="2" t="s">
        <v>32</v>
      </c>
      <c r="J1958" s="2" t="s">
        <v>26</v>
      </c>
      <c r="K1958" s="1">
        <v>420.86</v>
      </c>
      <c r="L1958" s="3">
        <v>45342</v>
      </c>
    </row>
    <row r="1959" spans="1:12" x14ac:dyDescent="0.25">
      <c r="A1959" s="1">
        <v>100206</v>
      </c>
      <c r="B1959" s="2" t="s">
        <v>530</v>
      </c>
      <c r="C1959" s="2" t="s">
        <v>142</v>
      </c>
      <c r="D1959" s="2" t="s">
        <v>41</v>
      </c>
      <c r="E1959" s="2" t="s">
        <v>31</v>
      </c>
      <c r="F1959" s="2" t="s">
        <v>83</v>
      </c>
      <c r="G1959" s="1">
        <v>0</v>
      </c>
      <c r="H1959" s="1">
        <v>819</v>
      </c>
      <c r="I1959" s="2" t="s">
        <v>19</v>
      </c>
      <c r="J1959" s="2" t="s">
        <v>20</v>
      </c>
      <c r="K1959" s="1">
        <v>188.48</v>
      </c>
      <c r="L1959" s="3">
        <v>45341</v>
      </c>
    </row>
    <row r="1960" spans="1:12" x14ac:dyDescent="0.25">
      <c r="A1960" s="1">
        <v>101057</v>
      </c>
      <c r="B1960" s="2" t="s">
        <v>243</v>
      </c>
      <c r="C1960" s="2" t="s">
        <v>244</v>
      </c>
      <c r="D1960" s="2" t="s">
        <v>50</v>
      </c>
      <c r="E1960" s="2" t="s">
        <v>81</v>
      </c>
      <c r="F1960" s="2" t="s">
        <v>18</v>
      </c>
      <c r="G1960" s="1">
        <v>0</v>
      </c>
      <c r="H1960" s="1">
        <v>729</v>
      </c>
      <c r="I1960" s="2" t="s">
        <v>45</v>
      </c>
      <c r="J1960" s="2" t="s">
        <v>20</v>
      </c>
      <c r="K1960" s="1">
        <v>173.63</v>
      </c>
      <c r="L1960" s="3">
        <v>45341</v>
      </c>
    </row>
    <row r="1961" spans="1:12" x14ac:dyDescent="0.25">
      <c r="A1961" s="1">
        <v>100624</v>
      </c>
      <c r="B1961" s="2" t="s">
        <v>451</v>
      </c>
      <c r="C1961" s="2" t="s">
        <v>103</v>
      </c>
      <c r="D1961" s="2" t="s">
        <v>50</v>
      </c>
      <c r="E1961" s="2" t="s">
        <v>55</v>
      </c>
      <c r="F1961" s="2" t="s">
        <v>18</v>
      </c>
      <c r="G1961" s="1">
        <v>0</v>
      </c>
      <c r="H1961" s="1">
        <v>418</v>
      </c>
      <c r="I1961" s="2" t="s">
        <v>32</v>
      </c>
      <c r="J1961" s="2" t="s">
        <v>26</v>
      </c>
      <c r="K1961" s="1">
        <v>1149.21</v>
      </c>
      <c r="L1961" s="3">
        <v>45340</v>
      </c>
    </row>
    <row r="1962" spans="1:12" x14ac:dyDescent="0.25">
      <c r="A1962" s="1">
        <v>100475</v>
      </c>
      <c r="B1962" s="2" t="s">
        <v>247</v>
      </c>
      <c r="C1962" s="2" t="s">
        <v>126</v>
      </c>
      <c r="D1962" s="2" t="s">
        <v>16</v>
      </c>
      <c r="E1962" s="2" t="s">
        <v>55</v>
      </c>
      <c r="F1962" s="2" t="s">
        <v>18</v>
      </c>
      <c r="G1962" s="1">
        <v>0</v>
      </c>
      <c r="H1962" s="1">
        <v>527</v>
      </c>
      <c r="I1962" s="2" t="s">
        <v>56</v>
      </c>
      <c r="J1962" s="2" t="s">
        <v>26</v>
      </c>
      <c r="K1962" s="1">
        <v>271.36</v>
      </c>
      <c r="L1962" s="3">
        <v>45340</v>
      </c>
    </row>
    <row r="1963" spans="1:12" x14ac:dyDescent="0.25">
      <c r="A1963" s="1">
        <v>100225</v>
      </c>
      <c r="B1963" s="2" t="s">
        <v>217</v>
      </c>
      <c r="C1963" s="2" t="s">
        <v>218</v>
      </c>
      <c r="D1963" s="2" t="s">
        <v>50</v>
      </c>
      <c r="E1963" s="2" t="s">
        <v>55</v>
      </c>
      <c r="F1963" s="2" t="s">
        <v>83</v>
      </c>
      <c r="G1963" s="1">
        <v>0</v>
      </c>
      <c r="H1963" s="1">
        <v>894</v>
      </c>
      <c r="I1963" s="2" t="s">
        <v>56</v>
      </c>
      <c r="J1963" s="2" t="s">
        <v>26</v>
      </c>
      <c r="K1963" s="1">
        <v>222.58</v>
      </c>
      <c r="L1963" s="3">
        <v>45340</v>
      </c>
    </row>
    <row r="1964" spans="1:12" x14ac:dyDescent="0.25">
      <c r="A1964" s="1">
        <v>100265</v>
      </c>
      <c r="B1964" s="2" t="s">
        <v>299</v>
      </c>
      <c r="C1964" s="2" t="s">
        <v>22</v>
      </c>
      <c r="D1964" s="2" t="s">
        <v>106</v>
      </c>
      <c r="E1964" s="2" t="s">
        <v>17</v>
      </c>
      <c r="F1964" s="2" t="s">
        <v>18</v>
      </c>
      <c r="G1964" s="1">
        <v>0</v>
      </c>
      <c r="H1964" s="1">
        <v>855</v>
      </c>
      <c r="I1964" s="2" t="s">
        <v>19</v>
      </c>
      <c r="J1964" s="2" t="s">
        <v>35</v>
      </c>
      <c r="K1964" s="1">
        <v>221.74</v>
      </c>
      <c r="L1964" s="3">
        <v>45340</v>
      </c>
    </row>
    <row r="1965" spans="1:12" x14ac:dyDescent="0.25">
      <c r="A1965" s="1">
        <v>101517</v>
      </c>
      <c r="B1965" s="2" t="s">
        <v>534</v>
      </c>
      <c r="C1965" s="2" t="s">
        <v>39</v>
      </c>
      <c r="D1965" s="2" t="s">
        <v>41</v>
      </c>
      <c r="E1965" s="2" t="s">
        <v>17</v>
      </c>
      <c r="F1965" s="2" t="s">
        <v>18</v>
      </c>
      <c r="G1965" s="1">
        <v>0</v>
      </c>
      <c r="H1965" s="1">
        <v>592</v>
      </c>
      <c r="I1965" s="2" t="s">
        <v>19</v>
      </c>
      <c r="J1965" s="2" t="s">
        <v>20</v>
      </c>
      <c r="K1965" s="1">
        <v>1086.6400000000001</v>
      </c>
      <c r="L1965" s="3">
        <v>45339</v>
      </c>
    </row>
    <row r="1966" spans="1:12" x14ac:dyDescent="0.25">
      <c r="A1966" s="1">
        <v>101361</v>
      </c>
      <c r="B1966" s="2" t="s">
        <v>167</v>
      </c>
      <c r="C1966" s="2" t="s">
        <v>168</v>
      </c>
      <c r="D1966" s="2" t="s">
        <v>50</v>
      </c>
      <c r="E1966" s="2" t="s">
        <v>78</v>
      </c>
      <c r="F1966" s="2" t="s">
        <v>83</v>
      </c>
      <c r="G1966" s="1">
        <v>0</v>
      </c>
      <c r="H1966" s="1">
        <v>658</v>
      </c>
      <c r="I1966" s="2" t="s">
        <v>45</v>
      </c>
      <c r="J1966" s="2" t="s">
        <v>20</v>
      </c>
      <c r="K1966" s="1">
        <v>976.06</v>
      </c>
      <c r="L1966" s="3">
        <v>45339</v>
      </c>
    </row>
    <row r="1967" spans="1:12" x14ac:dyDescent="0.25">
      <c r="A1967" s="1">
        <v>101716</v>
      </c>
      <c r="B1967" s="2" t="s">
        <v>141</v>
      </c>
      <c r="C1967" s="2" t="s">
        <v>142</v>
      </c>
      <c r="D1967" s="2" t="s">
        <v>106</v>
      </c>
      <c r="E1967" s="2" t="s">
        <v>60</v>
      </c>
      <c r="F1967" s="2" t="s">
        <v>83</v>
      </c>
      <c r="G1967" s="1">
        <v>0</v>
      </c>
      <c r="H1967" s="1">
        <v>430</v>
      </c>
      <c r="I1967" s="2" t="s">
        <v>32</v>
      </c>
      <c r="J1967" s="2" t="s">
        <v>33</v>
      </c>
      <c r="K1967" s="1">
        <v>313.3</v>
      </c>
      <c r="L1967" s="3">
        <v>45339</v>
      </c>
    </row>
    <row r="1968" spans="1:12" x14ac:dyDescent="0.25">
      <c r="A1968" s="1">
        <v>102107</v>
      </c>
      <c r="B1968" s="2" t="s">
        <v>409</v>
      </c>
      <c r="C1968" s="2" t="s">
        <v>187</v>
      </c>
      <c r="D1968" s="2" t="s">
        <v>64</v>
      </c>
      <c r="E1968" s="2" t="s">
        <v>60</v>
      </c>
      <c r="F1968" s="2" t="s">
        <v>18</v>
      </c>
      <c r="G1968" s="1">
        <v>0</v>
      </c>
      <c r="H1968" s="1">
        <v>694</v>
      </c>
      <c r="I1968" s="2" t="s">
        <v>19</v>
      </c>
      <c r="J1968" s="2" t="s">
        <v>26</v>
      </c>
      <c r="K1968" s="1">
        <v>297.18</v>
      </c>
      <c r="L1968" s="3">
        <v>45339</v>
      </c>
    </row>
    <row r="1969" spans="1:12" x14ac:dyDescent="0.25">
      <c r="A1969" s="1">
        <v>101395</v>
      </c>
      <c r="B1969" s="2" t="s">
        <v>79</v>
      </c>
      <c r="C1969" s="2" t="s">
        <v>47</v>
      </c>
      <c r="D1969" s="2" t="s">
        <v>64</v>
      </c>
      <c r="E1969" s="2" t="s">
        <v>35</v>
      </c>
      <c r="F1969" s="2" t="s">
        <v>18</v>
      </c>
      <c r="G1969" s="1">
        <v>0</v>
      </c>
      <c r="H1969" s="1">
        <v>585</v>
      </c>
      <c r="I1969" s="2" t="s">
        <v>56</v>
      </c>
      <c r="J1969" s="2" t="s">
        <v>20</v>
      </c>
      <c r="K1969" s="1">
        <v>260.93</v>
      </c>
      <c r="L1969" s="3">
        <v>45339</v>
      </c>
    </row>
    <row r="1970" spans="1:12" x14ac:dyDescent="0.25">
      <c r="A1970" s="1">
        <v>100622</v>
      </c>
      <c r="B1970" s="2" t="s">
        <v>807</v>
      </c>
      <c r="C1970" s="2" t="s">
        <v>85</v>
      </c>
      <c r="D1970" s="2" t="s">
        <v>64</v>
      </c>
      <c r="E1970" s="2" t="s">
        <v>55</v>
      </c>
      <c r="F1970" s="2" t="s">
        <v>18</v>
      </c>
      <c r="G1970" s="1">
        <v>0</v>
      </c>
      <c r="H1970" s="1">
        <v>443</v>
      </c>
      <c r="I1970" s="2" t="s">
        <v>56</v>
      </c>
      <c r="J1970" s="2" t="s">
        <v>20</v>
      </c>
      <c r="K1970" s="1">
        <v>257.22000000000003</v>
      </c>
      <c r="L1970" s="3">
        <v>45339</v>
      </c>
    </row>
    <row r="1971" spans="1:12" x14ac:dyDescent="0.25">
      <c r="A1971" s="1">
        <v>100768</v>
      </c>
      <c r="B1971" s="2" t="s">
        <v>27</v>
      </c>
      <c r="C1971" s="2" t="s">
        <v>28</v>
      </c>
      <c r="D1971" s="2" t="s">
        <v>16</v>
      </c>
      <c r="E1971" s="2" t="s">
        <v>78</v>
      </c>
      <c r="F1971" s="2" t="s">
        <v>18</v>
      </c>
      <c r="G1971" s="1">
        <v>0</v>
      </c>
      <c r="H1971" s="1">
        <v>849</v>
      </c>
      <c r="I1971" s="2" t="s">
        <v>35</v>
      </c>
      <c r="J1971" s="2" t="s">
        <v>20</v>
      </c>
      <c r="K1971" s="1">
        <v>218.77</v>
      </c>
      <c r="L1971" s="3">
        <v>45339</v>
      </c>
    </row>
    <row r="1972" spans="1:12" x14ac:dyDescent="0.25">
      <c r="A1972" s="1">
        <v>100487</v>
      </c>
      <c r="B1972" s="2" t="s">
        <v>1357</v>
      </c>
      <c r="C1972" s="2" t="s">
        <v>100</v>
      </c>
      <c r="D1972" s="2" t="s">
        <v>41</v>
      </c>
      <c r="E1972" s="2" t="s">
        <v>17</v>
      </c>
      <c r="F1972" s="2" t="s">
        <v>83</v>
      </c>
      <c r="G1972" s="1">
        <v>0</v>
      </c>
      <c r="H1972" s="1">
        <v>522</v>
      </c>
      <c r="I1972" s="2" t="s">
        <v>37</v>
      </c>
      <c r="J1972" s="2" t="s">
        <v>33</v>
      </c>
      <c r="K1972" s="1"/>
      <c r="L1972" s="3">
        <v>45339</v>
      </c>
    </row>
    <row r="1973" spans="1:12" x14ac:dyDescent="0.25">
      <c r="A1973" s="1">
        <v>101423</v>
      </c>
      <c r="B1973" s="2" t="s">
        <v>243</v>
      </c>
      <c r="C1973" s="2" t="s">
        <v>244</v>
      </c>
      <c r="D1973" s="2" t="s">
        <v>41</v>
      </c>
      <c r="E1973" s="2" t="s">
        <v>81</v>
      </c>
      <c r="F1973" s="2" t="s">
        <v>18</v>
      </c>
      <c r="G1973" s="1">
        <v>0</v>
      </c>
      <c r="H1973" s="1">
        <v>729</v>
      </c>
      <c r="I1973" s="2" t="s">
        <v>32</v>
      </c>
      <c r="J1973" s="2" t="s">
        <v>20</v>
      </c>
      <c r="K1973" s="1">
        <v>1038.1099999999999</v>
      </c>
      <c r="L1973" s="3">
        <v>45338</v>
      </c>
    </row>
    <row r="1974" spans="1:12" x14ac:dyDescent="0.25">
      <c r="A1974" s="1">
        <v>100971</v>
      </c>
      <c r="B1974" s="2" t="s">
        <v>489</v>
      </c>
      <c r="C1974" s="2" t="s">
        <v>126</v>
      </c>
      <c r="D1974" s="2" t="s">
        <v>50</v>
      </c>
      <c r="E1974" s="2" t="s">
        <v>35</v>
      </c>
      <c r="F1974" s="2" t="s">
        <v>18</v>
      </c>
      <c r="G1974" s="1">
        <v>0</v>
      </c>
      <c r="H1974" s="1">
        <v>843</v>
      </c>
      <c r="I1974" s="2" t="s">
        <v>45</v>
      </c>
      <c r="J1974" s="2" t="s">
        <v>20</v>
      </c>
      <c r="K1974" s="1">
        <v>680.08</v>
      </c>
      <c r="L1974" s="3">
        <v>45338</v>
      </c>
    </row>
    <row r="1975" spans="1:12" x14ac:dyDescent="0.25">
      <c r="A1975" s="1">
        <v>100423</v>
      </c>
      <c r="B1975" s="2" t="s">
        <v>364</v>
      </c>
      <c r="C1975" s="2" t="s">
        <v>103</v>
      </c>
      <c r="D1975" s="2" t="s">
        <v>64</v>
      </c>
      <c r="E1975" s="2" t="s">
        <v>78</v>
      </c>
      <c r="F1975" s="2" t="s">
        <v>42</v>
      </c>
      <c r="G1975" s="1">
        <v>95</v>
      </c>
      <c r="H1975" s="1">
        <v>351</v>
      </c>
      <c r="I1975" s="2" t="s">
        <v>37</v>
      </c>
      <c r="J1975" s="2" t="s">
        <v>26</v>
      </c>
      <c r="K1975" s="1">
        <v>466.14</v>
      </c>
      <c r="L1975" s="3">
        <v>45338</v>
      </c>
    </row>
    <row r="1976" spans="1:12" x14ac:dyDescent="0.25">
      <c r="A1976" s="1">
        <v>101036</v>
      </c>
      <c r="B1976" s="2" t="s">
        <v>706</v>
      </c>
      <c r="C1976" s="2" t="s">
        <v>72</v>
      </c>
      <c r="D1976" s="2" t="s">
        <v>16</v>
      </c>
      <c r="E1976" s="2" t="s">
        <v>17</v>
      </c>
      <c r="F1976" s="2" t="s">
        <v>18</v>
      </c>
      <c r="G1976" s="1">
        <v>0</v>
      </c>
      <c r="H1976" s="1">
        <v>382</v>
      </c>
      <c r="I1976" s="2" t="s">
        <v>37</v>
      </c>
      <c r="J1976" s="2" t="s">
        <v>33</v>
      </c>
      <c r="K1976" s="1">
        <v>376.87</v>
      </c>
      <c r="L1976" s="3">
        <v>45338</v>
      </c>
    </row>
    <row r="1977" spans="1:12" x14ac:dyDescent="0.25">
      <c r="A1977" s="1">
        <v>100233</v>
      </c>
      <c r="B1977" s="2" t="s">
        <v>222</v>
      </c>
      <c r="C1977" s="2" t="s">
        <v>100</v>
      </c>
      <c r="D1977" s="2" t="s">
        <v>16</v>
      </c>
      <c r="E1977" s="2" t="s">
        <v>81</v>
      </c>
      <c r="F1977" s="2" t="s">
        <v>18</v>
      </c>
      <c r="G1977" s="1">
        <v>0</v>
      </c>
      <c r="H1977" s="1">
        <v>585</v>
      </c>
      <c r="I1977" s="2" t="s">
        <v>32</v>
      </c>
      <c r="J1977" s="2" t="s">
        <v>20</v>
      </c>
      <c r="K1977" s="1">
        <v>233.32</v>
      </c>
      <c r="L1977" s="3">
        <v>45338</v>
      </c>
    </row>
    <row r="1978" spans="1:12" x14ac:dyDescent="0.25">
      <c r="A1978" s="1">
        <v>100665</v>
      </c>
      <c r="B1978" s="2" t="s">
        <v>196</v>
      </c>
      <c r="C1978" s="2" t="s">
        <v>152</v>
      </c>
      <c r="D1978" s="2" t="s">
        <v>16</v>
      </c>
      <c r="E1978" s="2" t="s">
        <v>35</v>
      </c>
      <c r="F1978" s="2" t="s">
        <v>42</v>
      </c>
      <c r="G1978" s="1">
        <v>94</v>
      </c>
      <c r="H1978" s="1">
        <v>405</v>
      </c>
      <c r="I1978" s="2" t="s">
        <v>19</v>
      </c>
      <c r="J1978" s="2" t="s">
        <v>20</v>
      </c>
      <c r="K1978" s="1">
        <v>97.03</v>
      </c>
      <c r="L1978" s="3">
        <v>45338</v>
      </c>
    </row>
    <row r="1979" spans="1:12" x14ac:dyDescent="0.25">
      <c r="A1979" s="1">
        <v>101475</v>
      </c>
      <c r="B1979" s="2" t="s">
        <v>767</v>
      </c>
      <c r="C1979" s="2" t="s">
        <v>110</v>
      </c>
      <c r="D1979" s="2" t="s">
        <v>64</v>
      </c>
      <c r="E1979" s="2" t="s">
        <v>81</v>
      </c>
      <c r="F1979" s="2" t="s">
        <v>83</v>
      </c>
      <c r="G1979" s="1">
        <v>0</v>
      </c>
      <c r="H1979" s="1">
        <v>543</v>
      </c>
      <c r="I1979" s="2" t="s">
        <v>56</v>
      </c>
      <c r="J1979" s="2" t="s">
        <v>20</v>
      </c>
      <c r="K1979" s="1">
        <v>95.32</v>
      </c>
      <c r="L1979" s="3">
        <v>45338</v>
      </c>
    </row>
    <row r="1980" spans="1:12" x14ac:dyDescent="0.25">
      <c r="A1980" s="1">
        <v>100204</v>
      </c>
      <c r="B1980" s="2" t="s">
        <v>382</v>
      </c>
      <c r="C1980" s="2" t="s">
        <v>152</v>
      </c>
      <c r="D1980" s="2" t="s">
        <v>50</v>
      </c>
      <c r="E1980" s="2" t="s">
        <v>17</v>
      </c>
      <c r="F1980" s="2" t="s">
        <v>18</v>
      </c>
      <c r="G1980" s="1">
        <v>0</v>
      </c>
      <c r="H1980" s="1">
        <v>797</v>
      </c>
      <c r="I1980" s="2" t="s">
        <v>35</v>
      </c>
      <c r="J1980" s="2" t="s">
        <v>26</v>
      </c>
      <c r="K1980" s="1">
        <v>90.88</v>
      </c>
      <c r="L1980" s="3">
        <v>45338</v>
      </c>
    </row>
    <row r="1981" spans="1:12" x14ac:dyDescent="0.25">
      <c r="A1981" s="1">
        <v>101607</v>
      </c>
      <c r="B1981" s="2" t="s">
        <v>352</v>
      </c>
      <c r="C1981" s="2" t="s">
        <v>85</v>
      </c>
      <c r="D1981" s="2" t="s">
        <v>64</v>
      </c>
      <c r="E1981" s="2" t="s">
        <v>78</v>
      </c>
      <c r="F1981" s="2" t="s">
        <v>18</v>
      </c>
      <c r="G1981" s="1">
        <v>0</v>
      </c>
      <c r="H1981" s="1">
        <v>778</v>
      </c>
      <c r="I1981" s="2" t="s">
        <v>37</v>
      </c>
      <c r="J1981" s="2" t="s">
        <v>20</v>
      </c>
      <c r="K1981" s="1">
        <v>2521.8200000000002</v>
      </c>
      <c r="L1981" s="3">
        <v>45337</v>
      </c>
    </row>
    <row r="1982" spans="1:12" x14ac:dyDescent="0.25">
      <c r="A1982" s="1">
        <v>100824</v>
      </c>
      <c r="B1982" s="2" t="s">
        <v>446</v>
      </c>
      <c r="C1982" s="2" t="s">
        <v>168</v>
      </c>
      <c r="D1982" s="2" t="s">
        <v>50</v>
      </c>
      <c r="E1982" s="2" t="s">
        <v>55</v>
      </c>
      <c r="F1982" s="2" t="s">
        <v>42</v>
      </c>
      <c r="G1982" s="1">
        <v>67</v>
      </c>
      <c r="H1982" s="1">
        <v>515</v>
      </c>
      <c r="I1982" s="2" t="s">
        <v>37</v>
      </c>
      <c r="J1982" s="2" t="s">
        <v>20</v>
      </c>
      <c r="K1982" s="1">
        <v>1467.88</v>
      </c>
      <c r="L1982" s="3">
        <v>45337</v>
      </c>
    </row>
    <row r="1983" spans="1:12" x14ac:dyDescent="0.25">
      <c r="A1983" s="1">
        <v>101817</v>
      </c>
      <c r="B1983" s="2" t="s">
        <v>87</v>
      </c>
      <c r="C1983" s="2" t="s">
        <v>47</v>
      </c>
      <c r="D1983" s="2" t="s">
        <v>41</v>
      </c>
      <c r="E1983" s="2" t="s">
        <v>81</v>
      </c>
      <c r="F1983" s="2" t="s">
        <v>42</v>
      </c>
      <c r="G1983" s="1">
        <v>103</v>
      </c>
      <c r="H1983" s="1">
        <v>892</v>
      </c>
      <c r="I1983" s="2" t="s">
        <v>56</v>
      </c>
      <c r="J1983" s="2" t="s">
        <v>20</v>
      </c>
      <c r="K1983" s="1">
        <v>791.72</v>
      </c>
      <c r="L1983" s="3">
        <v>45337</v>
      </c>
    </row>
    <row r="1984" spans="1:12" x14ac:dyDescent="0.25">
      <c r="A1984" s="1">
        <v>100074</v>
      </c>
      <c r="B1984" s="2" t="s">
        <v>460</v>
      </c>
      <c r="C1984" s="2" t="s">
        <v>95</v>
      </c>
      <c r="D1984" s="2" t="s">
        <v>16</v>
      </c>
      <c r="E1984" s="2" t="s">
        <v>31</v>
      </c>
      <c r="F1984" s="2" t="s">
        <v>18</v>
      </c>
      <c r="G1984" s="1">
        <v>0</v>
      </c>
      <c r="H1984" s="1">
        <v>716</v>
      </c>
      <c r="I1984" s="2" t="s">
        <v>37</v>
      </c>
      <c r="J1984" s="2" t="s">
        <v>35</v>
      </c>
      <c r="K1984" s="1">
        <v>556.91999999999996</v>
      </c>
      <c r="L1984" s="3">
        <v>45337</v>
      </c>
    </row>
    <row r="1985" spans="1:12" x14ac:dyDescent="0.25">
      <c r="A1985" s="1">
        <v>101717</v>
      </c>
      <c r="B1985" s="2" t="s">
        <v>109</v>
      </c>
      <c r="C1985" s="2" t="s">
        <v>110</v>
      </c>
      <c r="D1985" s="2" t="s">
        <v>41</v>
      </c>
      <c r="E1985" s="2" t="s">
        <v>81</v>
      </c>
      <c r="F1985" s="2" t="s">
        <v>18</v>
      </c>
      <c r="G1985" s="1">
        <v>0</v>
      </c>
      <c r="H1985" s="1">
        <v>591</v>
      </c>
      <c r="I1985" s="2" t="s">
        <v>37</v>
      </c>
      <c r="J1985" s="2" t="s">
        <v>20</v>
      </c>
      <c r="K1985" s="1">
        <v>450.12</v>
      </c>
      <c r="L1985" s="3">
        <v>45337</v>
      </c>
    </row>
    <row r="1986" spans="1:12" x14ac:dyDescent="0.25">
      <c r="A1986" s="1">
        <v>100459</v>
      </c>
      <c r="B1986" s="2" t="s">
        <v>213</v>
      </c>
      <c r="C1986" s="2" t="s">
        <v>58</v>
      </c>
      <c r="D1986" s="2" t="s">
        <v>50</v>
      </c>
      <c r="E1986" s="2" t="s">
        <v>31</v>
      </c>
      <c r="F1986" s="2" t="s">
        <v>18</v>
      </c>
      <c r="G1986" s="1">
        <v>0</v>
      </c>
      <c r="H1986" s="1">
        <v>324</v>
      </c>
      <c r="I1986" s="2" t="s">
        <v>56</v>
      </c>
      <c r="J1986" s="2" t="s">
        <v>33</v>
      </c>
      <c r="K1986" s="1">
        <v>224.4</v>
      </c>
      <c r="L1986" s="3">
        <v>45337</v>
      </c>
    </row>
    <row r="1987" spans="1:12" x14ac:dyDescent="0.25">
      <c r="A1987" s="1">
        <v>100137</v>
      </c>
      <c r="B1987" s="2" t="s">
        <v>371</v>
      </c>
      <c r="C1987" s="2" t="s">
        <v>52</v>
      </c>
      <c r="D1987" s="2" t="s">
        <v>41</v>
      </c>
      <c r="E1987" s="2" t="s">
        <v>81</v>
      </c>
      <c r="F1987" s="2" t="s">
        <v>18</v>
      </c>
      <c r="G1987" s="1">
        <v>0</v>
      </c>
      <c r="H1987" s="1">
        <v>339</v>
      </c>
      <c r="I1987" s="2" t="s">
        <v>19</v>
      </c>
      <c r="J1987" s="2" t="s">
        <v>33</v>
      </c>
      <c r="K1987" s="1"/>
      <c r="L1987" s="3">
        <v>45337</v>
      </c>
    </row>
    <row r="1988" spans="1:12" x14ac:dyDescent="0.25">
      <c r="A1988" s="1">
        <v>100576</v>
      </c>
      <c r="B1988" s="2" t="s">
        <v>155</v>
      </c>
      <c r="C1988" s="2" t="s">
        <v>142</v>
      </c>
      <c r="D1988" s="2" t="s">
        <v>50</v>
      </c>
      <c r="E1988" s="2" t="s">
        <v>55</v>
      </c>
      <c r="F1988" s="2" t="s">
        <v>83</v>
      </c>
      <c r="G1988" s="1">
        <v>0</v>
      </c>
      <c r="H1988" s="1">
        <v>339</v>
      </c>
      <c r="I1988" s="2" t="s">
        <v>45</v>
      </c>
      <c r="J1988" s="2" t="s">
        <v>20</v>
      </c>
      <c r="K1988" s="1">
        <v>811</v>
      </c>
      <c r="L1988" s="3">
        <v>45336</v>
      </c>
    </row>
    <row r="1989" spans="1:12" x14ac:dyDescent="0.25">
      <c r="A1989" s="1">
        <v>101017</v>
      </c>
      <c r="B1989" s="2" t="s">
        <v>102</v>
      </c>
      <c r="C1989" s="2" t="s">
        <v>103</v>
      </c>
      <c r="D1989" s="2" t="s">
        <v>16</v>
      </c>
      <c r="E1989" s="2" t="s">
        <v>78</v>
      </c>
      <c r="F1989" s="2" t="s">
        <v>25</v>
      </c>
      <c r="G1989" s="1">
        <v>14</v>
      </c>
      <c r="H1989" s="1">
        <v>733</v>
      </c>
      <c r="I1989" s="2" t="s">
        <v>32</v>
      </c>
      <c r="J1989" s="2" t="s">
        <v>33</v>
      </c>
      <c r="K1989" s="1">
        <v>477.28</v>
      </c>
      <c r="L1989" s="3">
        <v>45336</v>
      </c>
    </row>
    <row r="1990" spans="1:12" x14ac:dyDescent="0.25">
      <c r="A1990" s="1">
        <v>101592</v>
      </c>
      <c r="B1990" s="2" t="s">
        <v>585</v>
      </c>
      <c r="C1990" s="2" t="s">
        <v>270</v>
      </c>
      <c r="D1990" s="2" t="s">
        <v>16</v>
      </c>
      <c r="E1990" s="2" t="s">
        <v>81</v>
      </c>
      <c r="F1990" s="2" t="s">
        <v>83</v>
      </c>
      <c r="G1990" s="1">
        <v>0</v>
      </c>
      <c r="H1990" s="1">
        <v>814</v>
      </c>
      <c r="I1990" s="2" t="s">
        <v>32</v>
      </c>
      <c r="J1990" s="2" t="s">
        <v>35</v>
      </c>
      <c r="K1990" s="1">
        <v>446.84</v>
      </c>
      <c r="L1990" s="3">
        <v>45336</v>
      </c>
    </row>
    <row r="1991" spans="1:12" x14ac:dyDescent="0.25">
      <c r="A1991" s="1">
        <v>100917</v>
      </c>
      <c r="B1991" s="2" t="s">
        <v>196</v>
      </c>
      <c r="C1991" s="2" t="s">
        <v>152</v>
      </c>
      <c r="D1991" s="2" t="s">
        <v>64</v>
      </c>
      <c r="E1991" s="2" t="s">
        <v>81</v>
      </c>
      <c r="F1991" s="2" t="s">
        <v>18</v>
      </c>
      <c r="G1991" s="1">
        <v>0</v>
      </c>
      <c r="H1991" s="1">
        <v>405</v>
      </c>
      <c r="I1991" s="2" t="s">
        <v>56</v>
      </c>
      <c r="J1991" s="2" t="s">
        <v>20</v>
      </c>
      <c r="K1991" s="1">
        <v>1039.33</v>
      </c>
      <c r="L1991" s="3">
        <v>45335</v>
      </c>
    </row>
    <row r="1992" spans="1:12" x14ac:dyDescent="0.25">
      <c r="A1992" s="1">
        <v>100868</v>
      </c>
      <c r="B1992" s="2" t="s">
        <v>443</v>
      </c>
      <c r="C1992" s="2" t="s">
        <v>72</v>
      </c>
      <c r="D1992" s="2" t="s">
        <v>41</v>
      </c>
      <c r="E1992" s="2" t="s">
        <v>55</v>
      </c>
      <c r="F1992" s="2" t="s">
        <v>83</v>
      </c>
      <c r="G1992" s="1">
        <v>0</v>
      </c>
      <c r="H1992" s="1">
        <v>309</v>
      </c>
      <c r="I1992" s="2" t="s">
        <v>45</v>
      </c>
      <c r="J1992" s="2" t="s">
        <v>20</v>
      </c>
      <c r="K1992" s="1">
        <v>478.8</v>
      </c>
      <c r="L1992" s="3">
        <v>45335</v>
      </c>
    </row>
    <row r="1993" spans="1:12" x14ac:dyDescent="0.25">
      <c r="A1993" s="1">
        <v>102120</v>
      </c>
      <c r="B1993" s="2" t="s">
        <v>313</v>
      </c>
      <c r="C1993" s="2" t="s">
        <v>58</v>
      </c>
      <c r="D1993" s="2" t="s">
        <v>16</v>
      </c>
      <c r="E1993" s="2" t="s">
        <v>78</v>
      </c>
      <c r="F1993" s="2" t="s">
        <v>42</v>
      </c>
      <c r="G1993" s="1">
        <v>105</v>
      </c>
      <c r="H1993" s="1">
        <v>716</v>
      </c>
      <c r="I1993" s="2" t="s">
        <v>45</v>
      </c>
      <c r="J1993" s="2" t="s">
        <v>20</v>
      </c>
      <c r="K1993" s="1">
        <v>406.67</v>
      </c>
      <c r="L1993" s="3">
        <v>45335</v>
      </c>
    </row>
    <row r="1994" spans="1:12" x14ac:dyDescent="0.25">
      <c r="A1994" s="1">
        <v>101805</v>
      </c>
      <c r="B1994" s="2" t="s">
        <v>1036</v>
      </c>
      <c r="C1994" s="2" t="s">
        <v>149</v>
      </c>
      <c r="D1994" s="2" t="s">
        <v>41</v>
      </c>
      <c r="E1994" s="2" t="s">
        <v>60</v>
      </c>
      <c r="F1994" s="2" t="s">
        <v>83</v>
      </c>
      <c r="G1994" s="1">
        <v>0</v>
      </c>
      <c r="H1994" s="1">
        <v>358</v>
      </c>
      <c r="I1994" s="2" t="s">
        <v>45</v>
      </c>
      <c r="J1994" s="2" t="s">
        <v>20</v>
      </c>
      <c r="K1994" s="1">
        <v>373.75</v>
      </c>
      <c r="L1994" s="3">
        <v>45335</v>
      </c>
    </row>
    <row r="1995" spans="1:12" x14ac:dyDescent="0.25">
      <c r="A1995" s="1">
        <v>100980</v>
      </c>
      <c r="B1995" s="2" t="s">
        <v>563</v>
      </c>
      <c r="C1995" s="2" t="s">
        <v>58</v>
      </c>
      <c r="D1995" s="2" t="s">
        <v>64</v>
      </c>
      <c r="E1995" s="2" t="s">
        <v>31</v>
      </c>
      <c r="F1995" s="2" t="s">
        <v>18</v>
      </c>
      <c r="G1995" s="1">
        <v>0</v>
      </c>
      <c r="H1995" s="1">
        <v>893</v>
      </c>
      <c r="I1995" s="2" t="s">
        <v>56</v>
      </c>
      <c r="J1995" s="2" t="s">
        <v>26</v>
      </c>
      <c r="K1995" s="1">
        <v>310.95999999999998</v>
      </c>
      <c r="L1995" s="3">
        <v>45335</v>
      </c>
    </row>
    <row r="1996" spans="1:12" x14ac:dyDescent="0.25">
      <c r="A1996" s="1">
        <v>100799</v>
      </c>
      <c r="B1996" s="2" t="s">
        <v>194</v>
      </c>
      <c r="C1996" s="2" t="s">
        <v>47</v>
      </c>
      <c r="D1996" s="2" t="s">
        <v>50</v>
      </c>
      <c r="E1996" s="2" t="s">
        <v>70</v>
      </c>
      <c r="F1996" s="2" t="s">
        <v>25</v>
      </c>
      <c r="G1996" s="1">
        <v>19</v>
      </c>
      <c r="H1996" s="1">
        <v>308</v>
      </c>
      <c r="I1996" s="2" t="s">
        <v>19</v>
      </c>
      <c r="J1996" s="2" t="s">
        <v>20</v>
      </c>
      <c r="K1996" s="1">
        <v>278.01</v>
      </c>
      <c r="L1996" s="3">
        <v>45335</v>
      </c>
    </row>
    <row r="1997" spans="1:12" x14ac:dyDescent="0.25">
      <c r="A1997" s="1">
        <v>101544</v>
      </c>
      <c r="B1997" s="2" t="s">
        <v>155</v>
      </c>
      <c r="C1997" s="2" t="s">
        <v>142</v>
      </c>
      <c r="D1997" s="2" t="s">
        <v>41</v>
      </c>
      <c r="E1997" s="2" t="s">
        <v>31</v>
      </c>
      <c r="F1997" s="2" t="s">
        <v>18</v>
      </c>
      <c r="G1997" s="1">
        <v>0</v>
      </c>
      <c r="H1997" s="1">
        <v>339</v>
      </c>
      <c r="I1997" s="2" t="s">
        <v>32</v>
      </c>
      <c r="J1997" s="2" t="s">
        <v>33</v>
      </c>
      <c r="K1997" s="1">
        <v>91.905000000000001</v>
      </c>
      <c r="L1997" s="3">
        <v>45335</v>
      </c>
    </row>
    <row r="1998" spans="1:12" x14ac:dyDescent="0.25">
      <c r="A1998" s="1">
        <v>100075</v>
      </c>
      <c r="B1998" s="2" t="s">
        <v>360</v>
      </c>
      <c r="C1998" s="2" t="s">
        <v>149</v>
      </c>
      <c r="D1998" s="2" t="s">
        <v>106</v>
      </c>
      <c r="E1998" s="2" t="s">
        <v>60</v>
      </c>
      <c r="F1998" s="2" t="s">
        <v>18</v>
      </c>
      <c r="G1998" s="1">
        <v>0</v>
      </c>
      <c r="H1998" s="1">
        <v>621</v>
      </c>
      <c r="I1998" s="2" t="s">
        <v>32</v>
      </c>
      <c r="J1998" s="2" t="s">
        <v>26</v>
      </c>
      <c r="K1998" s="1">
        <v>812.52</v>
      </c>
      <c r="L1998" s="3">
        <v>45334</v>
      </c>
    </row>
    <row r="1999" spans="1:12" x14ac:dyDescent="0.25">
      <c r="A1999" s="1">
        <v>100821</v>
      </c>
      <c r="B1999" s="2" t="s">
        <v>282</v>
      </c>
      <c r="C1999" s="2" t="s">
        <v>152</v>
      </c>
      <c r="D1999" s="2" t="s">
        <v>64</v>
      </c>
      <c r="E1999" s="2" t="s">
        <v>31</v>
      </c>
      <c r="F1999" s="2" t="s">
        <v>42</v>
      </c>
      <c r="G1999" s="1">
        <v>53</v>
      </c>
      <c r="H1999" s="1">
        <v>301</v>
      </c>
      <c r="I1999" s="2" t="s">
        <v>32</v>
      </c>
      <c r="J1999" s="2" t="s">
        <v>20</v>
      </c>
      <c r="K1999" s="1">
        <v>741.79</v>
      </c>
      <c r="L1999" s="3">
        <v>45334</v>
      </c>
    </row>
    <row r="2000" spans="1:12" x14ac:dyDescent="0.25">
      <c r="A2000" s="1">
        <v>101285</v>
      </c>
      <c r="B2000" s="2" t="s">
        <v>576</v>
      </c>
      <c r="C2000" s="2" t="s">
        <v>22</v>
      </c>
      <c r="D2000" s="2" t="s">
        <v>64</v>
      </c>
      <c r="E2000" s="2" t="s">
        <v>60</v>
      </c>
      <c r="F2000" s="2" t="s">
        <v>25</v>
      </c>
      <c r="G2000" s="1">
        <v>5</v>
      </c>
      <c r="H2000" s="1">
        <v>418</v>
      </c>
      <c r="I2000" s="2" t="s">
        <v>56</v>
      </c>
      <c r="J2000" s="2" t="s">
        <v>20</v>
      </c>
      <c r="K2000" s="1">
        <v>522.69000000000005</v>
      </c>
      <c r="L2000" s="3">
        <v>45334</v>
      </c>
    </row>
    <row r="2001" spans="1:12" x14ac:dyDescent="0.25">
      <c r="A2001" s="1">
        <v>100012</v>
      </c>
      <c r="B2001" s="2" t="s">
        <v>607</v>
      </c>
      <c r="C2001" s="2" t="s">
        <v>134</v>
      </c>
      <c r="D2001" s="2" t="s">
        <v>106</v>
      </c>
      <c r="E2001" s="2" t="s">
        <v>78</v>
      </c>
      <c r="F2001" s="2" t="s">
        <v>18</v>
      </c>
      <c r="G2001" s="1">
        <v>0</v>
      </c>
      <c r="H2001" s="1">
        <v>458</v>
      </c>
      <c r="I2001" s="2" t="s">
        <v>37</v>
      </c>
      <c r="J2001" s="2" t="s">
        <v>26</v>
      </c>
      <c r="K2001" s="1">
        <v>419.36</v>
      </c>
      <c r="L2001" s="3">
        <v>45334</v>
      </c>
    </row>
    <row r="2002" spans="1:12" x14ac:dyDescent="0.25">
      <c r="A2002" s="1">
        <v>100950</v>
      </c>
      <c r="B2002" s="2" t="s">
        <v>769</v>
      </c>
      <c r="C2002" s="2" t="s">
        <v>72</v>
      </c>
      <c r="D2002" s="2" t="s">
        <v>41</v>
      </c>
      <c r="E2002" s="2" t="s">
        <v>60</v>
      </c>
      <c r="F2002" s="2" t="s">
        <v>83</v>
      </c>
      <c r="G2002" s="1">
        <v>0</v>
      </c>
      <c r="H2002" s="1">
        <v>496</v>
      </c>
      <c r="I2002" s="2" t="s">
        <v>56</v>
      </c>
      <c r="J2002" s="2" t="s">
        <v>20</v>
      </c>
      <c r="K2002" s="1">
        <v>410.59</v>
      </c>
      <c r="L2002" s="3">
        <v>45334</v>
      </c>
    </row>
    <row r="2003" spans="1:12" x14ac:dyDescent="0.25">
      <c r="A2003" s="1">
        <v>102164</v>
      </c>
      <c r="B2003" s="2" t="s">
        <v>342</v>
      </c>
      <c r="C2003" s="2" t="s">
        <v>110</v>
      </c>
      <c r="D2003" s="2" t="s">
        <v>106</v>
      </c>
      <c r="E2003" s="2" t="s">
        <v>55</v>
      </c>
      <c r="F2003" s="2" t="s">
        <v>18</v>
      </c>
      <c r="G2003" s="1">
        <v>0</v>
      </c>
      <c r="H2003" s="1">
        <v>659</v>
      </c>
      <c r="I2003" s="2" t="s">
        <v>32</v>
      </c>
      <c r="J2003" s="2" t="s">
        <v>20</v>
      </c>
      <c r="K2003" s="1">
        <v>262.86</v>
      </c>
      <c r="L2003" s="3">
        <v>45334</v>
      </c>
    </row>
    <row r="2004" spans="1:12" x14ac:dyDescent="0.25">
      <c r="A2004" s="1">
        <v>100526</v>
      </c>
      <c r="B2004" s="2" t="s">
        <v>177</v>
      </c>
      <c r="C2004" s="2" t="s">
        <v>85</v>
      </c>
      <c r="D2004" s="2" t="s">
        <v>16</v>
      </c>
      <c r="E2004" s="2" t="s">
        <v>55</v>
      </c>
      <c r="F2004" s="2" t="s">
        <v>18</v>
      </c>
      <c r="G2004" s="1">
        <v>0</v>
      </c>
      <c r="H2004" s="1">
        <v>375</v>
      </c>
      <c r="I2004" s="2" t="s">
        <v>45</v>
      </c>
      <c r="J2004" s="2" t="s">
        <v>20</v>
      </c>
      <c r="K2004" s="1">
        <v>192.005</v>
      </c>
      <c r="L2004" s="3">
        <v>45334</v>
      </c>
    </row>
    <row r="2005" spans="1:12" x14ac:dyDescent="0.25">
      <c r="A2005" s="1">
        <v>101788</v>
      </c>
      <c r="B2005" s="2" t="s">
        <v>220</v>
      </c>
      <c r="C2005" s="2" t="s">
        <v>152</v>
      </c>
      <c r="D2005" s="2" t="s">
        <v>106</v>
      </c>
      <c r="E2005" s="2" t="s">
        <v>17</v>
      </c>
      <c r="F2005" s="2" t="s">
        <v>25</v>
      </c>
      <c r="G2005" s="1">
        <v>17</v>
      </c>
      <c r="H2005" s="1">
        <v>710</v>
      </c>
      <c r="I2005" s="2" t="s">
        <v>56</v>
      </c>
      <c r="J2005" s="2" t="s">
        <v>33</v>
      </c>
      <c r="K2005" s="1">
        <v>167.8</v>
      </c>
      <c r="L2005" s="3">
        <v>45334</v>
      </c>
    </row>
    <row r="2006" spans="1:12" x14ac:dyDescent="0.25">
      <c r="A2006" s="1">
        <v>100353</v>
      </c>
      <c r="B2006" s="2" t="s">
        <v>129</v>
      </c>
      <c r="C2006" s="2" t="s">
        <v>13</v>
      </c>
      <c r="D2006" s="2" t="s">
        <v>50</v>
      </c>
      <c r="E2006" s="2" t="s">
        <v>60</v>
      </c>
      <c r="F2006" s="2" t="s">
        <v>83</v>
      </c>
      <c r="G2006" s="1">
        <v>0</v>
      </c>
      <c r="H2006" s="1">
        <v>336</v>
      </c>
      <c r="I2006" s="2" t="s">
        <v>19</v>
      </c>
      <c r="J2006" s="2" t="s">
        <v>33</v>
      </c>
      <c r="K2006" s="1">
        <v>854.54</v>
      </c>
      <c r="L2006" s="3">
        <v>45333</v>
      </c>
    </row>
    <row r="2007" spans="1:12" x14ac:dyDescent="0.25">
      <c r="A2007" s="1">
        <v>100586</v>
      </c>
      <c r="B2007" s="2" t="s">
        <v>540</v>
      </c>
      <c r="C2007" s="2" t="s">
        <v>13</v>
      </c>
      <c r="D2007" s="2" t="s">
        <v>41</v>
      </c>
      <c r="E2007" s="2" t="s">
        <v>78</v>
      </c>
      <c r="F2007" s="2" t="s">
        <v>18</v>
      </c>
      <c r="G2007" s="1">
        <v>0</v>
      </c>
      <c r="H2007" s="1">
        <v>487</v>
      </c>
      <c r="I2007" s="2" t="s">
        <v>56</v>
      </c>
      <c r="J2007" s="2" t="s">
        <v>33</v>
      </c>
      <c r="K2007" s="1">
        <v>199.91</v>
      </c>
      <c r="L2007" s="3">
        <v>45333</v>
      </c>
    </row>
    <row r="2008" spans="1:12" x14ac:dyDescent="0.25">
      <c r="A2008" s="1">
        <v>100727</v>
      </c>
      <c r="B2008" s="2" t="s">
        <v>342</v>
      </c>
      <c r="C2008" s="2" t="s">
        <v>110</v>
      </c>
      <c r="D2008" s="2" t="s">
        <v>16</v>
      </c>
      <c r="E2008" s="2" t="s">
        <v>60</v>
      </c>
      <c r="F2008" s="2" t="s">
        <v>18</v>
      </c>
      <c r="G2008" s="1">
        <v>0</v>
      </c>
      <c r="H2008" s="1">
        <v>659</v>
      </c>
      <c r="I2008" s="2" t="s">
        <v>37</v>
      </c>
      <c r="J2008" s="2" t="s">
        <v>20</v>
      </c>
      <c r="K2008" s="1">
        <v>177.4</v>
      </c>
      <c r="L2008" s="3">
        <v>45333</v>
      </c>
    </row>
    <row r="2009" spans="1:12" x14ac:dyDescent="0.25">
      <c r="A2009" s="1">
        <v>100010</v>
      </c>
      <c r="B2009" s="2" t="s">
        <v>292</v>
      </c>
      <c r="C2009" s="2" t="s">
        <v>149</v>
      </c>
      <c r="D2009" s="2" t="s">
        <v>16</v>
      </c>
      <c r="E2009" s="2" t="s">
        <v>31</v>
      </c>
      <c r="F2009" s="2" t="s">
        <v>18</v>
      </c>
      <c r="G2009" s="1">
        <v>0</v>
      </c>
      <c r="H2009" s="1">
        <v>466</v>
      </c>
      <c r="I2009" s="2" t="s">
        <v>45</v>
      </c>
      <c r="J2009" s="2" t="s">
        <v>20</v>
      </c>
      <c r="K2009" s="1">
        <v>50.94</v>
      </c>
      <c r="L2009" s="3">
        <v>45333</v>
      </c>
    </row>
    <row r="2010" spans="1:12" x14ac:dyDescent="0.25">
      <c r="A2010" s="1">
        <v>101917</v>
      </c>
      <c r="B2010" s="2" t="s">
        <v>481</v>
      </c>
      <c r="C2010" s="2" t="s">
        <v>168</v>
      </c>
      <c r="D2010" s="2" t="s">
        <v>50</v>
      </c>
      <c r="E2010" s="2" t="s">
        <v>55</v>
      </c>
      <c r="F2010" s="2" t="s">
        <v>83</v>
      </c>
      <c r="G2010" s="1">
        <v>0</v>
      </c>
      <c r="H2010" s="1">
        <v>548</v>
      </c>
      <c r="I2010" s="2" t="s">
        <v>32</v>
      </c>
      <c r="J2010" s="2" t="s">
        <v>20</v>
      </c>
      <c r="K2010" s="1">
        <v>949.34</v>
      </c>
      <c r="L2010" s="3">
        <v>45332</v>
      </c>
    </row>
    <row r="2011" spans="1:12" x14ac:dyDescent="0.25">
      <c r="A2011" s="1">
        <v>101503</v>
      </c>
      <c r="B2011" s="2" t="s">
        <v>174</v>
      </c>
      <c r="C2011" s="2" t="s">
        <v>134</v>
      </c>
      <c r="D2011" s="2" t="s">
        <v>41</v>
      </c>
      <c r="E2011" s="2" t="s">
        <v>17</v>
      </c>
      <c r="F2011" s="2" t="s">
        <v>18</v>
      </c>
      <c r="G2011" s="1">
        <v>0</v>
      </c>
      <c r="H2011" s="1">
        <v>554</v>
      </c>
      <c r="I2011" s="2" t="s">
        <v>45</v>
      </c>
      <c r="J2011" s="2" t="s">
        <v>26</v>
      </c>
      <c r="K2011" s="1">
        <v>780.24</v>
      </c>
      <c r="L2011" s="3">
        <v>45332</v>
      </c>
    </row>
    <row r="2012" spans="1:12" x14ac:dyDescent="0.25">
      <c r="A2012" s="1">
        <v>102149</v>
      </c>
      <c r="B2012" s="2" t="s">
        <v>599</v>
      </c>
      <c r="C2012" s="2" t="s">
        <v>52</v>
      </c>
      <c r="D2012" s="2" t="s">
        <v>41</v>
      </c>
      <c r="E2012" s="2" t="s">
        <v>17</v>
      </c>
      <c r="F2012" s="2" t="s">
        <v>18</v>
      </c>
      <c r="G2012" s="1">
        <v>0</v>
      </c>
      <c r="H2012" s="1">
        <v>552</v>
      </c>
      <c r="I2012" s="2" t="s">
        <v>56</v>
      </c>
      <c r="J2012" s="2" t="s">
        <v>20</v>
      </c>
      <c r="K2012" s="1">
        <v>627.97</v>
      </c>
      <c r="L2012" s="3">
        <v>45332</v>
      </c>
    </row>
    <row r="2013" spans="1:12" x14ac:dyDescent="0.25">
      <c r="A2013" s="1">
        <v>100890</v>
      </c>
      <c r="B2013" s="2" t="s">
        <v>474</v>
      </c>
      <c r="C2013" s="2" t="s">
        <v>35</v>
      </c>
      <c r="D2013" s="2" t="s">
        <v>64</v>
      </c>
      <c r="E2013" s="2" t="s">
        <v>31</v>
      </c>
      <c r="F2013" s="2" t="s">
        <v>18</v>
      </c>
      <c r="G2013" s="1">
        <v>0</v>
      </c>
      <c r="H2013" s="1">
        <v>483</v>
      </c>
      <c r="I2013" s="2" t="s">
        <v>37</v>
      </c>
      <c r="J2013" s="2" t="s">
        <v>33</v>
      </c>
      <c r="K2013" s="1">
        <v>464.26</v>
      </c>
      <c r="L2013" s="3">
        <v>45332</v>
      </c>
    </row>
    <row r="2014" spans="1:12" x14ac:dyDescent="0.25">
      <c r="A2014" s="1">
        <v>101304</v>
      </c>
      <c r="B2014" s="2" t="s">
        <v>786</v>
      </c>
      <c r="C2014" s="2" t="s">
        <v>95</v>
      </c>
      <c r="D2014" s="2" t="s">
        <v>106</v>
      </c>
      <c r="E2014" s="2" t="s">
        <v>55</v>
      </c>
      <c r="F2014" s="2" t="s">
        <v>18</v>
      </c>
      <c r="G2014" s="1" t="s">
        <v>35</v>
      </c>
      <c r="H2014" s="1">
        <v>835</v>
      </c>
      <c r="I2014" s="2" t="s">
        <v>32</v>
      </c>
      <c r="J2014" s="2" t="s">
        <v>26</v>
      </c>
      <c r="K2014" s="1">
        <v>255.62</v>
      </c>
      <c r="L2014" s="3">
        <v>45332</v>
      </c>
    </row>
    <row r="2015" spans="1:12" x14ac:dyDescent="0.25">
      <c r="A2015" s="1">
        <v>101261</v>
      </c>
      <c r="B2015" s="2" t="s">
        <v>84</v>
      </c>
      <c r="C2015" s="2" t="s">
        <v>85</v>
      </c>
      <c r="D2015" s="2" t="s">
        <v>16</v>
      </c>
      <c r="E2015" s="2" t="s">
        <v>70</v>
      </c>
      <c r="F2015" s="2" t="s">
        <v>18</v>
      </c>
      <c r="G2015" s="1">
        <v>0</v>
      </c>
      <c r="H2015" s="1">
        <v>400</v>
      </c>
      <c r="I2015" s="2" t="s">
        <v>45</v>
      </c>
      <c r="J2015" s="2" t="s">
        <v>33</v>
      </c>
      <c r="K2015" s="1">
        <v>242.78</v>
      </c>
      <c r="L2015" s="3">
        <v>45332</v>
      </c>
    </row>
    <row r="2016" spans="1:12" x14ac:dyDescent="0.25">
      <c r="A2016" s="1">
        <v>100248</v>
      </c>
      <c r="B2016" s="2" t="s">
        <v>61</v>
      </c>
      <c r="C2016" s="2" t="s">
        <v>62</v>
      </c>
      <c r="D2016" s="2" t="s">
        <v>106</v>
      </c>
      <c r="E2016" s="2" t="s">
        <v>78</v>
      </c>
      <c r="F2016" s="2" t="s">
        <v>18</v>
      </c>
      <c r="G2016" s="1">
        <v>0</v>
      </c>
      <c r="H2016" s="1">
        <v>542</v>
      </c>
      <c r="I2016" s="2" t="s">
        <v>19</v>
      </c>
      <c r="J2016" s="2" t="s">
        <v>26</v>
      </c>
      <c r="K2016" s="1">
        <v>978.95</v>
      </c>
      <c r="L2016" s="3">
        <v>45331</v>
      </c>
    </row>
    <row r="2017" spans="1:12" x14ac:dyDescent="0.25">
      <c r="A2017" s="1">
        <v>100675</v>
      </c>
      <c r="B2017" s="2" t="s">
        <v>325</v>
      </c>
      <c r="C2017" s="2" t="s">
        <v>126</v>
      </c>
      <c r="D2017" s="2" t="s">
        <v>16</v>
      </c>
      <c r="E2017" s="2" t="s">
        <v>35</v>
      </c>
      <c r="F2017" s="2" t="s">
        <v>83</v>
      </c>
      <c r="G2017" s="1" t="s">
        <v>35</v>
      </c>
      <c r="H2017" s="1">
        <v>570</v>
      </c>
      <c r="I2017" s="2" t="s">
        <v>37</v>
      </c>
      <c r="J2017" s="2" t="s">
        <v>26</v>
      </c>
      <c r="K2017" s="1">
        <v>616.22</v>
      </c>
      <c r="L2017" s="3">
        <v>45331</v>
      </c>
    </row>
    <row r="2018" spans="1:12" x14ac:dyDescent="0.25">
      <c r="A2018" s="1">
        <v>101028</v>
      </c>
      <c r="B2018" s="2" t="s">
        <v>965</v>
      </c>
      <c r="C2018" s="2" t="s">
        <v>110</v>
      </c>
      <c r="D2018" s="2" t="s">
        <v>64</v>
      </c>
      <c r="E2018" s="2" t="s">
        <v>55</v>
      </c>
      <c r="F2018" s="2" t="s">
        <v>25</v>
      </c>
      <c r="G2018" s="1">
        <v>22</v>
      </c>
      <c r="H2018" s="1">
        <v>821</v>
      </c>
      <c r="I2018" s="2" t="s">
        <v>37</v>
      </c>
      <c r="J2018" s="2" t="s">
        <v>20</v>
      </c>
      <c r="K2018" s="1">
        <v>312.33</v>
      </c>
      <c r="L2018" s="3">
        <v>45331</v>
      </c>
    </row>
    <row r="2019" spans="1:12" x14ac:dyDescent="0.25">
      <c r="A2019" s="1">
        <v>100155</v>
      </c>
      <c r="B2019" s="2" t="s">
        <v>1155</v>
      </c>
      <c r="C2019" s="2" t="s">
        <v>218</v>
      </c>
      <c r="D2019" s="2" t="s">
        <v>41</v>
      </c>
      <c r="E2019" s="2" t="s">
        <v>70</v>
      </c>
      <c r="F2019" s="2" t="s">
        <v>18</v>
      </c>
      <c r="G2019" s="1">
        <v>0</v>
      </c>
      <c r="H2019" s="1">
        <v>557</v>
      </c>
      <c r="I2019" s="2" t="s">
        <v>35</v>
      </c>
      <c r="J2019" s="2" t="s">
        <v>20</v>
      </c>
      <c r="K2019" s="1">
        <v>190.28</v>
      </c>
      <c r="L2019" s="3">
        <v>45331</v>
      </c>
    </row>
    <row r="2020" spans="1:12" x14ac:dyDescent="0.25">
      <c r="A2020" s="1">
        <v>102005</v>
      </c>
      <c r="B2020" s="2" t="s">
        <v>738</v>
      </c>
      <c r="C2020" s="2" t="s">
        <v>100</v>
      </c>
      <c r="D2020" s="2" t="s">
        <v>64</v>
      </c>
      <c r="E2020" s="2" t="s">
        <v>70</v>
      </c>
      <c r="F2020" s="2" t="s">
        <v>18</v>
      </c>
      <c r="G2020" s="1">
        <v>0</v>
      </c>
      <c r="H2020" s="1">
        <v>585</v>
      </c>
      <c r="I2020" s="2" t="s">
        <v>37</v>
      </c>
      <c r="J2020" s="2" t="s">
        <v>26</v>
      </c>
      <c r="K2020" s="1">
        <v>536.82000000000005</v>
      </c>
      <c r="L2020" s="3">
        <v>45330</v>
      </c>
    </row>
    <row r="2021" spans="1:12" x14ac:dyDescent="0.25">
      <c r="A2021" s="1">
        <v>100592</v>
      </c>
      <c r="B2021" s="2" t="s">
        <v>512</v>
      </c>
      <c r="C2021" s="2" t="s">
        <v>152</v>
      </c>
      <c r="D2021" s="2" t="s">
        <v>16</v>
      </c>
      <c r="E2021" s="2" t="s">
        <v>55</v>
      </c>
      <c r="F2021" s="2" t="s">
        <v>18</v>
      </c>
      <c r="G2021" s="1">
        <v>0</v>
      </c>
      <c r="H2021" s="1">
        <v>853</v>
      </c>
      <c r="I2021" s="2" t="s">
        <v>45</v>
      </c>
      <c r="J2021" s="2" t="s">
        <v>20</v>
      </c>
      <c r="K2021" s="1">
        <v>345.43</v>
      </c>
      <c r="L2021" s="3">
        <v>45330</v>
      </c>
    </row>
    <row r="2022" spans="1:12" x14ac:dyDescent="0.25">
      <c r="A2022" s="1">
        <v>101515</v>
      </c>
      <c r="B2022" s="2" t="s">
        <v>493</v>
      </c>
      <c r="C2022" s="2" t="s">
        <v>152</v>
      </c>
      <c r="D2022" s="2" t="s">
        <v>41</v>
      </c>
      <c r="E2022" s="2" t="s">
        <v>31</v>
      </c>
      <c r="F2022" s="2" t="s">
        <v>18</v>
      </c>
      <c r="G2022" s="1">
        <v>0</v>
      </c>
      <c r="H2022" s="1">
        <v>737</v>
      </c>
      <c r="I2022" s="2" t="s">
        <v>32</v>
      </c>
      <c r="J2022" s="2" t="s">
        <v>20</v>
      </c>
      <c r="K2022" s="1">
        <v>1082.1199999999999</v>
      </c>
      <c r="L2022" s="3">
        <v>45329</v>
      </c>
    </row>
    <row r="2023" spans="1:12" x14ac:dyDescent="0.25">
      <c r="A2023" s="1">
        <v>100604</v>
      </c>
      <c r="B2023" s="2" t="s">
        <v>247</v>
      </c>
      <c r="C2023" s="2" t="s">
        <v>126</v>
      </c>
      <c r="D2023" s="2" t="s">
        <v>16</v>
      </c>
      <c r="E2023" s="2" t="s">
        <v>55</v>
      </c>
      <c r="F2023" s="2" t="s">
        <v>42</v>
      </c>
      <c r="G2023" s="1">
        <v>79</v>
      </c>
      <c r="H2023" s="1">
        <v>527</v>
      </c>
      <c r="I2023" s="2" t="s">
        <v>56</v>
      </c>
      <c r="J2023" s="2" t="s">
        <v>20</v>
      </c>
      <c r="K2023" s="1">
        <v>845.64</v>
      </c>
      <c r="L2023" s="3">
        <v>45329</v>
      </c>
    </row>
    <row r="2024" spans="1:12" x14ac:dyDescent="0.25">
      <c r="A2024" s="1">
        <v>100314</v>
      </c>
      <c r="B2024" s="2" t="s">
        <v>592</v>
      </c>
      <c r="C2024" s="2" t="s">
        <v>47</v>
      </c>
      <c r="D2024" s="2" t="s">
        <v>41</v>
      </c>
      <c r="E2024" s="2" t="s">
        <v>31</v>
      </c>
      <c r="F2024" s="2" t="s">
        <v>83</v>
      </c>
      <c r="G2024" s="1">
        <v>0</v>
      </c>
      <c r="H2024" s="1">
        <v>332</v>
      </c>
      <c r="I2024" s="2" t="s">
        <v>19</v>
      </c>
      <c r="J2024" s="2" t="s">
        <v>33</v>
      </c>
      <c r="K2024" s="1">
        <v>649.20000000000005</v>
      </c>
      <c r="L2024" s="3">
        <v>45329</v>
      </c>
    </row>
    <row r="2025" spans="1:12" x14ac:dyDescent="0.25">
      <c r="A2025" s="1">
        <v>101487</v>
      </c>
      <c r="B2025" s="2" t="s">
        <v>610</v>
      </c>
      <c r="C2025" s="2" t="s">
        <v>126</v>
      </c>
      <c r="D2025" s="2" t="s">
        <v>64</v>
      </c>
      <c r="E2025" s="2" t="s">
        <v>60</v>
      </c>
      <c r="F2025" s="2" t="s">
        <v>83</v>
      </c>
      <c r="G2025" s="1">
        <v>0</v>
      </c>
      <c r="H2025" s="1">
        <v>315</v>
      </c>
      <c r="I2025" s="2" t="s">
        <v>19</v>
      </c>
      <c r="J2025" s="2" t="s">
        <v>26</v>
      </c>
      <c r="K2025" s="1">
        <v>500.42</v>
      </c>
      <c r="L2025" s="3">
        <v>45329</v>
      </c>
    </row>
    <row r="2026" spans="1:12" x14ac:dyDescent="0.25">
      <c r="A2026" s="1">
        <v>101941</v>
      </c>
      <c r="B2026" s="2" t="s">
        <v>196</v>
      </c>
      <c r="C2026" s="2" t="s">
        <v>152</v>
      </c>
      <c r="D2026" s="2" t="s">
        <v>106</v>
      </c>
      <c r="E2026" s="2" t="s">
        <v>31</v>
      </c>
      <c r="F2026" s="2" t="s">
        <v>18</v>
      </c>
      <c r="G2026" s="1">
        <v>0</v>
      </c>
      <c r="H2026" s="1">
        <v>405</v>
      </c>
      <c r="I2026" s="2" t="s">
        <v>32</v>
      </c>
      <c r="J2026" s="2" t="s">
        <v>33</v>
      </c>
      <c r="K2026" s="1">
        <v>421.85</v>
      </c>
      <c r="L2026" s="3">
        <v>45329</v>
      </c>
    </row>
    <row r="2027" spans="1:12" x14ac:dyDescent="0.25">
      <c r="A2027" s="1">
        <v>100735</v>
      </c>
      <c r="B2027" s="2" t="s">
        <v>207</v>
      </c>
      <c r="C2027" s="2" t="s">
        <v>103</v>
      </c>
      <c r="D2027" s="2" t="s">
        <v>64</v>
      </c>
      <c r="E2027" s="2" t="s">
        <v>70</v>
      </c>
      <c r="F2027" s="2" t="s">
        <v>25</v>
      </c>
      <c r="G2027" s="1">
        <v>18</v>
      </c>
      <c r="H2027" s="1">
        <v>360</v>
      </c>
      <c r="I2027" s="2" t="s">
        <v>56</v>
      </c>
      <c r="J2027" s="2" t="s">
        <v>20</v>
      </c>
      <c r="K2027" s="1">
        <v>406.14</v>
      </c>
      <c r="L2027" s="3">
        <v>45329</v>
      </c>
    </row>
    <row r="2028" spans="1:12" x14ac:dyDescent="0.25">
      <c r="A2028" s="1">
        <v>101610</v>
      </c>
      <c r="B2028" s="2" t="s">
        <v>719</v>
      </c>
      <c r="C2028" s="2" t="s">
        <v>22</v>
      </c>
      <c r="D2028" s="2" t="s">
        <v>106</v>
      </c>
      <c r="E2028" s="2" t="s">
        <v>60</v>
      </c>
      <c r="F2028" s="2" t="s">
        <v>42</v>
      </c>
      <c r="G2028" s="1">
        <v>171</v>
      </c>
      <c r="H2028" s="1">
        <v>461</v>
      </c>
      <c r="I2028" s="2" t="s">
        <v>45</v>
      </c>
      <c r="J2028" s="2" t="s">
        <v>20</v>
      </c>
      <c r="K2028" s="1">
        <v>324.93</v>
      </c>
      <c r="L2028" s="3">
        <v>45329</v>
      </c>
    </row>
    <row r="2029" spans="1:12" x14ac:dyDescent="0.25">
      <c r="A2029" s="1">
        <v>100662</v>
      </c>
      <c r="B2029" s="2" t="s">
        <v>478</v>
      </c>
      <c r="C2029" s="2" t="s">
        <v>218</v>
      </c>
      <c r="D2029" s="2" t="s">
        <v>41</v>
      </c>
      <c r="E2029" s="2" t="s">
        <v>70</v>
      </c>
      <c r="F2029" s="2" t="s">
        <v>18</v>
      </c>
      <c r="G2029" s="1">
        <v>0</v>
      </c>
      <c r="H2029" s="1">
        <v>712</v>
      </c>
      <c r="I2029" s="2" t="s">
        <v>19</v>
      </c>
      <c r="J2029" s="2" t="s">
        <v>26</v>
      </c>
      <c r="K2029" s="1">
        <v>650.54999999999995</v>
      </c>
      <c r="L2029" s="3">
        <v>45328</v>
      </c>
    </row>
    <row r="2030" spans="1:12" x14ac:dyDescent="0.25">
      <c r="A2030" s="1">
        <v>100838</v>
      </c>
      <c r="B2030" s="2" t="s">
        <v>392</v>
      </c>
      <c r="C2030" s="2" t="s">
        <v>72</v>
      </c>
      <c r="D2030" s="2" t="s">
        <v>106</v>
      </c>
      <c r="E2030" s="2" t="s">
        <v>60</v>
      </c>
      <c r="F2030" s="2" t="s">
        <v>18</v>
      </c>
      <c r="G2030" s="1">
        <v>0</v>
      </c>
      <c r="H2030" s="1">
        <v>433</v>
      </c>
      <c r="I2030" s="2" t="s">
        <v>19</v>
      </c>
      <c r="J2030" s="2" t="s">
        <v>20</v>
      </c>
      <c r="K2030" s="1">
        <v>239.49</v>
      </c>
      <c r="L2030" s="3">
        <v>45328</v>
      </c>
    </row>
    <row r="2031" spans="1:12" x14ac:dyDescent="0.25">
      <c r="A2031" s="1">
        <v>102000</v>
      </c>
      <c r="B2031" s="2" t="s">
        <v>148</v>
      </c>
      <c r="C2031" s="2" t="s">
        <v>35</v>
      </c>
      <c r="D2031" s="2" t="s">
        <v>106</v>
      </c>
      <c r="E2031" s="2" t="s">
        <v>60</v>
      </c>
      <c r="F2031" s="2" t="s">
        <v>18</v>
      </c>
      <c r="G2031" s="1">
        <v>0</v>
      </c>
      <c r="H2031" s="1">
        <v>876</v>
      </c>
      <c r="I2031" s="2" t="s">
        <v>45</v>
      </c>
      <c r="J2031" s="2" t="s">
        <v>26</v>
      </c>
      <c r="K2031" s="1"/>
      <c r="L2031" s="3">
        <v>45328</v>
      </c>
    </row>
    <row r="2032" spans="1:12" x14ac:dyDescent="0.25">
      <c r="A2032" s="1">
        <v>101644</v>
      </c>
      <c r="B2032" s="2" t="s">
        <v>352</v>
      </c>
      <c r="C2032" s="2" t="s">
        <v>85</v>
      </c>
      <c r="D2032" s="2" t="s">
        <v>50</v>
      </c>
      <c r="E2032" s="2" t="s">
        <v>78</v>
      </c>
      <c r="F2032" s="2" t="s">
        <v>25</v>
      </c>
      <c r="G2032" s="1">
        <v>24</v>
      </c>
      <c r="H2032" s="1">
        <v>778</v>
      </c>
      <c r="I2032" s="2" t="s">
        <v>32</v>
      </c>
      <c r="J2032" s="2" t="s">
        <v>33</v>
      </c>
      <c r="K2032" s="1">
        <v>974.95</v>
      </c>
      <c r="L2032" s="3">
        <v>45327</v>
      </c>
    </row>
    <row r="2033" spans="1:12" x14ac:dyDescent="0.25">
      <c r="A2033" s="1">
        <v>101289</v>
      </c>
      <c r="B2033" s="2" t="s">
        <v>71</v>
      </c>
      <c r="C2033" s="2" t="s">
        <v>72</v>
      </c>
      <c r="D2033" s="2" t="s">
        <v>41</v>
      </c>
      <c r="E2033" s="2" t="s">
        <v>31</v>
      </c>
      <c r="F2033" s="2" t="s">
        <v>83</v>
      </c>
      <c r="G2033" s="1">
        <v>0</v>
      </c>
      <c r="H2033" s="1">
        <v>841</v>
      </c>
      <c r="I2033" s="2" t="s">
        <v>56</v>
      </c>
      <c r="J2033" s="2" t="s">
        <v>26</v>
      </c>
      <c r="K2033" s="1">
        <v>508.39</v>
      </c>
      <c r="L2033" s="3">
        <v>45327</v>
      </c>
    </row>
    <row r="2034" spans="1:12" x14ac:dyDescent="0.25">
      <c r="A2034" s="1">
        <v>102133</v>
      </c>
      <c r="B2034" s="2" t="s">
        <v>71</v>
      </c>
      <c r="C2034" s="2" t="s">
        <v>35</v>
      </c>
      <c r="D2034" s="2" t="s">
        <v>106</v>
      </c>
      <c r="E2034" s="2" t="s">
        <v>60</v>
      </c>
      <c r="F2034" s="2" t="s">
        <v>83</v>
      </c>
      <c r="G2034" s="1">
        <v>0</v>
      </c>
      <c r="H2034" s="1">
        <v>841</v>
      </c>
      <c r="I2034" s="2" t="s">
        <v>19</v>
      </c>
      <c r="J2034" s="2" t="s">
        <v>20</v>
      </c>
      <c r="K2034" s="1">
        <v>300.45999999999998</v>
      </c>
      <c r="L2034" s="3">
        <v>45327</v>
      </c>
    </row>
    <row r="2035" spans="1:12" x14ac:dyDescent="0.25">
      <c r="A2035" s="1">
        <v>100535</v>
      </c>
      <c r="B2035" s="2" t="s">
        <v>202</v>
      </c>
      <c r="C2035" s="2" t="s">
        <v>95</v>
      </c>
      <c r="D2035" s="2" t="s">
        <v>41</v>
      </c>
      <c r="E2035" s="2" t="s">
        <v>55</v>
      </c>
      <c r="F2035" s="2" t="s">
        <v>18</v>
      </c>
      <c r="G2035" s="1">
        <v>0</v>
      </c>
      <c r="H2035" s="1">
        <v>570</v>
      </c>
      <c r="I2035" s="2" t="s">
        <v>32</v>
      </c>
      <c r="J2035" s="2" t="s">
        <v>20</v>
      </c>
      <c r="K2035" s="1">
        <v>90.88</v>
      </c>
      <c r="L2035" s="3">
        <v>45327</v>
      </c>
    </row>
    <row r="2036" spans="1:12" x14ac:dyDescent="0.25">
      <c r="A2036" s="1">
        <v>100803</v>
      </c>
      <c r="B2036" s="2" t="s">
        <v>99</v>
      </c>
      <c r="C2036" s="2" t="s">
        <v>100</v>
      </c>
      <c r="D2036" s="2" t="s">
        <v>16</v>
      </c>
      <c r="E2036" s="2" t="s">
        <v>70</v>
      </c>
      <c r="F2036" s="2" t="s">
        <v>25</v>
      </c>
      <c r="G2036" s="1">
        <v>11</v>
      </c>
      <c r="H2036" s="1">
        <v>414</v>
      </c>
      <c r="I2036" s="2" t="s">
        <v>37</v>
      </c>
      <c r="J2036" s="2" t="s">
        <v>26</v>
      </c>
      <c r="K2036" s="1">
        <v>869.49</v>
      </c>
      <c r="L2036" s="3">
        <v>45326</v>
      </c>
    </row>
    <row r="2037" spans="1:12" x14ac:dyDescent="0.25">
      <c r="A2037" s="1">
        <v>100725</v>
      </c>
      <c r="B2037" s="2" t="s">
        <v>207</v>
      </c>
      <c r="C2037" s="2" t="s">
        <v>103</v>
      </c>
      <c r="D2037" s="2" t="s">
        <v>64</v>
      </c>
      <c r="E2037" s="2" t="s">
        <v>81</v>
      </c>
      <c r="F2037" s="2" t="s">
        <v>18</v>
      </c>
      <c r="G2037" s="1" t="s">
        <v>35</v>
      </c>
      <c r="H2037" s="1">
        <v>360</v>
      </c>
      <c r="I2037" s="2" t="s">
        <v>19</v>
      </c>
      <c r="J2037" s="2" t="s">
        <v>33</v>
      </c>
      <c r="K2037" s="1">
        <v>541.96</v>
      </c>
      <c r="L2037" s="3">
        <v>45326</v>
      </c>
    </row>
    <row r="2038" spans="1:12" x14ac:dyDescent="0.25">
      <c r="A2038" s="1">
        <v>101445</v>
      </c>
      <c r="B2038" s="2" t="s">
        <v>510</v>
      </c>
      <c r="C2038" s="2" t="s">
        <v>244</v>
      </c>
      <c r="D2038" s="2" t="s">
        <v>16</v>
      </c>
      <c r="E2038" s="2" t="s">
        <v>31</v>
      </c>
      <c r="F2038" s="2" t="s">
        <v>18</v>
      </c>
      <c r="G2038" s="1">
        <v>0</v>
      </c>
      <c r="H2038" s="1">
        <v>411</v>
      </c>
      <c r="I2038" s="2" t="s">
        <v>56</v>
      </c>
      <c r="J2038" s="2" t="s">
        <v>20</v>
      </c>
      <c r="K2038" s="1">
        <v>350.47</v>
      </c>
      <c r="L2038" s="3">
        <v>45326</v>
      </c>
    </row>
    <row r="2039" spans="1:12" x14ac:dyDescent="0.25">
      <c r="A2039" s="1">
        <v>100609</v>
      </c>
      <c r="B2039" s="2" t="s">
        <v>307</v>
      </c>
      <c r="C2039" s="2" t="s">
        <v>58</v>
      </c>
      <c r="D2039" s="2" t="s">
        <v>16</v>
      </c>
      <c r="E2039" s="2" t="s">
        <v>55</v>
      </c>
      <c r="F2039" s="2" t="s">
        <v>18</v>
      </c>
      <c r="G2039" s="1">
        <v>0</v>
      </c>
      <c r="H2039" s="1">
        <v>616</v>
      </c>
      <c r="I2039" s="2" t="s">
        <v>19</v>
      </c>
      <c r="J2039" s="2" t="s">
        <v>20</v>
      </c>
      <c r="K2039" s="1">
        <v>357.39499999999998</v>
      </c>
      <c r="L2039" s="3">
        <v>45325</v>
      </c>
    </row>
    <row r="2040" spans="1:12" x14ac:dyDescent="0.25">
      <c r="A2040" s="1">
        <v>100124</v>
      </c>
      <c r="B2040" s="2" t="s">
        <v>91</v>
      </c>
      <c r="C2040" s="2" t="s">
        <v>58</v>
      </c>
      <c r="D2040" s="2" t="s">
        <v>41</v>
      </c>
      <c r="E2040" s="2" t="s">
        <v>70</v>
      </c>
      <c r="F2040" s="2" t="s">
        <v>18</v>
      </c>
      <c r="G2040" s="1">
        <v>0</v>
      </c>
      <c r="H2040" s="1">
        <v>769</v>
      </c>
      <c r="I2040" s="2" t="s">
        <v>32</v>
      </c>
      <c r="J2040" s="2" t="s">
        <v>20</v>
      </c>
      <c r="K2040" s="1">
        <v>126.01</v>
      </c>
      <c r="L2040" s="3">
        <v>45325</v>
      </c>
    </row>
    <row r="2041" spans="1:12" x14ac:dyDescent="0.25">
      <c r="A2041" s="1">
        <v>100643</v>
      </c>
      <c r="B2041" s="2" t="s">
        <v>1206</v>
      </c>
      <c r="C2041" s="2" t="s">
        <v>22</v>
      </c>
      <c r="D2041" s="2" t="s">
        <v>64</v>
      </c>
      <c r="E2041" s="2" t="s">
        <v>78</v>
      </c>
      <c r="F2041" s="2" t="s">
        <v>18</v>
      </c>
      <c r="G2041" s="1">
        <v>0</v>
      </c>
      <c r="H2041" s="1">
        <v>607</v>
      </c>
      <c r="I2041" s="2" t="s">
        <v>32</v>
      </c>
      <c r="J2041" s="2" t="s">
        <v>20</v>
      </c>
      <c r="K2041" s="1">
        <v>687.8</v>
      </c>
      <c r="L2041" s="3">
        <v>45324</v>
      </c>
    </row>
    <row r="2042" spans="1:12" x14ac:dyDescent="0.25">
      <c r="A2042" s="1">
        <v>100670</v>
      </c>
      <c r="B2042" s="2" t="s">
        <v>358</v>
      </c>
      <c r="C2042" s="2" t="s">
        <v>110</v>
      </c>
      <c r="D2042" s="2" t="s">
        <v>16</v>
      </c>
      <c r="E2042" s="2" t="s">
        <v>78</v>
      </c>
      <c r="F2042" s="2" t="s">
        <v>18</v>
      </c>
      <c r="G2042" s="1">
        <v>0</v>
      </c>
      <c r="H2042" s="1">
        <v>481</v>
      </c>
      <c r="I2042" s="2" t="s">
        <v>19</v>
      </c>
      <c r="J2042" s="2" t="s">
        <v>33</v>
      </c>
      <c r="K2042" s="1"/>
      <c r="L2042" s="3">
        <v>45324</v>
      </c>
    </row>
    <row r="2043" spans="1:12" x14ac:dyDescent="0.25">
      <c r="A2043" s="1">
        <v>102023</v>
      </c>
      <c r="B2043" s="2" t="s">
        <v>832</v>
      </c>
      <c r="C2043" s="2" t="s">
        <v>134</v>
      </c>
      <c r="D2043" s="2" t="s">
        <v>50</v>
      </c>
      <c r="E2043" s="2" t="s">
        <v>17</v>
      </c>
      <c r="F2043" s="2" t="s">
        <v>25</v>
      </c>
      <c r="G2043" s="1">
        <v>6</v>
      </c>
      <c r="H2043" s="1">
        <v>641</v>
      </c>
      <c r="I2043" s="2" t="s">
        <v>32</v>
      </c>
      <c r="J2043" s="2" t="s">
        <v>33</v>
      </c>
      <c r="K2043" s="1">
        <v>567.64</v>
      </c>
      <c r="L2043" s="3">
        <v>45323</v>
      </c>
    </row>
    <row r="2044" spans="1:12" x14ac:dyDescent="0.25">
      <c r="A2044" s="1">
        <v>100874</v>
      </c>
      <c r="B2044" s="2" t="s">
        <v>34</v>
      </c>
      <c r="C2044" s="2" t="s">
        <v>13</v>
      </c>
      <c r="D2044" s="2" t="s">
        <v>106</v>
      </c>
      <c r="E2044" s="2" t="s">
        <v>70</v>
      </c>
      <c r="F2044" s="2" t="s">
        <v>25</v>
      </c>
      <c r="G2044" s="1">
        <v>28</v>
      </c>
      <c r="H2044" s="1">
        <v>672</v>
      </c>
      <c r="I2044" s="2" t="s">
        <v>19</v>
      </c>
      <c r="J2044" s="2" t="s">
        <v>33</v>
      </c>
      <c r="K2044" s="1">
        <v>561.80999999999995</v>
      </c>
      <c r="L2044" s="3">
        <v>45323</v>
      </c>
    </row>
    <row r="2045" spans="1:12" x14ac:dyDescent="0.25">
      <c r="A2045" s="1">
        <v>101601</v>
      </c>
      <c r="B2045" s="2" t="s">
        <v>220</v>
      </c>
      <c r="C2045" s="2" t="s">
        <v>152</v>
      </c>
      <c r="D2045" s="2" t="s">
        <v>50</v>
      </c>
      <c r="E2045" s="2" t="s">
        <v>78</v>
      </c>
      <c r="F2045" s="2" t="s">
        <v>18</v>
      </c>
      <c r="G2045" s="1">
        <v>0</v>
      </c>
      <c r="H2045" s="1">
        <v>710</v>
      </c>
      <c r="I2045" s="2" t="s">
        <v>45</v>
      </c>
      <c r="J2045" s="2" t="s">
        <v>26</v>
      </c>
      <c r="K2045" s="1">
        <v>37.770000000000003</v>
      </c>
      <c r="L2045" s="3">
        <v>45323</v>
      </c>
    </row>
    <row r="2046" spans="1:12" x14ac:dyDescent="0.25">
      <c r="A2046" s="1">
        <v>102004</v>
      </c>
      <c r="B2046" s="2" t="s">
        <v>1357</v>
      </c>
      <c r="C2046" s="2" t="s">
        <v>100</v>
      </c>
      <c r="D2046" s="2" t="s">
        <v>50</v>
      </c>
      <c r="E2046" s="2" t="s">
        <v>81</v>
      </c>
      <c r="F2046" s="2" t="s">
        <v>83</v>
      </c>
      <c r="G2046" s="1">
        <v>0</v>
      </c>
      <c r="H2046" s="1">
        <v>522</v>
      </c>
      <c r="I2046" s="2" t="s">
        <v>45</v>
      </c>
      <c r="J2046" s="2" t="s">
        <v>20</v>
      </c>
      <c r="K2046" s="1">
        <v>364.14</v>
      </c>
      <c r="L2046" s="3">
        <v>45322</v>
      </c>
    </row>
    <row r="2047" spans="1:12" x14ac:dyDescent="0.25">
      <c r="A2047" s="1">
        <v>100304</v>
      </c>
      <c r="B2047" s="2" t="s">
        <v>619</v>
      </c>
      <c r="C2047" s="2" t="s">
        <v>244</v>
      </c>
      <c r="D2047" s="2" t="s">
        <v>16</v>
      </c>
      <c r="E2047" s="2" t="s">
        <v>70</v>
      </c>
      <c r="F2047" s="2" t="s">
        <v>42</v>
      </c>
      <c r="G2047" s="1">
        <v>136</v>
      </c>
      <c r="H2047" s="1">
        <v>351</v>
      </c>
      <c r="I2047" s="2" t="s">
        <v>56</v>
      </c>
      <c r="J2047" s="2" t="s">
        <v>33</v>
      </c>
      <c r="K2047" s="1">
        <v>361.03</v>
      </c>
      <c r="L2047" s="3">
        <v>45322</v>
      </c>
    </row>
    <row r="2048" spans="1:12" x14ac:dyDescent="0.25">
      <c r="A2048" s="1">
        <v>101548</v>
      </c>
      <c r="B2048" s="2" t="s">
        <v>131</v>
      </c>
      <c r="C2048" s="2" t="s">
        <v>39</v>
      </c>
      <c r="D2048" s="2" t="s">
        <v>106</v>
      </c>
      <c r="E2048" s="2" t="s">
        <v>60</v>
      </c>
      <c r="F2048" s="2" t="s">
        <v>18</v>
      </c>
      <c r="G2048" s="1">
        <v>0</v>
      </c>
      <c r="H2048" s="1">
        <v>867</v>
      </c>
      <c r="I2048" s="2" t="s">
        <v>45</v>
      </c>
      <c r="J2048" s="2" t="s">
        <v>33</v>
      </c>
      <c r="K2048" s="1">
        <v>280.04000000000002</v>
      </c>
      <c r="L2048" s="3">
        <v>45322</v>
      </c>
    </row>
    <row r="2049" spans="1:12" x14ac:dyDescent="0.25">
      <c r="A2049" s="1">
        <v>101348</v>
      </c>
      <c r="B2049" s="2" t="s">
        <v>184</v>
      </c>
      <c r="C2049" s="2" t="s">
        <v>62</v>
      </c>
      <c r="D2049" s="2" t="s">
        <v>41</v>
      </c>
      <c r="E2049" s="2" t="s">
        <v>81</v>
      </c>
      <c r="F2049" s="2" t="s">
        <v>18</v>
      </c>
      <c r="G2049" s="1">
        <v>0</v>
      </c>
      <c r="H2049" s="1">
        <v>571</v>
      </c>
      <c r="I2049" s="2" t="s">
        <v>37</v>
      </c>
      <c r="J2049" s="2" t="s">
        <v>26</v>
      </c>
      <c r="K2049" s="1">
        <v>157.1</v>
      </c>
      <c r="L2049" s="3">
        <v>45322</v>
      </c>
    </row>
    <row r="2050" spans="1:12" x14ac:dyDescent="0.25">
      <c r="A2050" s="1">
        <v>100656</v>
      </c>
      <c r="B2050" s="2" t="s">
        <v>164</v>
      </c>
      <c r="C2050" s="2" t="s">
        <v>126</v>
      </c>
      <c r="D2050" s="2" t="s">
        <v>106</v>
      </c>
      <c r="E2050" s="2" t="s">
        <v>78</v>
      </c>
      <c r="F2050" s="2" t="s">
        <v>18</v>
      </c>
      <c r="G2050" s="1">
        <v>0</v>
      </c>
      <c r="H2050" s="1">
        <v>722</v>
      </c>
      <c r="I2050" s="2" t="s">
        <v>32</v>
      </c>
      <c r="J2050" s="2" t="s">
        <v>20</v>
      </c>
      <c r="K2050" s="1"/>
      <c r="L2050" s="3">
        <v>45322</v>
      </c>
    </row>
    <row r="2051" spans="1:12" x14ac:dyDescent="0.25">
      <c r="A2051" s="1">
        <v>100661</v>
      </c>
      <c r="B2051" s="2" t="s">
        <v>863</v>
      </c>
      <c r="C2051" s="2" t="s">
        <v>39</v>
      </c>
      <c r="D2051" s="2" t="s">
        <v>16</v>
      </c>
      <c r="E2051" s="2" t="s">
        <v>70</v>
      </c>
      <c r="F2051" s="2" t="s">
        <v>18</v>
      </c>
      <c r="G2051" s="1">
        <v>0</v>
      </c>
      <c r="H2051" s="1">
        <v>427</v>
      </c>
      <c r="I2051" s="2" t="s">
        <v>32</v>
      </c>
      <c r="J2051" s="2" t="s">
        <v>26</v>
      </c>
      <c r="K2051" s="1"/>
      <c r="L2051" s="3">
        <v>45322</v>
      </c>
    </row>
    <row r="2052" spans="1:12" x14ac:dyDescent="0.25">
      <c r="A2052" s="1">
        <v>101098</v>
      </c>
      <c r="B2052" s="2" t="s">
        <v>965</v>
      </c>
      <c r="C2052" s="2" t="s">
        <v>110</v>
      </c>
      <c r="D2052" s="2" t="s">
        <v>16</v>
      </c>
      <c r="E2052" s="2" t="s">
        <v>35</v>
      </c>
      <c r="F2052" s="2" t="s">
        <v>18</v>
      </c>
      <c r="G2052" s="1">
        <v>0</v>
      </c>
      <c r="H2052" s="1">
        <v>821</v>
      </c>
      <c r="I2052" s="2" t="s">
        <v>32</v>
      </c>
      <c r="J2052" s="2" t="s">
        <v>33</v>
      </c>
      <c r="K2052" s="1">
        <v>520.96</v>
      </c>
      <c r="L2052" s="3">
        <v>45321</v>
      </c>
    </row>
    <row r="2053" spans="1:12" x14ac:dyDescent="0.25">
      <c r="A2053" s="1">
        <v>102053</v>
      </c>
      <c r="B2053" s="2" t="s">
        <v>272</v>
      </c>
      <c r="C2053" s="2" t="s">
        <v>100</v>
      </c>
      <c r="D2053" s="2" t="s">
        <v>41</v>
      </c>
      <c r="E2053" s="2" t="s">
        <v>60</v>
      </c>
      <c r="F2053" s="2" t="s">
        <v>25</v>
      </c>
      <c r="G2053" s="1">
        <v>1</v>
      </c>
      <c r="H2053" s="1">
        <v>666</v>
      </c>
      <c r="I2053" s="2" t="s">
        <v>19</v>
      </c>
      <c r="J2053" s="2" t="s">
        <v>20</v>
      </c>
      <c r="K2053" s="1">
        <v>302.64999999999998</v>
      </c>
      <c r="L2053" s="3">
        <v>45321</v>
      </c>
    </row>
    <row r="2054" spans="1:12" x14ac:dyDescent="0.25">
      <c r="A2054" s="1">
        <v>101947</v>
      </c>
      <c r="B2054" s="2" t="s">
        <v>1203</v>
      </c>
      <c r="C2054" s="2" t="s">
        <v>187</v>
      </c>
      <c r="D2054" s="2" t="s">
        <v>41</v>
      </c>
      <c r="E2054" s="2" t="s">
        <v>78</v>
      </c>
      <c r="F2054" s="2" t="s">
        <v>42</v>
      </c>
      <c r="G2054" s="1">
        <v>92</v>
      </c>
      <c r="H2054" s="1">
        <v>752</v>
      </c>
      <c r="I2054" s="2" t="s">
        <v>37</v>
      </c>
      <c r="J2054" s="2" t="s">
        <v>26</v>
      </c>
      <c r="K2054" s="1">
        <v>175.87</v>
      </c>
      <c r="L2054" s="3">
        <v>45321</v>
      </c>
    </row>
    <row r="2055" spans="1:12" x14ac:dyDescent="0.25">
      <c r="A2055" s="1">
        <v>101628</v>
      </c>
      <c r="B2055" s="2" t="s">
        <v>596</v>
      </c>
      <c r="C2055" s="2" t="s">
        <v>22</v>
      </c>
      <c r="D2055" s="2" t="s">
        <v>64</v>
      </c>
      <c r="E2055" s="2" t="s">
        <v>31</v>
      </c>
      <c r="F2055" s="2" t="s">
        <v>25</v>
      </c>
      <c r="G2055" s="1">
        <v>14</v>
      </c>
      <c r="H2055" s="1">
        <v>603</v>
      </c>
      <c r="I2055" s="2" t="s">
        <v>45</v>
      </c>
      <c r="J2055" s="2" t="s">
        <v>33</v>
      </c>
      <c r="K2055" s="1">
        <v>161.33000000000001</v>
      </c>
      <c r="L2055" s="3">
        <v>45321</v>
      </c>
    </row>
    <row r="2056" spans="1:12" x14ac:dyDescent="0.25">
      <c r="A2056" s="1">
        <v>101531</v>
      </c>
      <c r="B2056" s="2" t="s">
        <v>286</v>
      </c>
      <c r="C2056" s="2" t="s">
        <v>168</v>
      </c>
      <c r="D2056" s="2" t="s">
        <v>16</v>
      </c>
      <c r="E2056" s="2" t="s">
        <v>70</v>
      </c>
      <c r="F2056" s="2" t="s">
        <v>18</v>
      </c>
      <c r="G2056" s="1">
        <v>0</v>
      </c>
      <c r="H2056" s="1">
        <v>434</v>
      </c>
      <c r="I2056" s="2" t="s">
        <v>56</v>
      </c>
      <c r="J2056" s="2" t="s">
        <v>20</v>
      </c>
      <c r="K2056" s="1">
        <v>979.02</v>
      </c>
      <c r="L2056" s="3">
        <v>45320</v>
      </c>
    </row>
    <row r="2057" spans="1:12" x14ac:dyDescent="0.25">
      <c r="A2057" s="1">
        <v>101101</v>
      </c>
      <c r="B2057" s="2" t="s">
        <v>217</v>
      </c>
      <c r="C2057" s="2" t="s">
        <v>218</v>
      </c>
      <c r="D2057" s="2" t="s">
        <v>16</v>
      </c>
      <c r="E2057" s="2" t="s">
        <v>55</v>
      </c>
      <c r="F2057" s="2" t="s">
        <v>18</v>
      </c>
      <c r="G2057" s="1">
        <v>0</v>
      </c>
      <c r="H2057" s="1">
        <v>894</v>
      </c>
      <c r="I2057" s="2" t="s">
        <v>19</v>
      </c>
      <c r="J2057" s="2" t="s">
        <v>20</v>
      </c>
      <c r="K2057" s="1">
        <v>504.13</v>
      </c>
      <c r="L2057" s="3">
        <v>45320</v>
      </c>
    </row>
    <row r="2058" spans="1:12" x14ac:dyDescent="0.25">
      <c r="A2058" s="1">
        <v>101194</v>
      </c>
      <c r="B2058" s="2" t="s">
        <v>282</v>
      </c>
      <c r="C2058" s="2" t="s">
        <v>152</v>
      </c>
      <c r="D2058" s="2" t="s">
        <v>41</v>
      </c>
      <c r="E2058" s="2" t="s">
        <v>60</v>
      </c>
      <c r="F2058" s="2" t="s">
        <v>42</v>
      </c>
      <c r="G2058" s="1">
        <v>117</v>
      </c>
      <c r="H2058" s="1">
        <v>301</v>
      </c>
      <c r="I2058" s="2" t="s">
        <v>37</v>
      </c>
      <c r="J2058" s="2" t="s">
        <v>26</v>
      </c>
      <c r="K2058" s="1">
        <v>399.64</v>
      </c>
      <c r="L2058" s="3">
        <v>45320</v>
      </c>
    </row>
    <row r="2059" spans="1:12" x14ac:dyDescent="0.25">
      <c r="A2059" s="1">
        <v>101248</v>
      </c>
      <c r="B2059" s="2" t="s">
        <v>319</v>
      </c>
      <c r="C2059" s="2" t="s">
        <v>100</v>
      </c>
      <c r="D2059" s="2" t="s">
        <v>64</v>
      </c>
      <c r="E2059" s="2" t="s">
        <v>17</v>
      </c>
      <c r="F2059" s="2" t="s">
        <v>83</v>
      </c>
      <c r="G2059" s="1">
        <v>0</v>
      </c>
      <c r="H2059" s="1">
        <v>411</v>
      </c>
      <c r="I2059" s="2" t="s">
        <v>32</v>
      </c>
      <c r="J2059" s="2" t="s">
        <v>33</v>
      </c>
      <c r="K2059" s="1">
        <v>339.52</v>
      </c>
      <c r="L2059" s="3">
        <v>45320</v>
      </c>
    </row>
    <row r="2060" spans="1:12" x14ac:dyDescent="0.25">
      <c r="A2060" s="1">
        <v>101975</v>
      </c>
      <c r="B2060" s="2" t="s">
        <v>113</v>
      </c>
      <c r="C2060" s="2" t="s">
        <v>95</v>
      </c>
      <c r="D2060" s="2" t="s">
        <v>106</v>
      </c>
      <c r="E2060" s="2" t="s">
        <v>60</v>
      </c>
      <c r="F2060" s="2" t="s">
        <v>42</v>
      </c>
      <c r="G2060" s="1">
        <v>105</v>
      </c>
      <c r="H2060" s="1">
        <v>657</v>
      </c>
      <c r="I2060" s="2" t="s">
        <v>32</v>
      </c>
      <c r="J2060" s="2" t="s">
        <v>33</v>
      </c>
      <c r="K2060" s="1">
        <v>631.1</v>
      </c>
      <c r="L2060" s="3">
        <v>45319</v>
      </c>
    </row>
    <row r="2061" spans="1:12" x14ac:dyDescent="0.25">
      <c r="A2061" s="1">
        <v>101068</v>
      </c>
      <c r="B2061" s="2" t="s">
        <v>728</v>
      </c>
      <c r="C2061" s="2" t="s">
        <v>85</v>
      </c>
      <c r="D2061" s="2" t="s">
        <v>106</v>
      </c>
      <c r="E2061" s="2" t="s">
        <v>78</v>
      </c>
      <c r="F2061" s="2" t="s">
        <v>83</v>
      </c>
      <c r="G2061" s="1">
        <v>0</v>
      </c>
      <c r="H2061" s="1">
        <v>653</v>
      </c>
      <c r="I2061" s="2" t="s">
        <v>37</v>
      </c>
      <c r="J2061" s="2" t="s">
        <v>20</v>
      </c>
      <c r="K2061" s="1">
        <v>458.57</v>
      </c>
      <c r="L2061" s="3">
        <v>45319</v>
      </c>
    </row>
    <row r="2062" spans="1:12" x14ac:dyDescent="0.25">
      <c r="A2062" s="1">
        <v>100731</v>
      </c>
      <c r="B2062" s="2" t="s">
        <v>170</v>
      </c>
      <c r="C2062" s="2" t="s">
        <v>35</v>
      </c>
      <c r="D2062" s="2" t="s">
        <v>106</v>
      </c>
      <c r="E2062" s="2" t="s">
        <v>31</v>
      </c>
      <c r="F2062" s="2" t="s">
        <v>83</v>
      </c>
      <c r="G2062" s="1">
        <v>0</v>
      </c>
      <c r="H2062" s="1">
        <v>869</v>
      </c>
      <c r="I2062" s="2" t="s">
        <v>37</v>
      </c>
      <c r="J2062" s="2" t="s">
        <v>20</v>
      </c>
      <c r="K2062" s="1">
        <v>440.91</v>
      </c>
      <c r="L2062" s="3">
        <v>45319</v>
      </c>
    </row>
    <row r="2063" spans="1:12" x14ac:dyDescent="0.25">
      <c r="A2063" s="1">
        <v>101922</v>
      </c>
      <c r="B2063" s="2" t="s">
        <v>631</v>
      </c>
      <c r="C2063" s="2" t="s">
        <v>13</v>
      </c>
      <c r="D2063" s="2" t="s">
        <v>16</v>
      </c>
      <c r="E2063" s="2" t="s">
        <v>81</v>
      </c>
      <c r="F2063" s="2" t="s">
        <v>18</v>
      </c>
      <c r="G2063" s="1">
        <v>0</v>
      </c>
      <c r="H2063" s="1">
        <v>544</v>
      </c>
      <c r="I2063" s="2" t="s">
        <v>45</v>
      </c>
      <c r="J2063" s="2" t="s">
        <v>20</v>
      </c>
      <c r="K2063" s="1">
        <v>285.04000000000002</v>
      </c>
      <c r="L2063" s="3">
        <v>45319</v>
      </c>
    </row>
    <row r="2064" spans="1:12" x14ac:dyDescent="0.25">
      <c r="A2064" s="1">
        <v>101910</v>
      </c>
      <c r="B2064" s="2" t="s">
        <v>57</v>
      </c>
      <c r="C2064" s="2" t="s">
        <v>58</v>
      </c>
      <c r="D2064" s="2" t="s">
        <v>64</v>
      </c>
      <c r="E2064" s="2" t="s">
        <v>81</v>
      </c>
      <c r="F2064" s="2" t="s">
        <v>83</v>
      </c>
      <c r="G2064" s="1">
        <v>0</v>
      </c>
      <c r="H2064" s="1">
        <v>798</v>
      </c>
      <c r="I2064" s="2" t="s">
        <v>32</v>
      </c>
      <c r="J2064" s="2" t="s">
        <v>20</v>
      </c>
      <c r="K2064" s="1">
        <v>174.37</v>
      </c>
      <c r="L2064" s="3">
        <v>45319</v>
      </c>
    </row>
    <row r="2065" spans="1:12" x14ac:dyDescent="0.25">
      <c r="A2065" s="1">
        <v>100341</v>
      </c>
      <c r="B2065" s="2" t="s">
        <v>805</v>
      </c>
      <c r="C2065" s="2" t="s">
        <v>62</v>
      </c>
      <c r="D2065" s="2" t="s">
        <v>64</v>
      </c>
      <c r="E2065" s="2" t="s">
        <v>35</v>
      </c>
      <c r="F2065" s="2" t="s">
        <v>83</v>
      </c>
      <c r="G2065" s="1">
        <v>0</v>
      </c>
      <c r="H2065" s="1">
        <v>352</v>
      </c>
      <c r="I2065" s="2" t="s">
        <v>56</v>
      </c>
      <c r="J2065" s="2" t="s">
        <v>20</v>
      </c>
      <c r="K2065" s="1">
        <v>167.34</v>
      </c>
      <c r="L2065" s="3">
        <v>45319</v>
      </c>
    </row>
    <row r="2066" spans="1:12" x14ac:dyDescent="0.25">
      <c r="A2066" s="1">
        <v>101842</v>
      </c>
      <c r="B2066" s="2" t="s">
        <v>1177</v>
      </c>
      <c r="C2066" s="2" t="s">
        <v>62</v>
      </c>
      <c r="D2066" s="2" t="s">
        <v>16</v>
      </c>
      <c r="E2066" s="2" t="s">
        <v>78</v>
      </c>
      <c r="F2066" s="2" t="s">
        <v>18</v>
      </c>
      <c r="G2066" s="1">
        <v>0</v>
      </c>
      <c r="H2066" s="1">
        <v>482</v>
      </c>
      <c r="I2066" s="2" t="s">
        <v>32</v>
      </c>
      <c r="J2066" s="2" t="s">
        <v>33</v>
      </c>
      <c r="K2066" s="1">
        <v>159.1</v>
      </c>
      <c r="L2066" s="3">
        <v>45319</v>
      </c>
    </row>
    <row r="2067" spans="1:12" x14ac:dyDescent="0.25">
      <c r="A2067" s="1">
        <v>100024</v>
      </c>
      <c r="B2067" s="2" t="s">
        <v>155</v>
      </c>
      <c r="C2067" s="2" t="s">
        <v>142</v>
      </c>
      <c r="D2067" s="2" t="s">
        <v>16</v>
      </c>
      <c r="E2067" s="2" t="s">
        <v>70</v>
      </c>
      <c r="F2067" s="2" t="s">
        <v>18</v>
      </c>
      <c r="G2067" s="1">
        <v>0</v>
      </c>
      <c r="H2067" s="1">
        <v>339</v>
      </c>
      <c r="I2067" s="2" t="s">
        <v>45</v>
      </c>
      <c r="J2067" s="2" t="s">
        <v>20</v>
      </c>
      <c r="K2067" s="1">
        <v>386.78</v>
      </c>
      <c r="L2067" s="3">
        <v>45318</v>
      </c>
    </row>
    <row r="2068" spans="1:12" x14ac:dyDescent="0.25">
      <c r="A2068" s="1">
        <v>100830</v>
      </c>
      <c r="B2068" s="2" t="s">
        <v>327</v>
      </c>
      <c r="C2068" s="2" t="s">
        <v>100</v>
      </c>
      <c r="D2068" s="2" t="s">
        <v>106</v>
      </c>
      <c r="E2068" s="2" t="s">
        <v>31</v>
      </c>
      <c r="F2068" s="2" t="s">
        <v>18</v>
      </c>
      <c r="G2068" s="1">
        <v>0</v>
      </c>
      <c r="H2068" s="1">
        <v>721</v>
      </c>
      <c r="I2068" s="2" t="s">
        <v>19</v>
      </c>
      <c r="J2068" s="2" t="s">
        <v>20</v>
      </c>
      <c r="K2068" s="1">
        <v>167.24</v>
      </c>
      <c r="L2068" s="3">
        <v>45317</v>
      </c>
    </row>
    <row r="2069" spans="1:12" x14ac:dyDescent="0.25">
      <c r="A2069" s="1">
        <v>100347</v>
      </c>
      <c r="B2069" s="2" t="s">
        <v>769</v>
      </c>
      <c r="C2069" s="2" t="s">
        <v>72</v>
      </c>
      <c r="D2069" s="2" t="s">
        <v>50</v>
      </c>
      <c r="E2069" s="2" t="s">
        <v>78</v>
      </c>
      <c r="F2069" s="2" t="s">
        <v>83</v>
      </c>
      <c r="G2069" s="1">
        <v>0</v>
      </c>
      <c r="H2069" s="1">
        <v>496</v>
      </c>
      <c r="I2069" s="2" t="s">
        <v>19</v>
      </c>
      <c r="J2069" s="2" t="s">
        <v>20</v>
      </c>
      <c r="K2069" s="1">
        <v>148.19999999999999</v>
      </c>
      <c r="L2069" s="3">
        <v>45316</v>
      </c>
    </row>
    <row r="2070" spans="1:12" x14ac:dyDescent="0.25">
      <c r="A2070" s="1">
        <v>100843</v>
      </c>
      <c r="B2070" s="2" t="s">
        <v>570</v>
      </c>
      <c r="C2070" s="2" t="s">
        <v>39</v>
      </c>
      <c r="D2070" s="2" t="s">
        <v>50</v>
      </c>
      <c r="E2070" s="2" t="s">
        <v>17</v>
      </c>
      <c r="F2070" s="2" t="s">
        <v>25</v>
      </c>
      <c r="G2070" s="1">
        <v>11</v>
      </c>
      <c r="H2070" s="1">
        <v>371</v>
      </c>
      <c r="I2070" s="2" t="s">
        <v>45</v>
      </c>
      <c r="J2070" s="2" t="s">
        <v>20</v>
      </c>
      <c r="K2070" s="1">
        <v>83.13</v>
      </c>
      <c r="L2070" s="3">
        <v>45316</v>
      </c>
    </row>
    <row r="2071" spans="1:12" x14ac:dyDescent="0.25">
      <c r="A2071" s="1">
        <v>101962</v>
      </c>
      <c r="B2071" s="2" t="s">
        <v>307</v>
      </c>
      <c r="C2071" s="2" t="s">
        <v>58</v>
      </c>
      <c r="D2071" s="2" t="s">
        <v>106</v>
      </c>
      <c r="E2071" s="2" t="s">
        <v>78</v>
      </c>
      <c r="F2071" s="2" t="s">
        <v>25</v>
      </c>
      <c r="G2071" s="1">
        <v>9</v>
      </c>
      <c r="H2071" s="1">
        <v>616</v>
      </c>
      <c r="I2071" s="2" t="s">
        <v>32</v>
      </c>
      <c r="J2071" s="2" t="s">
        <v>33</v>
      </c>
      <c r="K2071" s="1">
        <v>834.07</v>
      </c>
      <c r="L2071" s="3">
        <v>45315</v>
      </c>
    </row>
    <row r="2072" spans="1:12" x14ac:dyDescent="0.25">
      <c r="A2072" s="1">
        <v>100771</v>
      </c>
      <c r="B2072" s="2" t="s">
        <v>742</v>
      </c>
      <c r="C2072" s="2" t="s">
        <v>100</v>
      </c>
      <c r="D2072" s="2" t="s">
        <v>41</v>
      </c>
      <c r="E2072" s="2" t="s">
        <v>81</v>
      </c>
      <c r="F2072" s="2" t="s">
        <v>18</v>
      </c>
      <c r="G2072" s="1">
        <v>0</v>
      </c>
      <c r="H2072" s="1">
        <v>571</v>
      </c>
      <c r="I2072" s="2" t="s">
        <v>19</v>
      </c>
      <c r="J2072" s="2" t="s">
        <v>26</v>
      </c>
      <c r="K2072" s="1">
        <v>499.55</v>
      </c>
      <c r="L2072" s="3">
        <v>45315</v>
      </c>
    </row>
    <row r="2073" spans="1:12" x14ac:dyDescent="0.25">
      <c r="A2073" s="1">
        <v>101481</v>
      </c>
      <c r="B2073" s="2" t="s">
        <v>863</v>
      </c>
      <c r="C2073" s="2" t="s">
        <v>39</v>
      </c>
      <c r="D2073" s="2" t="s">
        <v>41</v>
      </c>
      <c r="E2073" s="2" t="s">
        <v>60</v>
      </c>
      <c r="F2073" s="2" t="s">
        <v>25</v>
      </c>
      <c r="G2073" s="1">
        <v>30</v>
      </c>
      <c r="H2073" s="1">
        <v>427</v>
      </c>
      <c r="I2073" s="2" t="s">
        <v>45</v>
      </c>
      <c r="J2073" s="2" t="s">
        <v>20</v>
      </c>
      <c r="K2073" s="1">
        <v>491.25</v>
      </c>
      <c r="L2073" s="3">
        <v>45315</v>
      </c>
    </row>
    <row r="2074" spans="1:12" x14ac:dyDescent="0.25">
      <c r="A2074" s="1">
        <v>101288</v>
      </c>
      <c r="B2074" s="2" t="s">
        <v>779</v>
      </c>
      <c r="C2074" s="2" t="s">
        <v>39</v>
      </c>
      <c r="D2074" s="2" t="s">
        <v>50</v>
      </c>
      <c r="E2074" s="2" t="s">
        <v>70</v>
      </c>
      <c r="F2074" s="2" t="s">
        <v>42</v>
      </c>
      <c r="G2074" s="1">
        <v>170</v>
      </c>
      <c r="H2074" s="1">
        <v>402</v>
      </c>
      <c r="I2074" s="2" t="s">
        <v>45</v>
      </c>
      <c r="J2074" s="2" t="s">
        <v>26</v>
      </c>
      <c r="K2074" s="1">
        <v>401.36</v>
      </c>
      <c r="L2074" s="3">
        <v>45315</v>
      </c>
    </row>
    <row r="2075" spans="1:12" x14ac:dyDescent="0.25">
      <c r="A2075" s="1">
        <v>101870</v>
      </c>
      <c r="B2075" s="2" t="s">
        <v>141</v>
      </c>
      <c r="C2075" s="2" t="s">
        <v>142</v>
      </c>
      <c r="D2075" s="2" t="s">
        <v>16</v>
      </c>
      <c r="E2075" s="2" t="s">
        <v>31</v>
      </c>
      <c r="F2075" s="2" t="s">
        <v>18</v>
      </c>
      <c r="G2075" s="1">
        <v>0</v>
      </c>
      <c r="H2075" s="1">
        <v>430</v>
      </c>
      <c r="I2075" s="2" t="s">
        <v>45</v>
      </c>
      <c r="J2075" s="2" t="s">
        <v>26</v>
      </c>
      <c r="K2075" s="1">
        <v>369.27</v>
      </c>
      <c r="L2075" s="3">
        <v>45315</v>
      </c>
    </row>
    <row r="2076" spans="1:12" x14ac:dyDescent="0.25">
      <c r="A2076" s="1">
        <v>101161</v>
      </c>
      <c r="B2076" s="2" t="s">
        <v>27</v>
      </c>
      <c r="C2076" s="2" t="s">
        <v>28</v>
      </c>
      <c r="D2076" s="2" t="s">
        <v>16</v>
      </c>
      <c r="E2076" s="2" t="s">
        <v>31</v>
      </c>
      <c r="F2076" s="2" t="s">
        <v>42</v>
      </c>
      <c r="G2076" s="1">
        <v>53</v>
      </c>
      <c r="H2076" s="1">
        <v>849</v>
      </c>
      <c r="I2076" s="2" t="s">
        <v>56</v>
      </c>
      <c r="J2076" s="2" t="s">
        <v>20</v>
      </c>
      <c r="K2076" s="1">
        <v>336.13</v>
      </c>
      <c r="L2076" s="3">
        <v>45315</v>
      </c>
    </row>
    <row r="2077" spans="1:12" x14ac:dyDescent="0.25">
      <c r="A2077" s="1">
        <v>102014</v>
      </c>
      <c r="B2077" s="2" t="s">
        <v>157</v>
      </c>
      <c r="C2077" s="2" t="s">
        <v>103</v>
      </c>
      <c r="D2077" s="2" t="s">
        <v>106</v>
      </c>
      <c r="E2077" s="2" t="s">
        <v>35</v>
      </c>
      <c r="F2077" s="2" t="s">
        <v>18</v>
      </c>
      <c r="G2077" s="1">
        <v>0</v>
      </c>
      <c r="H2077" s="1">
        <v>897</v>
      </c>
      <c r="I2077" s="2" t="s">
        <v>56</v>
      </c>
      <c r="J2077" s="2" t="s">
        <v>20</v>
      </c>
      <c r="K2077" s="1">
        <v>203.18</v>
      </c>
      <c r="L2077" s="3">
        <v>45315</v>
      </c>
    </row>
    <row r="2078" spans="1:12" x14ac:dyDescent="0.25">
      <c r="A2078" s="1">
        <v>101485</v>
      </c>
      <c r="B2078" s="2" t="s">
        <v>940</v>
      </c>
      <c r="C2078" s="2" t="s">
        <v>35</v>
      </c>
      <c r="D2078" s="2" t="s">
        <v>41</v>
      </c>
      <c r="E2078" s="2" t="s">
        <v>60</v>
      </c>
      <c r="F2078" s="2" t="s">
        <v>18</v>
      </c>
      <c r="G2078" s="1">
        <v>0</v>
      </c>
      <c r="H2078" s="1">
        <v>640</v>
      </c>
      <c r="I2078" s="2" t="s">
        <v>19</v>
      </c>
      <c r="J2078" s="2" t="s">
        <v>26</v>
      </c>
      <c r="K2078" s="1">
        <v>114.9</v>
      </c>
      <c r="L2078" s="3">
        <v>45315</v>
      </c>
    </row>
    <row r="2079" spans="1:12" x14ac:dyDescent="0.25">
      <c r="A2079" s="1">
        <v>102128</v>
      </c>
      <c r="B2079" s="2" t="s">
        <v>427</v>
      </c>
      <c r="C2079" s="2" t="s">
        <v>244</v>
      </c>
      <c r="D2079" s="2" t="s">
        <v>106</v>
      </c>
      <c r="E2079" s="2" t="s">
        <v>17</v>
      </c>
      <c r="F2079" s="2" t="s">
        <v>18</v>
      </c>
      <c r="G2079" s="1">
        <v>0</v>
      </c>
      <c r="H2079" s="1">
        <v>740</v>
      </c>
      <c r="I2079" s="2" t="s">
        <v>45</v>
      </c>
      <c r="J2079" s="2" t="s">
        <v>33</v>
      </c>
      <c r="K2079" s="1">
        <v>438.32</v>
      </c>
      <c r="L2079" s="3">
        <v>45314</v>
      </c>
    </row>
    <row r="2080" spans="1:12" x14ac:dyDescent="0.25">
      <c r="A2080" s="1">
        <v>101682</v>
      </c>
      <c r="B2080" s="2" t="s">
        <v>342</v>
      </c>
      <c r="C2080" s="2" t="s">
        <v>35</v>
      </c>
      <c r="D2080" s="2" t="s">
        <v>16</v>
      </c>
      <c r="E2080" s="2" t="s">
        <v>70</v>
      </c>
      <c r="F2080" s="2" t="s">
        <v>83</v>
      </c>
      <c r="G2080" s="1">
        <v>0</v>
      </c>
      <c r="H2080" s="1">
        <v>659</v>
      </c>
      <c r="I2080" s="2" t="s">
        <v>37</v>
      </c>
      <c r="J2080" s="2" t="s">
        <v>20</v>
      </c>
      <c r="K2080" s="1">
        <v>385.04</v>
      </c>
      <c r="L2080" s="3">
        <v>45314</v>
      </c>
    </row>
    <row r="2081" spans="1:12" x14ac:dyDescent="0.25">
      <c r="A2081" s="1">
        <v>100300</v>
      </c>
      <c r="B2081" s="2" t="s">
        <v>610</v>
      </c>
      <c r="C2081" s="2" t="s">
        <v>126</v>
      </c>
      <c r="D2081" s="2" t="s">
        <v>16</v>
      </c>
      <c r="E2081" s="2" t="s">
        <v>60</v>
      </c>
      <c r="F2081" s="2" t="s">
        <v>18</v>
      </c>
      <c r="G2081" s="1">
        <v>0</v>
      </c>
      <c r="H2081" s="1">
        <v>315</v>
      </c>
      <c r="I2081" s="2" t="s">
        <v>45</v>
      </c>
      <c r="J2081" s="2" t="s">
        <v>33</v>
      </c>
      <c r="K2081" s="1">
        <v>280.60000000000002</v>
      </c>
      <c r="L2081" s="3">
        <v>45314</v>
      </c>
    </row>
    <row r="2082" spans="1:12" x14ac:dyDescent="0.25">
      <c r="A2082" s="1">
        <v>101955</v>
      </c>
      <c r="B2082" s="2" t="s">
        <v>1042</v>
      </c>
      <c r="C2082" s="2" t="s">
        <v>58</v>
      </c>
      <c r="D2082" s="2" t="s">
        <v>50</v>
      </c>
      <c r="E2082" s="2" t="s">
        <v>70</v>
      </c>
      <c r="F2082" s="2" t="s">
        <v>42</v>
      </c>
      <c r="G2082" s="1">
        <v>54</v>
      </c>
      <c r="H2082" s="1">
        <v>578</v>
      </c>
      <c r="I2082" s="2" t="s">
        <v>45</v>
      </c>
      <c r="J2082" s="2" t="s">
        <v>20</v>
      </c>
      <c r="K2082" s="1">
        <v>56.86</v>
      </c>
      <c r="L2082" s="3">
        <v>45314</v>
      </c>
    </row>
    <row r="2083" spans="1:12" x14ac:dyDescent="0.25">
      <c r="A2083" s="1">
        <v>100638</v>
      </c>
      <c r="B2083" s="2" t="s">
        <v>319</v>
      </c>
      <c r="C2083" s="2" t="s">
        <v>100</v>
      </c>
      <c r="D2083" s="2" t="s">
        <v>50</v>
      </c>
      <c r="E2083" s="2" t="s">
        <v>31</v>
      </c>
      <c r="F2083" s="2" t="s">
        <v>18</v>
      </c>
      <c r="G2083" s="1">
        <v>0</v>
      </c>
      <c r="H2083" s="1">
        <v>411</v>
      </c>
      <c r="I2083" s="2" t="s">
        <v>56</v>
      </c>
      <c r="J2083" s="2" t="s">
        <v>20</v>
      </c>
      <c r="K2083" s="1">
        <v>1060.74</v>
      </c>
      <c r="L2083" s="3">
        <v>45313</v>
      </c>
    </row>
    <row r="2084" spans="1:12" x14ac:dyDescent="0.25">
      <c r="A2084" s="1">
        <v>101992</v>
      </c>
      <c r="B2084" s="2" t="s">
        <v>170</v>
      </c>
      <c r="C2084" s="2" t="s">
        <v>85</v>
      </c>
      <c r="D2084" s="2" t="s">
        <v>50</v>
      </c>
      <c r="E2084" s="2" t="s">
        <v>60</v>
      </c>
      <c r="F2084" s="2" t="s">
        <v>18</v>
      </c>
      <c r="G2084" s="1">
        <v>0</v>
      </c>
      <c r="H2084" s="1">
        <v>869</v>
      </c>
      <c r="I2084" s="2" t="s">
        <v>35</v>
      </c>
      <c r="J2084" s="2" t="s">
        <v>20</v>
      </c>
      <c r="K2084" s="1">
        <v>507.54</v>
      </c>
      <c r="L2084" s="3">
        <v>45313</v>
      </c>
    </row>
    <row r="2085" spans="1:12" x14ac:dyDescent="0.25">
      <c r="A2085" s="1">
        <v>100974</v>
      </c>
      <c r="B2085" s="2" t="s">
        <v>340</v>
      </c>
      <c r="C2085" s="2" t="s">
        <v>100</v>
      </c>
      <c r="D2085" s="2" t="s">
        <v>16</v>
      </c>
      <c r="E2085" s="2" t="s">
        <v>35</v>
      </c>
      <c r="F2085" s="2" t="s">
        <v>18</v>
      </c>
      <c r="G2085" s="1">
        <v>0</v>
      </c>
      <c r="H2085" s="1">
        <v>705</v>
      </c>
      <c r="I2085" s="2" t="s">
        <v>56</v>
      </c>
      <c r="J2085" s="2" t="s">
        <v>33</v>
      </c>
      <c r="K2085" s="1">
        <v>331.25</v>
      </c>
      <c r="L2085" s="3">
        <v>45312</v>
      </c>
    </row>
    <row r="2086" spans="1:12" x14ac:dyDescent="0.25">
      <c r="A2086" s="1">
        <v>100007</v>
      </c>
      <c r="B2086" s="2" t="s">
        <v>742</v>
      </c>
      <c r="C2086" s="2" t="s">
        <v>100</v>
      </c>
      <c r="D2086" s="2" t="s">
        <v>50</v>
      </c>
      <c r="E2086" s="2" t="s">
        <v>81</v>
      </c>
      <c r="F2086" s="2" t="s">
        <v>18</v>
      </c>
      <c r="G2086" s="1">
        <v>0</v>
      </c>
      <c r="H2086" s="1">
        <v>571</v>
      </c>
      <c r="I2086" s="2" t="s">
        <v>56</v>
      </c>
      <c r="J2086" s="2" t="s">
        <v>20</v>
      </c>
      <c r="K2086" s="1">
        <v>233.26</v>
      </c>
      <c r="L2086" s="3">
        <v>45312</v>
      </c>
    </row>
    <row r="2087" spans="1:12" x14ac:dyDescent="0.25">
      <c r="A2087" s="1">
        <v>100266</v>
      </c>
      <c r="B2087" s="2" t="s">
        <v>545</v>
      </c>
      <c r="C2087" s="2" t="s">
        <v>126</v>
      </c>
      <c r="D2087" s="2" t="s">
        <v>50</v>
      </c>
      <c r="E2087" s="2" t="s">
        <v>55</v>
      </c>
      <c r="F2087" s="2" t="s">
        <v>18</v>
      </c>
      <c r="G2087" s="1">
        <v>0</v>
      </c>
      <c r="H2087" s="1">
        <v>494</v>
      </c>
      <c r="I2087" s="2" t="s">
        <v>19</v>
      </c>
      <c r="J2087" s="2" t="s">
        <v>33</v>
      </c>
      <c r="K2087" s="1">
        <v>176.3</v>
      </c>
      <c r="L2087" s="3">
        <v>45312</v>
      </c>
    </row>
    <row r="2088" spans="1:12" x14ac:dyDescent="0.25">
      <c r="A2088" s="1">
        <v>101764</v>
      </c>
      <c r="B2088" s="2" t="s">
        <v>738</v>
      </c>
      <c r="C2088" s="2" t="s">
        <v>100</v>
      </c>
      <c r="D2088" s="2" t="s">
        <v>106</v>
      </c>
      <c r="E2088" s="2" t="s">
        <v>78</v>
      </c>
      <c r="F2088" s="2" t="s">
        <v>18</v>
      </c>
      <c r="G2088" s="1">
        <v>0</v>
      </c>
      <c r="H2088" s="1">
        <v>585</v>
      </c>
      <c r="I2088" s="2" t="s">
        <v>32</v>
      </c>
      <c r="J2088" s="2" t="s">
        <v>20</v>
      </c>
      <c r="K2088" s="1">
        <v>131.1</v>
      </c>
      <c r="L2088" s="3">
        <v>45312</v>
      </c>
    </row>
    <row r="2089" spans="1:12" x14ac:dyDescent="0.25">
      <c r="A2089" s="1">
        <v>100965</v>
      </c>
      <c r="B2089" s="2" t="s">
        <v>462</v>
      </c>
      <c r="C2089" s="2" t="s">
        <v>168</v>
      </c>
      <c r="D2089" s="2" t="s">
        <v>41</v>
      </c>
      <c r="E2089" s="2" t="s">
        <v>31</v>
      </c>
      <c r="F2089" s="2" t="s">
        <v>25</v>
      </c>
      <c r="G2089" s="1">
        <v>25</v>
      </c>
      <c r="H2089" s="1">
        <v>716</v>
      </c>
      <c r="I2089" s="2" t="s">
        <v>37</v>
      </c>
      <c r="J2089" s="2" t="s">
        <v>26</v>
      </c>
      <c r="K2089" s="1"/>
      <c r="L2089" s="3">
        <v>45312</v>
      </c>
    </row>
    <row r="2090" spans="1:12" x14ac:dyDescent="0.25">
      <c r="A2090" s="1">
        <v>100462</v>
      </c>
      <c r="B2090" s="2" t="s">
        <v>402</v>
      </c>
      <c r="C2090" s="2" t="s">
        <v>95</v>
      </c>
      <c r="D2090" s="2" t="s">
        <v>64</v>
      </c>
      <c r="E2090" s="2" t="s">
        <v>60</v>
      </c>
      <c r="F2090" s="2" t="s">
        <v>18</v>
      </c>
      <c r="G2090" s="1">
        <v>0</v>
      </c>
      <c r="H2090" s="1">
        <v>355</v>
      </c>
      <c r="I2090" s="2" t="s">
        <v>45</v>
      </c>
      <c r="J2090" s="2" t="s">
        <v>20</v>
      </c>
      <c r="K2090" s="1">
        <v>749.1</v>
      </c>
      <c r="L2090" s="3">
        <v>45311</v>
      </c>
    </row>
    <row r="2091" spans="1:12" x14ac:dyDescent="0.25">
      <c r="A2091" s="1">
        <v>100056</v>
      </c>
      <c r="B2091" s="2" t="s">
        <v>385</v>
      </c>
      <c r="C2091" s="2" t="s">
        <v>85</v>
      </c>
      <c r="D2091" s="2" t="s">
        <v>41</v>
      </c>
      <c r="E2091" s="2" t="s">
        <v>70</v>
      </c>
      <c r="F2091" s="2" t="s">
        <v>18</v>
      </c>
      <c r="G2091" s="1">
        <v>0</v>
      </c>
      <c r="H2091" s="1">
        <v>490</v>
      </c>
      <c r="I2091" s="2" t="s">
        <v>19</v>
      </c>
      <c r="J2091" s="2" t="s">
        <v>33</v>
      </c>
      <c r="K2091" s="1">
        <v>634.95000000000005</v>
      </c>
      <c r="L2091" s="3">
        <v>45311</v>
      </c>
    </row>
    <row r="2092" spans="1:12" x14ac:dyDescent="0.25">
      <c r="A2092" s="1">
        <v>100095</v>
      </c>
      <c r="B2092" s="2" t="s">
        <v>443</v>
      </c>
      <c r="C2092" s="2" t="s">
        <v>72</v>
      </c>
      <c r="D2092" s="2" t="s">
        <v>50</v>
      </c>
      <c r="E2092" s="2" t="s">
        <v>17</v>
      </c>
      <c r="F2092" s="2" t="s">
        <v>18</v>
      </c>
      <c r="G2092" s="1">
        <v>0</v>
      </c>
      <c r="H2092" s="1">
        <v>309</v>
      </c>
      <c r="I2092" s="2" t="s">
        <v>32</v>
      </c>
      <c r="J2092" s="2" t="s">
        <v>26</v>
      </c>
      <c r="K2092" s="1">
        <v>413.35</v>
      </c>
      <c r="L2092" s="3">
        <v>45311</v>
      </c>
    </row>
    <row r="2093" spans="1:12" x14ac:dyDescent="0.25">
      <c r="A2093" s="1">
        <v>100246</v>
      </c>
      <c r="B2093" s="2" t="s">
        <v>170</v>
      </c>
      <c r="C2093" s="2" t="s">
        <v>85</v>
      </c>
      <c r="D2093" s="2" t="s">
        <v>64</v>
      </c>
      <c r="E2093" s="2" t="s">
        <v>70</v>
      </c>
      <c r="F2093" s="2" t="s">
        <v>18</v>
      </c>
      <c r="G2093" s="1">
        <v>0</v>
      </c>
      <c r="H2093" s="1">
        <v>869</v>
      </c>
      <c r="I2093" s="2" t="s">
        <v>19</v>
      </c>
      <c r="J2093" s="2" t="s">
        <v>20</v>
      </c>
      <c r="K2093" s="1">
        <v>365.26</v>
      </c>
      <c r="L2093" s="3">
        <v>45311</v>
      </c>
    </row>
    <row r="2094" spans="1:12" x14ac:dyDescent="0.25">
      <c r="A2094" s="1">
        <v>100205</v>
      </c>
      <c r="B2094" s="2" t="s">
        <v>1663</v>
      </c>
      <c r="C2094" s="2" t="s">
        <v>100</v>
      </c>
      <c r="D2094" s="2" t="s">
        <v>106</v>
      </c>
      <c r="E2094" s="2" t="s">
        <v>31</v>
      </c>
      <c r="F2094" s="2" t="s">
        <v>18</v>
      </c>
      <c r="G2094" s="1" t="s">
        <v>35</v>
      </c>
      <c r="H2094" s="1">
        <v>452</v>
      </c>
      <c r="I2094" s="2" t="s">
        <v>45</v>
      </c>
      <c r="J2094" s="2" t="s">
        <v>20</v>
      </c>
      <c r="K2094" s="1">
        <v>95.12</v>
      </c>
      <c r="L2094" s="3">
        <v>45311</v>
      </c>
    </row>
    <row r="2095" spans="1:12" x14ac:dyDescent="0.25">
      <c r="A2095" s="1">
        <v>101253</v>
      </c>
      <c r="B2095" s="2" t="s">
        <v>376</v>
      </c>
      <c r="C2095" s="2" t="s">
        <v>22</v>
      </c>
      <c r="D2095" s="2" t="s">
        <v>106</v>
      </c>
      <c r="E2095" s="2" t="s">
        <v>55</v>
      </c>
      <c r="F2095" s="2" t="s">
        <v>18</v>
      </c>
      <c r="G2095" s="1">
        <v>0</v>
      </c>
      <c r="H2095" s="1">
        <v>340</v>
      </c>
      <c r="I2095" s="2" t="s">
        <v>37</v>
      </c>
      <c r="J2095" s="2" t="s">
        <v>26</v>
      </c>
      <c r="K2095" s="1">
        <v>79.45</v>
      </c>
      <c r="L2095" s="3">
        <v>45311</v>
      </c>
    </row>
    <row r="2096" spans="1:12" x14ac:dyDescent="0.25">
      <c r="A2096" s="1">
        <v>101790</v>
      </c>
      <c r="B2096" s="2" t="s">
        <v>820</v>
      </c>
      <c r="C2096" s="2" t="s">
        <v>22</v>
      </c>
      <c r="D2096" s="2" t="s">
        <v>64</v>
      </c>
      <c r="E2096" s="2" t="s">
        <v>55</v>
      </c>
      <c r="F2096" s="2" t="s">
        <v>18</v>
      </c>
      <c r="G2096" s="1">
        <v>0</v>
      </c>
      <c r="H2096" s="1">
        <v>621</v>
      </c>
      <c r="I2096" s="2" t="s">
        <v>32</v>
      </c>
      <c r="J2096" s="2" t="s">
        <v>20</v>
      </c>
      <c r="K2096" s="1">
        <v>243.35</v>
      </c>
      <c r="L2096" s="3">
        <v>45310</v>
      </c>
    </row>
    <row r="2097" spans="1:12" x14ac:dyDescent="0.25">
      <c r="A2097" s="1">
        <v>100216</v>
      </c>
      <c r="B2097" s="2" t="s">
        <v>1435</v>
      </c>
      <c r="C2097" s="2" t="s">
        <v>47</v>
      </c>
      <c r="D2097" s="2" t="s">
        <v>106</v>
      </c>
      <c r="E2097" s="2" t="s">
        <v>81</v>
      </c>
      <c r="F2097" s="2" t="s">
        <v>25</v>
      </c>
      <c r="G2097" s="1">
        <v>13</v>
      </c>
      <c r="H2097" s="1">
        <v>744</v>
      </c>
      <c r="I2097" s="2" t="s">
        <v>56</v>
      </c>
      <c r="J2097" s="2" t="s">
        <v>20</v>
      </c>
      <c r="K2097" s="1"/>
      <c r="L2097" s="3">
        <v>45310</v>
      </c>
    </row>
    <row r="2098" spans="1:12" x14ac:dyDescent="0.25">
      <c r="A2098" s="1">
        <v>100864</v>
      </c>
      <c r="B2098" s="2" t="s">
        <v>236</v>
      </c>
      <c r="C2098" s="2" t="s">
        <v>47</v>
      </c>
      <c r="D2098" s="2" t="s">
        <v>16</v>
      </c>
      <c r="E2098" s="2" t="s">
        <v>31</v>
      </c>
      <c r="F2098" s="2" t="s">
        <v>83</v>
      </c>
      <c r="G2098" s="1">
        <v>0</v>
      </c>
      <c r="H2098" s="1">
        <v>797</v>
      </c>
      <c r="I2098" s="2" t="s">
        <v>19</v>
      </c>
      <c r="J2098" s="2" t="s">
        <v>33</v>
      </c>
      <c r="K2098" s="1">
        <v>876.36</v>
      </c>
      <c r="L2098" s="3">
        <v>45309</v>
      </c>
    </row>
    <row r="2099" spans="1:12" x14ac:dyDescent="0.25">
      <c r="A2099" s="1">
        <v>101012</v>
      </c>
      <c r="B2099" s="2" t="s">
        <v>243</v>
      </c>
      <c r="C2099" s="2" t="s">
        <v>244</v>
      </c>
      <c r="D2099" s="2" t="s">
        <v>64</v>
      </c>
      <c r="E2099" s="2" t="s">
        <v>55</v>
      </c>
      <c r="F2099" s="2" t="s">
        <v>83</v>
      </c>
      <c r="G2099" s="1">
        <v>0</v>
      </c>
      <c r="H2099" s="1">
        <v>729</v>
      </c>
      <c r="I2099" s="2" t="s">
        <v>56</v>
      </c>
      <c r="J2099" s="2" t="s">
        <v>26</v>
      </c>
      <c r="K2099" s="1">
        <v>676.17</v>
      </c>
      <c r="L2099" s="3">
        <v>45309</v>
      </c>
    </row>
    <row r="2100" spans="1:12" x14ac:dyDescent="0.25">
      <c r="A2100" s="1">
        <v>101901</v>
      </c>
      <c r="B2100" s="2" t="s">
        <v>581</v>
      </c>
      <c r="C2100" s="2" t="s">
        <v>103</v>
      </c>
      <c r="D2100" s="2" t="s">
        <v>106</v>
      </c>
      <c r="E2100" s="2" t="s">
        <v>81</v>
      </c>
      <c r="F2100" s="2" t="s">
        <v>83</v>
      </c>
      <c r="G2100" s="1">
        <v>0</v>
      </c>
      <c r="H2100" s="1">
        <v>435</v>
      </c>
      <c r="I2100" s="2" t="s">
        <v>45</v>
      </c>
      <c r="J2100" s="2" t="s">
        <v>20</v>
      </c>
      <c r="K2100" s="1">
        <v>464.29</v>
      </c>
      <c r="L2100" s="3">
        <v>45309</v>
      </c>
    </row>
    <row r="2101" spans="1:12" x14ac:dyDescent="0.25">
      <c r="A2101" s="1">
        <v>100718</v>
      </c>
      <c r="B2101" s="2" t="s">
        <v>444</v>
      </c>
      <c r="C2101" s="2" t="s">
        <v>52</v>
      </c>
      <c r="D2101" s="2" t="s">
        <v>50</v>
      </c>
      <c r="E2101" s="2" t="s">
        <v>55</v>
      </c>
      <c r="F2101" s="2" t="s">
        <v>18</v>
      </c>
      <c r="G2101" s="1">
        <v>0</v>
      </c>
      <c r="H2101" s="1">
        <v>688</v>
      </c>
      <c r="I2101" s="2" t="s">
        <v>32</v>
      </c>
      <c r="J2101" s="2" t="s">
        <v>20</v>
      </c>
      <c r="K2101" s="1">
        <v>185.63</v>
      </c>
      <c r="L2101" s="3">
        <v>45309</v>
      </c>
    </row>
    <row r="2102" spans="1:12" x14ac:dyDescent="0.25">
      <c r="A2102" s="1">
        <v>101006</v>
      </c>
      <c r="B2102" s="2" t="s">
        <v>443</v>
      </c>
      <c r="C2102" s="2" t="s">
        <v>35</v>
      </c>
      <c r="D2102" s="2" t="s">
        <v>64</v>
      </c>
      <c r="E2102" s="2" t="s">
        <v>31</v>
      </c>
      <c r="F2102" s="2" t="s">
        <v>83</v>
      </c>
      <c r="G2102" s="1">
        <v>0</v>
      </c>
      <c r="H2102" s="1">
        <v>309</v>
      </c>
      <c r="I2102" s="2" t="s">
        <v>19</v>
      </c>
      <c r="J2102" s="2" t="s">
        <v>33</v>
      </c>
      <c r="K2102" s="1">
        <v>89.91</v>
      </c>
      <c r="L2102" s="3">
        <v>45309</v>
      </c>
    </row>
    <row r="2103" spans="1:12" x14ac:dyDescent="0.25">
      <c r="A2103" s="1">
        <v>100779</v>
      </c>
      <c r="B2103" s="2" t="s">
        <v>392</v>
      </c>
      <c r="C2103" s="2" t="s">
        <v>72</v>
      </c>
      <c r="D2103" s="2" t="s">
        <v>106</v>
      </c>
      <c r="E2103" s="2" t="s">
        <v>17</v>
      </c>
      <c r="F2103" s="2" t="s">
        <v>25</v>
      </c>
      <c r="G2103" s="1">
        <v>13</v>
      </c>
      <c r="H2103" s="1">
        <v>433</v>
      </c>
      <c r="I2103" s="2" t="s">
        <v>56</v>
      </c>
      <c r="J2103" s="2" t="s">
        <v>26</v>
      </c>
      <c r="K2103" s="1">
        <v>662.11</v>
      </c>
      <c r="L2103" s="3">
        <v>45308</v>
      </c>
    </row>
    <row r="2104" spans="1:12" x14ac:dyDescent="0.25">
      <c r="A2104" s="1">
        <v>100920</v>
      </c>
      <c r="B2104" s="2" t="s">
        <v>340</v>
      </c>
      <c r="C2104" s="2" t="s">
        <v>100</v>
      </c>
      <c r="D2104" s="2" t="s">
        <v>106</v>
      </c>
      <c r="E2104" s="2" t="s">
        <v>81</v>
      </c>
      <c r="F2104" s="2" t="s">
        <v>25</v>
      </c>
      <c r="G2104" s="1">
        <v>29</v>
      </c>
      <c r="H2104" s="1">
        <v>705</v>
      </c>
      <c r="I2104" s="2" t="s">
        <v>56</v>
      </c>
      <c r="J2104" s="2" t="s">
        <v>33</v>
      </c>
      <c r="K2104" s="1">
        <v>592.38</v>
      </c>
      <c r="L2104" s="3">
        <v>45308</v>
      </c>
    </row>
    <row r="2105" spans="1:12" x14ac:dyDescent="0.25">
      <c r="A2105" s="1">
        <v>100967</v>
      </c>
      <c r="B2105" s="2" t="s">
        <v>243</v>
      </c>
      <c r="C2105" s="2" t="s">
        <v>244</v>
      </c>
      <c r="D2105" s="2" t="s">
        <v>41</v>
      </c>
      <c r="E2105" s="2" t="s">
        <v>78</v>
      </c>
      <c r="F2105" s="2" t="s">
        <v>18</v>
      </c>
      <c r="G2105" s="1">
        <v>0</v>
      </c>
      <c r="H2105" s="1">
        <v>729</v>
      </c>
      <c r="I2105" s="2" t="s">
        <v>19</v>
      </c>
      <c r="J2105" s="2" t="s">
        <v>20</v>
      </c>
      <c r="K2105" s="1">
        <v>239.88</v>
      </c>
      <c r="L2105" s="3">
        <v>45308</v>
      </c>
    </row>
    <row r="2106" spans="1:12" x14ac:dyDescent="0.25">
      <c r="A2106" s="1">
        <v>101115</v>
      </c>
      <c r="B2106" s="2" t="s">
        <v>706</v>
      </c>
      <c r="C2106" s="2" t="s">
        <v>72</v>
      </c>
      <c r="D2106" s="2" t="s">
        <v>64</v>
      </c>
      <c r="E2106" s="2" t="s">
        <v>55</v>
      </c>
      <c r="F2106" s="2" t="s">
        <v>83</v>
      </c>
      <c r="G2106" s="1" t="s">
        <v>35</v>
      </c>
      <c r="H2106" s="1">
        <v>382</v>
      </c>
      <c r="I2106" s="2" t="s">
        <v>45</v>
      </c>
      <c r="J2106" s="2" t="s">
        <v>20</v>
      </c>
      <c r="K2106" s="1">
        <v>673.87</v>
      </c>
      <c r="L2106" s="3">
        <v>45307</v>
      </c>
    </row>
    <row r="2107" spans="1:12" x14ac:dyDescent="0.25">
      <c r="A2107" s="1">
        <v>100509</v>
      </c>
      <c r="B2107" s="2" t="s">
        <v>87</v>
      </c>
      <c r="C2107" s="2" t="s">
        <v>47</v>
      </c>
      <c r="D2107" s="2" t="s">
        <v>64</v>
      </c>
      <c r="E2107" s="2" t="s">
        <v>70</v>
      </c>
      <c r="F2107" s="2" t="s">
        <v>42</v>
      </c>
      <c r="G2107" s="1">
        <v>111</v>
      </c>
      <c r="H2107" s="1">
        <v>892</v>
      </c>
      <c r="I2107" s="2" t="s">
        <v>19</v>
      </c>
      <c r="J2107" s="2" t="s">
        <v>26</v>
      </c>
      <c r="K2107" s="1">
        <v>503.2</v>
      </c>
      <c r="L2107" s="3">
        <v>45307</v>
      </c>
    </row>
    <row r="2108" spans="1:12" x14ac:dyDescent="0.25">
      <c r="A2108" s="1">
        <v>100823</v>
      </c>
      <c r="B2108" s="2" t="s">
        <v>742</v>
      </c>
      <c r="C2108" s="2" t="s">
        <v>100</v>
      </c>
      <c r="D2108" s="2" t="s">
        <v>50</v>
      </c>
      <c r="E2108" s="2" t="s">
        <v>17</v>
      </c>
      <c r="F2108" s="2" t="s">
        <v>83</v>
      </c>
      <c r="G2108" s="1">
        <v>0</v>
      </c>
      <c r="H2108" s="1">
        <v>571</v>
      </c>
      <c r="I2108" s="2" t="s">
        <v>56</v>
      </c>
      <c r="J2108" s="2" t="s">
        <v>20</v>
      </c>
      <c r="K2108" s="1">
        <v>398.75</v>
      </c>
      <c r="L2108" s="3">
        <v>45307</v>
      </c>
    </row>
    <row r="2109" spans="1:12" x14ac:dyDescent="0.25">
      <c r="A2109" s="1">
        <v>101102</v>
      </c>
      <c r="B2109" s="2" t="s">
        <v>1009</v>
      </c>
      <c r="C2109" s="2" t="s">
        <v>58</v>
      </c>
      <c r="D2109" s="2" t="s">
        <v>16</v>
      </c>
      <c r="E2109" s="2" t="s">
        <v>60</v>
      </c>
      <c r="F2109" s="2" t="s">
        <v>18</v>
      </c>
      <c r="G2109" s="1">
        <v>0</v>
      </c>
      <c r="H2109" s="1">
        <v>400</v>
      </c>
      <c r="I2109" s="2" t="s">
        <v>56</v>
      </c>
      <c r="J2109" s="2" t="s">
        <v>26</v>
      </c>
      <c r="K2109" s="1">
        <v>165.71</v>
      </c>
      <c r="L2109" s="3">
        <v>45307</v>
      </c>
    </row>
    <row r="2110" spans="1:12" x14ac:dyDescent="0.25">
      <c r="A2110" s="1">
        <v>101334</v>
      </c>
      <c r="B2110" s="2" t="s">
        <v>338</v>
      </c>
      <c r="C2110" s="2" t="s">
        <v>22</v>
      </c>
      <c r="D2110" s="2" t="s">
        <v>16</v>
      </c>
      <c r="E2110" s="2" t="s">
        <v>78</v>
      </c>
      <c r="F2110" s="2" t="s">
        <v>25</v>
      </c>
      <c r="G2110" s="1">
        <v>26</v>
      </c>
      <c r="H2110" s="1">
        <v>832</v>
      </c>
      <c r="I2110" s="2" t="s">
        <v>32</v>
      </c>
      <c r="J2110" s="2" t="s">
        <v>26</v>
      </c>
      <c r="K2110" s="1">
        <v>78.055000000000007</v>
      </c>
      <c r="L2110" s="3">
        <v>45307</v>
      </c>
    </row>
    <row r="2111" spans="1:12" x14ac:dyDescent="0.25">
      <c r="A2111" s="1">
        <v>100854</v>
      </c>
      <c r="B2111" s="2" t="s">
        <v>905</v>
      </c>
      <c r="C2111" s="2" t="s">
        <v>100</v>
      </c>
      <c r="D2111" s="2" t="s">
        <v>106</v>
      </c>
      <c r="E2111" s="2" t="s">
        <v>60</v>
      </c>
      <c r="F2111" s="2" t="s">
        <v>25</v>
      </c>
      <c r="G2111" s="1">
        <v>26</v>
      </c>
      <c r="H2111" s="1">
        <v>325</v>
      </c>
      <c r="I2111" s="2" t="s">
        <v>45</v>
      </c>
      <c r="J2111" s="2" t="s">
        <v>20</v>
      </c>
      <c r="K2111" s="1">
        <v>629.95000000000005</v>
      </c>
      <c r="L2111" s="3">
        <v>45306</v>
      </c>
    </row>
    <row r="2112" spans="1:12" x14ac:dyDescent="0.25">
      <c r="A2112" s="1">
        <v>102056</v>
      </c>
      <c r="B2112" s="2" t="s">
        <v>280</v>
      </c>
      <c r="C2112" s="2" t="s">
        <v>187</v>
      </c>
      <c r="D2112" s="2" t="s">
        <v>41</v>
      </c>
      <c r="E2112" s="2" t="s">
        <v>17</v>
      </c>
      <c r="F2112" s="2" t="s">
        <v>18</v>
      </c>
      <c r="G2112" s="1">
        <v>0</v>
      </c>
      <c r="H2112" s="1">
        <v>621</v>
      </c>
      <c r="I2112" s="2" t="s">
        <v>56</v>
      </c>
      <c r="J2112" s="2" t="s">
        <v>20</v>
      </c>
      <c r="K2112" s="1">
        <v>345.79</v>
      </c>
      <c r="L2112" s="3">
        <v>45306</v>
      </c>
    </row>
    <row r="2113" spans="1:12" x14ac:dyDescent="0.25">
      <c r="A2113" s="1">
        <v>101934</v>
      </c>
      <c r="B2113" s="2" t="s">
        <v>371</v>
      </c>
      <c r="C2113" s="2" t="s">
        <v>52</v>
      </c>
      <c r="D2113" s="2" t="s">
        <v>16</v>
      </c>
      <c r="E2113" s="2" t="s">
        <v>17</v>
      </c>
      <c r="F2113" s="2" t="s">
        <v>25</v>
      </c>
      <c r="G2113" s="1">
        <v>18</v>
      </c>
      <c r="H2113" s="1">
        <v>339</v>
      </c>
      <c r="I2113" s="2" t="s">
        <v>45</v>
      </c>
      <c r="J2113" s="2" t="s">
        <v>26</v>
      </c>
      <c r="K2113" s="1">
        <v>286.19</v>
      </c>
      <c r="L2113" s="3">
        <v>45306</v>
      </c>
    </row>
    <row r="2114" spans="1:12" x14ac:dyDescent="0.25">
      <c r="A2114" s="1">
        <v>101354</v>
      </c>
      <c r="B2114" s="2" t="s">
        <v>553</v>
      </c>
      <c r="C2114" s="2" t="s">
        <v>72</v>
      </c>
      <c r="D2114" s="2" t="s">
        <v>41</v>
      </c>
      <c r="E2114" s="2" t="s">
        <v>60</v>
      </c>
      <c r="F2114" s="2" t="s">
        <v>18</v>
      </c>
      <c r="G2114" s="1">
        <v>0</v>
      </c>
      <c r="H2114" s="1">
        <v>638</v>
      </c>
      <c r="I2114" s="2" t="s">
        <v>32</v>
      </c>
      <c r="J2114" s="2" t="s">
        <v>20</v>
      </c>
      <c r="K2114" s="1"/>
      <c r="L2114" s="3">
        <v>45306</v>
      </c>
    </row>
    <row r="2115" spans="1:12" x14ac:dyDescent="0.25">
      <c r="A2115" s="1">
        <v>102065</v>
      </c>
      <c r="B2115" s="2" t="s">
        <v>734</v>
      </c>
      <c r="C2115" s="2" t="s">
        <v>218</v>
      </c>
      <c r="D2115" s="2" t="s">
        <v>41</v>
      </c>
      <c r="E2115" s="2" t="s">
        <v>78</v>
      </c>
      <c r="F2115" s="2" t="s">
        <v>18</v>
      </c>
      <c r="G2115" s="1" t="s">
        <v>35</v>
      </c>
      <c r="H2115" s="1">
        <v>865</v>
      </c>
      <c r="I2115" s="2" t="s">
        <v>56</v>
      </c>
      <c r="J2115" s="2" t="s">
        <v>20</v>
      </c>
      <c r="K2115" s="1">
        <v>594.26</v>
      </c>
      <c r="L2115" s="3">
        <v>45305</v>
      </c>
    </row>
    <row r="2116" spans="1:12" x14ac:dyDescent="0.25">
      <c r="A2116" s="1">
        <v>101145</v>
      </c>
      <c r="B2116" s="2" t="s">
        <v>129</v>
      </c>
      <c r="C2116" s="2" t="s">
        <v>13</v>
      </c>
      <c r="D2116" s="2" t="s">
        <v>41</v>
      </c>
      <c r="E2116" s="2" t="s">
        <v>35</v>
      </c>
      <c r="F2116" s="2" t="s">
        <v>18</v>
      </c>
      <c r="G2116" s="1">
        <v>0</v>
      </c>
      <c r="H2116" s="1">
        <v>336</v>
      </c>
      <c r="I2116" s="2" t="s">
        <v>56</v>
      </c>
      <c r="J2116" s="2" t="s">
        <v>26</v>
      </c>
      <c r="K2116" s="1">
        <v>582.5</v>
      </c>
      <c r="L2116" s="3">
        <v>45305</v>
      </c>
    </row>
    <row r="2117" spans="1:12" x14ac:dyDescent="0.25">
      <c r="A2117" s="1">
        <v>101907</v>
      </c>
      <c r="B2117" s="2" t="s">
        <v>402</v>
      </c>
      <c r="C2117" s="2" t="s">
        <v>95</v>
      </c>
      <c r="D2117" s="2" t="s">
        <v>16</v>
      </c>
      <c r="E2117" s="2" t="s">
        <v>35</v>
      </c>
      <c r="F2117" s="2" t="s">
        <v>18</v>
      </c>
      <c r="G2117" s="1">
        <v>0</v>
      </c>
      <c r="H2117" s="1">
        <v>355</v>
      </c>
      <c r="I2117" s="2" t="s">
        <v>19</v>
      </c>
      <c r="J2117" s="2" t="s">
        <v>26</v>
      </c>
      <c r="K2117" s="1">
        <v>371.88</v>
      </c>
      <c r="L2117" s="3">
        <v>45305</v>
      </c>
    </row>
    <row r="2118" spans="1:12" x14ac:dyDescent="0.25">
      <c r="A2118" s="1">
        <v>101697</v>
      </c>
      <c r="B2118" s="2" t="s">
        <v>238</v>
      </c>
      <c r="C2118" s="2" t="s">
        <v>47</v>
      </c>
      <c r="D2118" s="2" t="s">
        <v>16</v>
      </c>
      <c r="E2118" s="2" t="s">
        <v>31</v>
      </c>
      <c r="F2118" s="2" t="s">
        <v>42</v>
      </c>
      <c r="G2118" s="1">
        <v>97</v>
      </c>
      <c r="H2118" s="1">
        <v>497</v>
      </c>
      <c r="I2118" s="2" t="s">
        <v>56</v>
      </c>
      <c r="J2118" s="2" t="s">
        <v>20</v>
      </c>
      <c r="K2118" s="1">
        <v>166.27</v>
      </c>
      <c r="L2118" s="3">
        <v>45305</v>
      </c>
    </row>
    <row r="2119" spans="1:12" x14ac:dyDescent="0.25">
      <c r="A2119" s="1">
        <v>100437</v>
      </c>
      <c r="B2119" s="2" t="s">
        <v>678</v>
      </c>
      <c r="C2119" s="2" t="s">
        <v>270</v>
      </c>
      <c r="D2119" s="2" t="s">
        <v>41</v>
      </c>
      <c r="E2119" s="2" t="s">
        <v>78</v>
      </c>
      <c r="F2119" s="2" t="s">
        <v>25</v>
      </c>
      <c r="G2119" s="1">
        <v>21</v>
      </c>
      <c r="H2119" s="1">
        <v>883</v>
      </c>
      <c r="I2119" s="2" t="s">
        <v>56</v>
      </c>
      <c r="J2119" s="2" t="s">
        <v>26</v>
      </c>
      <c r="K2119" s="1"/>
      <c r="L2119" s="3">
        <v>45305</v>
      </c>
    </row>
    <row r="2120" spans="1:12" x14ac:dyDescent="0.25">
      <c r="A2120" s="1">
        <v>102002</v>
      </c>
      <c r="B2120" s="2" t="s">
        <v>280</v>
      </c>
      <c r="C2120" s="2" t="s">
        <v>187</v>
      </c>
      <c r="D2120" s="2" t="s">
        <v>64</v>
      </c>
      <c r="E2120" s="2" t="s">
        <v>31</v>
      </c>
      <c r="F2120" s="2" t="s">
        <v>83</v>
      </c>
      <c r="G2120" s="1">
        <v>0</v>
      </c>
      <c r="H2120" s="1">
        <v>621</v>
      </c>
      <c r="I2120" s="2" t="s">
        <v>56</v>
      </c>
      <c r="J2120" s="2" t="s">
        <v>20</v>
      </c>
      <c r="K2120" s="1">
        <v>678.51</v>
      </c>
      <c r="L2120" s="3">
        <v>45304</v>
      </c>
    </row>
    <row r="2121" spans="1:12" x14ac:dyDescent="0.25">
      <c r="A2121" s="1">
        <v>101428</v>
      </c>
      <c r="B2121" s="2" t="s">
        <v>207</v>
      </c>
      <c r="C2121" s="2" t="s">
        <v>103</v>
      </c>
      <c r="D2121" s="2" t="s">
        <v>106</v>
      </c>
      <c r="E2121" s="2" t="s">
        <v>55</v>
      </c>
      <c r="F2121" s="2" t="s">
        <v>25</v>
      </c>
      <c r="G2121" s="1">
        <v>11</v>
      </c>
      <c r="H2121" s="1">
        <v>360</v>
      </c>
      <c r="I2121" s="2" t="s">
        <v>32</v>
      </c>
      <c r="J2121" s="2" t="s">
        <v>20</v>
      </c>
      <c r="K2121" s="1">
        <v>160.41</v>
      </c>
      <c r="L2121" s="3">
        <v>45304</v>
      </c>
    </row>
    <row r="2122" spans="1:12" x14ac:dyDescent="0.25">
      <c r="A2122" s="1">
        <v>100925</v>
      </c>
      <c r="B2122" s="2" t="s">
        <v>194</v>
      </c>
      <c r="C2122" s="2" t="s">
        <v>47</v>
      </c>
      <c r="D2122" s="2" t="s">
        <v>41</v>
      </c>
      <c r="E2122" s="2" t="s">
        <v>60</v>
      </c>
      <c r="F2122" s="2" t="s">
        <v>18</v>
      </c>
      <c r="G2122" s="1">
        <v>0</v>
      </c>
      <c r="H2122" s="1">
        <v>308</v>
      </c>
      <c r="I2122" s="2" t="s">
        <v>45</v>
      </c>
      <c r="J2122" s="2" t="s">
        <v>26</v>
      </c>
      <c r="K2122" s="1">
        <v>151.59</v>
      </c>
      <c r="L2122" s="3">
        <v>45304</v>
      </c>
    </row>
    <row r="2123" spans="1:12" x14ac:dyDescent="0.25">
      <c r="A2123" s="1">
        <v>100161</v>
      </c>
      <c r="B2123" s="2" t="s">
        <v>125</v>
      </c>
      <c r="C2123" s="2" t="s">
        <v>126</v>
      </c>
      <c r="D2123" s="2" t="s">
        <v>16</v>
      </c>
      <c r="E2123" s="2" t="s">
        <v>31</v>
      </c>
      <c r="F2123" s="2" t="s">
        <v>25</v>
      </c>
      <c r="G2123" s="1">
        <v>2</v>
      </c>
      <c r="H2123" s="1">
        <v>461</v>
      </c>
      <c r="I2123" s="2" t="s">
        <v>56</v>
      </c>
      <c r="J2123" s="2" t="s">
        <v>33</v>
      </c>
      <c r="K2123" s="1">
        <v>92.74</v>
      </c>
      <c r="L2123" s="3">
        <v>45304</v>
      </c>
    </row>
    <row r="2124" spans="1:12" x14ac:dyDescent="0.25">
      <c r="A2124" s="1">
        <v>101731</v>
      </c>
      <c r="B2124" s="2" t="s">
        <v>51</v>
      </c>
      <c r="C2124" s="2" t="s">
        <v>52</v>
      </c>
      <c r="D2124" s="2" t="s">
        <v>16</v>
      </c>
      <c r="E2124" s="2" t="s">
        <v>60</v>
      </c>
      <c r="F2124" s="2" t="s">
        <v>18</v>
      </c>
      <c r="G2124" s="1">
        <v>0</v>
      </c>
      <c r="H2124" s="1">
        <v>567</v>
      </c>
      <c r="I2124" s="2" t="s">
        <v>45</v>
      </c>
      <c r="J2124" s="2" t="s">
        <v>20</v>
      </c>
      <c r="K2124" s="1">
        <v>929.67</v>
      </c>
      <c r="L2124" s="3">
        <v>45303</v>
      </c>
    </row>
    <row r="2125" spans="1:12" x14ac:dyDescent="0.25">
      <c r="A2125" s="1">
        <v>100844</v>
      </c>
      <c r="B2125" s="2" t="s">
        <v>506</v>
      </c>
      <c r="C2125" s="2" t="s">
        <v>58</v>
      </c>
      <c r="D2125" s="2" t="s">
        <v>16</v>
      </c>
      <c r="E2125" s="2" t="s">
        <v>81</v>
      </c>
      <c r="F2125" s="2" t="s">
        <v>18</v>
      </c>
      <c r="G2125" s="1">
        <v>0</v>
      </c>
      <c r="H2125" s="1">
        <v>394</v>
      </c>
      <c r="I2125" s="2" t="s">
        <v>32</v>
      </c>
      <c r="J2125" s="2" t="s">
        <v>26</v>
      </c>
      <c r="K2125" s="1">
        <v>751.97</v>
      </c>
      <c r="L2125" s="3">
        <v>45302</v>
      </c>
    </row>
    <row r="2126" spans="1:12" x14ac:dyDescent="0.25">
      <c r="A2126" s="1">
        <v>101136</v>
      </c>
      <c r="B2126" s="2" t="s">
        <v>908</v>
      </c>
      <c r="C2126" s="2" t="s">
        <v>110</v>
      </c>
      <c r="D2126" s="2" t="s">
        <v>16</v>
      </c>
      <c r="E2126" s="2" t="s">
        <v>70</v>
      </c>
      <c r="F2126" s="2" t="s">
        <v>18</v>
      </c>
      <c r="G2126" s="1">
        <v>0</v>
      </c>
      <c r="H2126" s="1">
        <v>550</v>
      </c>
      <c r="I2126" s="2" t="s">
        <v>45</v>
      </c>
      <c r="J2126" s="2" t="s">
        <v>20</v>
      </c>
      <c r="K2126" s="1">
        <v>476.27</v>
      </c>
      <c r="L2126" s="3">
        <v>45302</v>
      </c>
    </row>
    <row r="2127" spans="1:12" x14ac:dyDescent="0.25">
      <c r="A2127" s="1">
        <v>100015</v>
      </c>
      <c r="B2127" s="2" t="s">
        <v>1053</v>
      </c>
      <c r="C2127" s="2" t="s">
        <v>35</v>
      </c>
      <c r="D2127" s="2" t="s">
        <v>41</v>
      </c>
      <c r="E2127" s="2" t="s">
        <v>17</v>
      </c>
      <c r="F2127" s="2" t="s">
        <v>25</v>
      </c>
      <c r="G2127" s="1">
        <v>3</v>
      </c>
      <c r="H2127" s="1">
        <v>864</v>
      </c>
      <c r="I2127" s="2" t="s">
        <v>45</v>
      </c>
      <c r="J2127" s="2" t="s">
        <v>26</v>
      </c>
      <c r="K2127" s="1">
        <v>219.12</v>
      </c>
      <c r="L2127" s="3">
        <v>45302</v>
      </c>
    </row>
    <row r="2128" spans="1:12" x14ac:dyDescent="0.25">
      <c r="A2128" s="1">
        <v>101275</v>
      </c>
      <c r="B2128" s="2" t="s">
        <v>1022</v>
      </c>
      <c r="C2128" s="2" t="s">
        <v>270</v>
      </c>
      <c r="D2128" s="2" t="s">
        <v>41</v>
      </c>
      <c r="E2128" s="2" t="s">
        <v>81</v>
      </c>
      <c r="F2128" s="2" t="s">
        <v>83</v>
      </c>
      <c r="G2128" s="1">
        <v>0</v>
      </c>
      <c r="H2128" s="1">
        <v>383</v>
      </c>
      <c r="I2128" s="2" t="s">
        <v>37</v>
      </c>
      <c r="J2128" s="2" t="s">
        <v>20</v>
      </c>
      <c r="K2128" s="1">
        <v>65.2</v>
      </c>
      <c r="L2128" s="3">
        <v>45302</v>
      </c>
    </row>
    <row r="2129" spans="1:12" x14ac:dyDescent="0.25">
      <c r="A2129" s="1">
        <v>101721</v>
      </c>
      <c r="B2129" s="2" t="s">
        <v>352</v>
      </c>
      <c r="C2129" s="2" t="s">
        <v>85</v>
      </c>
      <c r="D2129" s="2" t="s">
        <v>106</v>
      </c>
      <c r="E2129" s="2" t="s">
        <v>17</v>
      </c>
      <c r="F2129" s="2" t="s">
        <v>25</v>
      </c>
      <c r="G2129" s="1">
        <v>16</v>
      </c>
      <c r="H2129" s="1">
        <v>778</v>
      </c>
      <c r="I2129" s="2" t="s">
        <v>37</v>
      </c>
      <c r="J2129" s="2" t="s">
        <v>33</v>
      </c>
      <c r="K2129" s="1">
        <v>593.38</v>
      </c>
      <c r="L2129" s="3">
        <v>45301</v>
      </c>
    </row>
    <row r="2130" spans="1:12" x14ac:dyDescent="0.25">
      <c r="A2130" s="1">
        <v>101302</v>
      </c>
      <c r="B2130" s="2" t="s">
        <v>167</v>
      </c>
      <c r="C2130" s="2" t="s">
        <v>168</v>
      </c>
      <c r="D2130" s="2" t="s">
        <v>16</v>
      </c>
      <c r="E2130" s="2" t="s">
        <v>70</v>
      </c>
      <c r="F2130" s="2" t="s">
        <v>25</v>
      </c>
      <c r="G2130" s="1">
        <v>10</v>
      </c>
      <c r="H2130" s="1">
        <v>658</v>
      </c>
      <c r="I2130" s="2" t="s">
        <v>56</v>
      </c>
      <c r="J2130" s="2" t="s">
        <v>33</v>
      </c>
      <c r="K2130" s="1">
        <v>591.05999999999995</v>
      </c>
      <c r="L2130" s="3">
        <v>45301</v>
      </c>
    </row>
    <row r="2131" spans="1:12" x14ac:dyDescent="0.25">
      <c r="A2131" s="1">
        <v>100229</v>
      </c>
      <c r="B2131" s="2" t="s">
        <v>1009</v>
      </c>
      <c r="C2131" s="2" t="s">
        <v>58</v>
      </c>
      <c r="D2131" s="2" t="s">
        <v>16</v>
      </c>
      <c r="E2131" s="2" t="s">
        <v>17</v>
      </c>
      <c r="F2131" s="2" t="s">
        <v>18</v>
      </c>
      <c r="G2131" s="1">
        <v>0</v>
      </c>
      <c r="H2131" s="1">
        <v>400</v>
      </c>
      <c r="I2131" s="2" t="s">
        <v>32</v>
      </c>
      <c r="J2131" s="2" t="s">
        <v>26</v>
      </c>
      <c r="K2131" s="1">
        <v>472.08</v>
      </c>
      <c r="L2131" s="3">
        <v>45301</v>
      </c>
    </row>
    <row r="2132" spans="1:12" x14ac:dyDescent="0.25">
      <c r="A2132" s="1">
        <v>101966</v>
      </c>
      <c r="B2132" s="2" t="s">
        <v>866</v>
      </c>
      <c r="C2132" s="2" t="s">
        <v>168</v>
      </c>
      <c r="D2132" s="2" t="s">
        <v>41</v>
      </c>
      <c r="E2132" s="2" t="s">
        <v>55</v>
      </c>
      <c r="F2132" s="2" t="s">
        <v>18</v>
      </c>
      <c r="G2132" s="1">
        <v>0</v>
      </c>
      <c r="H2132" s="1">
        <v>458</v>
      </c>
      <c r="I2132" s="2" t="s">
        <v>37</v>
      </c>
      <c r="J2132" s="2" t="s">
        <v>26</v>
      </c>
      <c r="K2132" s="1">
        <v>327.27</v>
      </c>
      <c r="L2132" s="3">
        <v>45301</v>
      </c>
    </row>
    <row r="2133" spans="1:12" x14ac:dyDescent="0.25">
      <c r="A2133" s="1">
        <v>100470</v>
      </c>
      <c r="B2133" s="2" t="s">
        <v>497</v>
      </c>
      <c r="C2133" s="2" t="s">
        <v>142</v>
      </c>
      <c r="D2133" s="2" t="s">
        <v>16</v>
      </c>
      <c r="E2133" s="2" t="s">
        <v>81</v>
      </c>
      <c r="F2133" s="2" t="s">
        <v>18</v>
      </c>
      <c r="G2133" s="1">
        <v>0</v>
      </c>
      <c r="H2133" s="1">
        <v>465</v>
      </c>
      <c r="I2133" s="2" t="s">
        <v>56</v>
      </c>
      <c r="J2133" s="2" t="s">
        <v>26</v>
      </c>
      <c r="K2133" s="1">
        <v>112.08</v>
      </c>
      <c r="L2133" s="3">
        <v>45301</v>
      </c>
    </row>
    <row r="2134" spans="1:12" x14ac:dyDescent="0.25">
      <c r="A2134" s="1">
        <v>100597</v>
      </c>
      <c r="B2134" s="2" t="s">
        <v>307</v>
      </c>
      <c r="C2134" s="2" t="s">
        <v>58</v>
      </c>
      <c r="D2134" s="2" t="s">
        <v>106</v>
      </c>
      <c r="E2134" s="2" t="s">
        <v>55</v>
      </c>
      <c r="F2134" s="2" t="s">
        <v>83</v>
      </c>
      <c r="G2134" s="1">
        <v>0</v>
      </c>
      <c r="H2134" s="1">
        <v>616</v>
      </c>
      <c r="I2134" s="2" t="s">
        <v>19</v>
      </c>
      <c r="J2134" s="2" t="s">
        <v>33</v>
      </c>
      <c r="K2134" s="1">
        <v>890.76</v>
      </c>
      <c r="L2134" s="3">
        <v>45300</v>
      </c>
    </row>
    <row r="2135" spans="1:12" x14ac:dyDescent="0.25">
      <c r="A2135" s="1">
        <v>101645</v>
      </c>
      <c r="B2135" s="2" t="s">
        <v>470</v>
      </c>
      <c r="C2135" s="2" t="s">
        <v>187</v>
      </c>
      <c r="D2135" s="2" t="s">
        <v>64</v>
      </c>
      <c r="E2135" s="2" t="s">
        <v>70</v>
      </c>
      <c r="F2135" s="2" t="s">
        <v>18</v>
      </c>
      <c r="G2135" s="1">
        <v>0</v>
      </c>
      <c r="H2135" s="1">
        <v>820</v>
      </c>
      <c r="I2135" s="2" t="s">
        <v>32</v>
      </c>
      <c r="J2135" s="2" t="s">
        <v>26</v>
      </c>
      <c r="K2135" s="1">
        <v>699.8</v>
      </c>
      <c r="L2135" s="3">
        <v>45300</v>
      </c>
    </row>
    <row r="2136" spans="1:12" x14ac:dyDescent="0.25">
      <c r="A2136" s="1">
        <v>100037</v>
      </c>
      <c r="B2136" s="2" t="s">
        <v>358</v>
      </c>
      <c r="C2136" s="2" t="s">
        <v>110</v>
      </c>
      <c r="D2136" s="2" t="s">
        <v>64</v>
      </c>
      <c r="E2136" s="2" t="s">
        <v>70</v>
      </c>
      <c r="F2136" s="2" t="s">
        <v>42</v>
      </c>
      <c r="G2136" s="1">
        <v>158</v>
      </c>
      <c r="H2136" s="1">
        <v>481</v>
      </c>
      <c r="I2136" s="2" t="s">
        <v>32</v>
      </c>
      <c r="J2136" s="2" t="s">
        <v>20</v>
      </c>
      <c r="K2136" s="1">
        <v>168.99</v>
      </c>
      <c r="L2136" s="3">
        <v>45300</v>
      </c>
    </row>
    <row r="2137" spans="1:12" x14ac:dyDescent="0.25">
      <c r="A2137" s="1">
        <v>100250</v>
      </c>
      <c r="B2137" s="2" t="s">
        <v>109</v>
      </c>
      <c r="C2137" s="2" t="s">
        <v>110</v>
      </c>
      <c r="D2137" s="2" t="s">
        <v>106</v>
      </c>
      <c r="E2137" s="2" t="s">
        <v>60</v>
      </c>
      <c r="F2137" s="2" t="s">
        <v>18</v>
      </c>
      <c r="G2137" s="1">
        <v>0</v>
      </c>
      <c r="H2137" s="1">
        <v>591</v>
      </c>
      <c r="I2137" s="2" t="s">
        <v>37</v>
      </c>
      <c r="J2137" s="2" t="s">
        <v>20</v>
      </c>
      <c r="K2137" s="1">
        <v>398.74</v>
      </c>
      <c r="L2137" s="3">
        <v>45299</v>
      </c>
    </row>
    <row r="2138" spans="1:12" x14ac:dyDescent="0.25">
      <c r="A2138" s="1">
        <v>101523</v>
      </c>
      <c r="B2138" s="2" t="s">
        <v>616</v>
      </c>
      <c r="C2138" s="2" t="s">
        <v>95</v>
      </c>
      <c r="D2138" s="2" t="s">
        <v>16</v>
      </c>
      <c r="E2138" s="2" t="s">
        <v>60</v>
      </c>
      <c r="F2138" s="2" t="s">
        <v>42</v>
      </c>
      <c r="G2138" s="1">
        <v>63</v>
      </c>
      <c r="H2138" s="1">
        <v>898</v>
      </c>
      <c r="I2138" s="2" t="s">
        <v>37</v>
      </c>
      <c r="J2138" s="2" t="s">
        <v>33</v>
      </c>
      <c r="K2138" s="1">
        <v>260.14</v>
      </c>
      <c r="L2138" s="3">
        <v>45299</v>
      </c>
    </row>
    <row r="2139" spans="1:12" x14ac:dyDescent="0.25">
      <c r="A2139" s="1">
        <v>102087</v>
      </c>
      <c r="B2139" s="2" t="s">
        <v>595</v>
      </c>
      <c r="C2139" s="2" t="s">
        <v>22</v>
      </c>
      <c r="D2139" s="2" t="s">
        <v>41</v>
      </c>
      <c r="E2139" s="2" t="s">
        <v>70</v>
      </c>
      <c r="F2139" s="2" t="s">
        <v>18</v>
      </c>
      <c r="G2139" s="1">
        <v>0</v>
      </c>
      <c r="H2139" s="1">
        <v>372</v>
      </c>
      <c r="I2139" s="2" t="s">
        <v>32</v>
      </c>
      <c r="J2139" s="2" t="s">
        <v>20</v>
      </c>
      <c r="K2139" s="1">
        <v>148.68</v>
      </c>
      <c r="L2139" s="3">
        <v>45299</v>
      </c>
    </row>
    <row r="2140" spans="1:12" x14ac:dyDescent="0.25">
      <c r="A2140" s="1">
        <v>101347</v>
      </c>
      <c r="B2140" s="2" t="s">
        <v>595</v>
      </c>
      <c r="C2140" s="2" t="s">
        <v>22</v>
      </c>
      <c r="D2140" s="2" t="s">
        <v>16</v>
      </c>
      <c r="E2140" s="2" t="s">
        <v>55</v>
      </c>
      <c r="F2140" s="2" t="s">
        <v>18</v>
      </c>
      <c r="G2140" s="1">
        <v>0</v>
      </c>
      <c r="H2140" s="1">
        <v>372</v>
      </c>
      <c r="I2140" s="2" t="s">
        <v>56</v>
      </c>
      <c r="J2140" s="2" t="s">
        <v>26</v>
      </c>
      <c r="K2140" s="1">
        <v>128.63999999999999</v>
      </c>
      <c r="L2140" s="3">
        <v>45299</v>
      </c>
    </row>
    <row r="2141" spans="1:12" x14ac:dyDescent="0.25">
      <c r="A2141" s="1">
        <v>100777</v>
      </c>
      <c r="B2141" s="2" t="s">
        <v>374</v>
      </c>
      <c r="C2141" s="2" t="s">
        <v>47</v>
      </c>
      <c r="D2141" s="2" t="s">
        <v>50</v>
      </c>
      <c r="E2141" s="2" t="s">
        <v>35</v>
      </c>
      <c r="F2141" s="2" t="s">
        <v>25</v>
      </c>
      <c r="G2141" s="1">
        <v>2</v>
      </c>
      <c r="H2141" s="1">
        <v>342</v>
      </c>
      <c r="I2141" s="2" t="s">
        <v>56</v>
      </c>
      <c r="J2141" s="2" t="s">
        <v>26</v>
      </c>
      <c r="K2141" s="1">
        <v>74.900000000000006</v>
      </c>
      <c r="L2141" s="3">
        <v>45299</v>
      </c>
    </row>
    <row r="2142" spans="1:12" x14ac:dyDescent="0.25">
      <c r="A2142" s="1">
        <v>101578</v>
      </c>
      <c r="B2142" s="2" t="s">
        <v>965</v>
      </c>
      <c r="C2142" s="2" t="s">
        <v>110</v>
      </c>
      <c r="D2142" s="2" t="s">
        <v>16</v>
      </c>
      <c r="E2142" s="2" t="s">
        <v>17</v>
      </c>
      <c r="F2142" s="2" t="s">
        <v>25</v>
      </c>
      <c r="G2142" s="1">
        <v>30</v>
      </c>
      <c r="H2142" s="1">
        <v>821</v>
      </c>
      <c r="I2142" s="2" t="s">
        <v>32</v>
      </c>
      <c r="J2142" s="2" t="s">
        <v>26</v>
      </c>
      <c r="K2142" s="1">
        <v>1055.51</v>
      </c>
      <c r="L2142" s="3">
        <v>45298</v>
      </c>
    </row>
    <row r="2143" spans="1:12" x14ac:dyDescent="0.25">
      <c r="A2143" s="1">
        <v>101130</v>
      </c>
      <c r="B2143" s="2" t="s">
        <v>460</v>
      </c>
      <c r="C2143" s="2" t="s">
        <v>95</v>
      </c>
      <c r="D2143" s="2" t="s">
        <v>50</v>
      </c>
      <c r="E2143" s="2" t="s">
        <v>78</v>
      </c>
      <c r="F2143" s="2" t="s">
        <v>25</v>
      </c>
      <c r="G2143" s="1">
        <v>29</v>
      </c>
      <c r="H2143" s="1">
        <v>716</v>
      </c>
      <c r="I2143" s="2" t="s">
        <v>19</v>
      </c>
      <c r="J2143" s="2" t="s">
        <v>20</v>
      </c>
      <c r="K2143" s="1">
        <v>794</v>
      </c>
      <c r="L2143" s="3">
        <v>45298</v>
      </c>
    </row>
    <row r="2144" spans="1:12" x14ac:dyDescent="0.25">
      <c r="A2144" s="1">
        <v>100447</v>
      </c>
      <c r="B2144" s="2" t="s">
        <v>610</v>
      </c>
      <c r="C2144" s="2" t="s">
        <v>126</v>
      </c>
      <c r="D2144" s="2" t="s">
        <v>41</v>
      </c>
      <c r="E2144" s="2" t="s">
        <v>31</v>
      </c>
      <c r="F2144" s="2" t="s">
        <v>25</v>
      </c>
      <c r="G2144" s="1">
        <v>27</v>
      </c>
      <c r="H2144" s="1">
        <v>315</v>
      </c>
      <c r="I2144" s="2" t="s">
        <v>56</v>
      </c>
      <c r="J2144" s="2" t="s">
        <v>33</v>
      </c>
      <c r="K2144" s="1">
        <v>512.91999999999996</v>
      </c>
      <c r="L2144" s="3">
        <v>45298</v>
      </c>
    </row>
    <row r="2145" spans="1:12" x14ac:dyDescent="0.25">
      <c r="A2145" s="1">
        <v>100484</v>
      </c>
      <c r="B2145" s="2" t="s">
        <v>91</v>
      </c>
      <c r="C2145" s="2" t="s">
        <v>58</v>
      </c>
      <c r="D2145" s="2" t="s">
        <v>106</v>
      </c>
      <c r="E2145" s="2" t="s">
        <v>17</v>
      </c>
      <c r="F2145" s="2" t="s">
        <v>18</v>
      </c>
      <c r="G2145" s="1">
        <v>0</v>
      </c>
      <c r="H2145" s="1">
        <v>769</v>
      </c>
      <c r="I2145" s="2" t="s">
        <v>19</v>
      </c>
      <c r="J2145" s="2" t="s">
        <v>20</v>
      </c>
      <c r="K2145" s="1">
        <v>472.24</v>
      </c>
      <c r="L2145" s="3">
        <v>45298</v>
      </c>
    </row>
    <row r="2146" spans="1:12" x14ac:dyDescent="0.25">
      <c r="A2146" s="1">
        <v>100319</v>
      </c>
      <c r="B2146" s="2" t="s">
        <v>631</v>
      </c>
      <c r="C2146" s="2" t="s">
        <v>13</v>
      </c>
      <c r="D2146" s="2" t="s">
        <v>50</v>
      </c>
      <c r="E2146" s="2" t="s">
        <v>55</v>
      </c>
      <c r="F2146" s="2" t="s">
        <v>18</v>
      </c>
      <c r="G2146" s="1">
        <v>0</v>
      </c>
      <c r="H2146" s="1">
        <v>544</v>
      </c>
      <c r="I2146" s="2" t="s">
        <v>32</v>
      </c>
      <c r="J2146" s="2" t="s">
        <v>33</v>
      </c>
      <c r="K2146" s="1">
        <v>288.5</v>
      </c>
      <c r="L2146" s="3">
        <v>45298</v>
      </c>
    </row>
    <row r="2147" spans="1:12" x14ac:dyDescent="0.25">
      <c r="A2147" s="1">
        <v>100812</v>
      </c>
      <c r="B2147" s="2" t="s">
        <v>68</v>
      </c>
      <c r="C2147" s="2" t="s">
        <v>52</v>
      </c>
      <c r="D2147" s="2" t="s">
        <v>41</v>
      </c>
      <c r="E2147" s="2" t="s">
        <v>60</v>
      </c>
      <c r="F2147" s="2" t="s">
        <v>42</v>
      </c>
      <c r="G2147" s="1">
        <v>122</v>
      </c>
      <c r="H2147" s="1">
        <v>309</v>
      </c>
      <c r="I2147" s="2" t="s">
        <v>37</v>
      </c>
      <c r="J2147" s="2" t="s">
        <v>20</v>
      </c>
      <c r="K2147" s="1">
        <v>212.04</v>
      </c>
      <c r="L2147" s="3">
        <v>45298</v>
      </c>
    </row>
    <row r="2148" spans="1:12" x14ac:dyDescent="0.25">
      <c r="A2148" s="1">
        <v>101251</v>
      </c>
      <c r="B2148" s="2" t="s">
        <v>1163</v>
      </c>
      <c r="C2148" s="2" t="s">
        <v>13</v>
      </c>
      <c r="D2148" s="2" t="s">
        <v>64</v>
      </c>
      <c r="E2148" s="2" t="s">
        <v>31</v>
      </c>
      <c r="F2148" s="2" t="s">
        <v>42</v>
      </c>
      <c r="G2148" s="1">
        <v>125</v>
      </c>
      <c r="H2148" s="1">
        <v>850</v>
      </c>
      <c r="I2148" s="2" t="s">
        <v>19</v>
      </c>
      <c r="J2148" s="2" t="s">
        <v>20</v>
      </c>
      <c r="K2148" s="1">
        <v>534.62</v>
      </c>
      <c r="L2148" s="3">
        <v>45297</v>
      </c>
    </row>
    <row r="2149" spans="1:12" x14ac:dyDescent="0.25">
      <c r="A2149" s="1">
        <v>102019</v>
      </c>
      <c r="B2149" s="2" t="s">
        <v>399</v>
      </c>
      <c r="C2149" s="2" t="s">
        <v>35</v>
      </c>
      <c r="D2149" s="2" t="s">
        <v>50</v>
      </c>
      <c r="E2149" s="2" t="s">
        <v>60</v>
      </c>
      <c r="F2149" s="2" t="s">
        <v>83</v>
      </c>
      <c r="G2149" s="1">
        <v>0</v>
      </c>
      <c r="H2149" s="1">
        <v>370</v>
      </c>
      <c r="I2149" s="2" t="s">
        <v>45</v>
      </c>
      <c r="J2149" s="2" t="s">
        <v>33</v>
      </c>
      <c r="K2149" s="1">
        <v>228.01</v>
      </c>
      <c r="L2149" s="3">
        <v>45297</v>
      </c>
    </row>
    <row r="2150" spans="1:12" x14ac:dyDescent="0.25">
      <c r="A2150" s="1">
        <v>102148</v>
      </c>
      <c r="B2150" s="2" t="s">
        <v>1373</v>
      </c>
      <c r="C2150" s="2" t="s">
        <v>122</v>
      </c>
      <c r="D2150" s="2" t="s">
        <v>50</v>
      </c>
      <c r="E2150" s="2" t="s">
        <v>70</v>
      </c>
      <c r="F2150" s="2" t="s">
        <v>18</v>
      </c>
      <c r="G2150" s="1">
        <v>0</v>
      </c>
      <c r="H2150" s="1">
        <v>359</v>
      </c>
      <c r="I2150" s="2" t="s">
        <v>56</v>
      </c>
      <c r="J2150" s="2" t="s">
        <v>20</v>
      </c>
      <c r="K2150" s="1">
        <v>87.94</v>
      </c>
      <c r="L2150" s="3">
        <v>45297</v>
      </c>
    </row>
    <row r="2151" spans="1:12" x14ac:dyDescent="0.25">
      <c r="A2151" s="1">
        <v>101293</v>
      </c>
      <c r="B2151" s="2" t="s">
        <v>352</v>
      </c>
      <c r="C2151" s="2" t="s">
        <v>85</v>
      </c>
      <c r="D2151" s="2" t="s">
        <v>50</v>
      </c>
      <c r="E2151" s="2" t="s">
        <v>31</v>
      </c>
      <c r="F2151" s="2" t="s">
        <v>18</v>
      </c>
      <c r="G2151" s="1">
        <v>0</v>
      </c>
      <c r="H2151" s="1">
        <v>778</v>
      </c>
      <c r="I2151" s="2" t="s">
        <v>56</v>
      </c>
      <c r="J2151" s="2" t="s">
        <v>20</v>
      </c>
      <c r="K2151" s="1"/>
      <c r="L2151" s="3">
        <v>45297</v>
      </c>
    </row>
    <row r="2152" spans="1:12" x14ac:dyDescent="0.25">
      <c r="A2152" s="1">
        <v>100955</v>
      </c>
      <c r="B2152" s="2" t="s">
        <v>43</v>
      </c>
      <c r="C2152" s="2" t="s">
        <v>22</v>
      </c>
      <c r="D2152" s="2" t="s">
        <v>16</v>
      </c>
      <c r="E2152" s="2" t="s">
        <v>78</v>
      </c>
      <c r="F2152" s="2" t="s">
        <v>18</v>
      </c>
      <c r="G2152" s="1">
        <v>0</v>
      </c>
      <c r="H2152" s="1">
        <v>396</v>
      </c>
      <c r="I2152" s="2" t="s">
        <v>56</v>
      </c>
      <c r="J2152" s="2" t="s">
        <v>20</v>
      </c>
      <c r="K2152" s="1">
        <v>195.37</v>
      </c>
      <c r="L2152" s="3">
        <v>45296</v>
      </c>
    </row>
    <row r="2153" spans="1:12" x14ac:dyDescent="0.25">
      <c r="A2153" s="1">
        <v>100943</v>
      </c>
      <c r="B2153" s="2" t="s">
        <v>322</v>
      </c>
      <c r="C2153" s="2" t="s">
        <v>13</v>
      </c>
      <c r="D2153" s="2" t="s">
        <v>106</v>
      </c>
      <c r="E2153" s="2" t="s">
        <v>31</v>
      </c>
      <c r="F2153" s="2" t="s">
        <v>25</v>
      </c>
      <c r="G2153" s="1">
        <v>2</v>
      </c>
      <c r="H2153" s="1">
        <v>623</v>
      </c>
      <c r="I2153" s="2" t="s">
        <v>45</v>
      </c>
      <c r="J2153" s="2" t="s">
        <v>26</v>
      </c>
      <c r="K2153" s="1">
        <v>156.38</v>
      </c>
      <c r="L2153" s="3">
        <v>45296</v>
      </c>
    </row>
    <row r="2154" spans="1:12" x14ac:dyDescent="0.25">
      <c r="A2154" s="1">
        <v>101920</v>
      </c>
      <c r="B2154" s="2" t="s">
        <v>238</v>
      </c>
      <c r="C2154" s="2" t="s">
        <v>47</v>
      </c>
      <c r="D2154" s="2" t="s">
        <v>106</v>
      </c>
      <c r="E2154" s="2" t="s">
        <v>60</v>
      </c>
      <c r="F2154" s="2" t="s">
        <v>83</v>
      </c>
      <c r="G2154" s="1">
        <v>0</v>
      </c>
      <c r="H2154" s="1">
        <v>497</v>
      </c>
      <c r="I2154" s="2" t="s">
        <v>32</v>
      </c>
      <c r="J2154" s="2" t="s">
        <v>26</v>
      </c>
      <c r="K2154" s="1">
        <v>102.82</v>
      </c>
      <c r="L2154" s="3">
        <v>45296</v>
      </c>
    </row>
    <row r="2155" spans="1:12" x14ac:dyDescent="0.25">
      <c r="A2155" s="1">
        <v>101913</v>
      </c>
      <c r="B2155" s="2" t="s">
        <v>162</v>
      </c>
      <c r="C2155" s="2" t="s">
        <v>13</v>
      </c>
      <c r="D2155" s="2" t="s">
        <v>50</v>
      </c>
      <c r="E2155" s="2" t="s">
        <v>70</v>
      </c>
      <c r="F2155" s="2" t="s">
        <v>18</v>
      </c>
      <c r="G2155" s="1">
        <v>0</v>
      </c>
      <c r="H2155" s="1">
        <v>410</v>
      </c>
      <c r="I2155" s="2" t="s">
        <v>19</v>
      </c>
      <c r="J2155" s="2" t="s">
        <v>26</v>
      </c>
      <c r="K2155" s="1">
        <v>7.8</v>
      </c>
      <c r="L2155" s="3">
        <v>45296</v>
      </c>
    </row>
    <row r="2156" spans="1:12" x14ac:dyDescent="0.25">
      <c r="A2156" s="1">
        <v>101113</v>
      </c>
      <c r="B2156" s="2" t="s">
        <v>355</v>
      </c>
      <c r="C2156" s="2" t="s">
        <v>244</v>
      </c>
      <c r="D2156" s="2" t="s">
        <v>64</v>
      </c>
      <c r="E2156" s="2" t="s">
        <v>60</v>
      </c>
      <c r="F2156" s="2" t="s">
        <v>18</v>
      </c>
      <c r="G2156" s="1">
        <v>0</v>
      </c>
      <c r="H2156" s="1">
        <v>746</v>
      </c>
      <c r="I2156" s="2" t="s">
        <v>32</v>
      </c>
      <c r="J2156" s="2" t="s">
        <v>20</v>
      </c>
      <c r="K2156" s="1">
        <v>557.73</v>
      </c>
      <c r="L2156" s="3">
        <v>45295</v>
      </c>
    </row>
    <row r="2157" spans="1:12" x14ac:dyDescent="0.25">
      <c r="A2157" s="1">
        <v>101715</v>
      </c>
      <c r="B2157" s="2" t="s">
        <v>358</v>
      </c>
      <c r="C2157" s="2" t="s">
        <v>110</v>
      </c>
      <c r="D2157" s="2" t="s">
        <v>41</v>
      </c>
      <c r="E2157" s="2" t="s">
        <v>70</v>
      </c>
      <c r="F2157" s="2" t="s">
        <v>83</v>
      </c>
      <c r="G2157" s="1">
        <v>0</v>
      </c>
      <c r="H2157" s="1">
        <v>481</v>
      </c>
      <c r="I2157" s="2" t="s">
        <v>32</v>
      </c>
      <c r="J2157" s="2" t="s">
        <v>20</v>
      </c>
      <c r="K2157" s="1">
        <v>372.56</v>
      </c>
      <c r="L2157" s="3">
        <v>45295</v>
      </c>
    </row>
    <row r="2158" spans="1:12" x14ac:dyDescent="0.25">
      <c r="A2158" s="1">
        <v>100110</v>
      </c>
      <c r="B2158" s="2" t="s">
        <v>607</v>
      </c>
      <c r="C2158" s="2" t="s">
        <v>134</v>
      </c>
      <c r="D2158" s="2" t="s">
        <v>50</v>
      </c>
      <c r="E2158" s="2" t="s">
        <v>55</v>
      </c>
      <c r="F2158" s="2" t="s">
        <v>18</v>
      </c>
      <c r="G2158" s="1">
        <v>0</v>
      </c>
      <c r="H2158" s="1">
        <v>458</v>
      </c>
      <c r="I2158" s="2" t="s">
        <v>32</v>
      </c>
      <c r="J2158" s="2" t="s">
        <v>26</v>
      </c>
      <c r="K2158" s="1">
        <v>166.21</v>
      </c>
      <c r="L2158" s="3">
        <v>45295</v>
      </c>
    </row>
    <row r="2159" spans="1:12" x14ac:dyDescent="0.25">
      <c r="A2159" s="1">
        <v>101635</v>
      </c>
      <c r="B2159" s="2" t="s">
        <v>349</v>
      </c>
      <c r="C2159" s="2" t="s">
        <v>28</v>
      </c>
      <c r="D2159" s="2" t="s">
        <v>50</v>
      </c>
      <c r="E2159" s="2" t="s">
        <v>70</v>
      </c>
      <c r="F2159" s="2" t="s">
        <v>18</v>
      </c>
      <c r="G2159" s="1">
        <v>0</v>
      </c>
      <c r="H2159" s="1">
        <v>708</v>
      </c>
      <c r="I2159" s="2" t="s">
        <v>37</v>
      </c>
      <c r="J2159" s="2" t="s">
        <v>20</v>
      </c>
      <c r="K2159" s="1">
        <v>233.84</v>
      </c>
      <c r="L2159" s="3">
        <v>45294</v>
      </c>
    </row>
    <row r="2160" spans="1:12" x14ac:dyDescent="0.25">
      <c r="A2160" s="1">
        <v>100958</v>
      </c>
      <c r="B2160" s="2" t="s">
        <v>232</v>
      </c>
      <c r="C2160" s="2" t="s">
        <v>152</v>
      </c>
      <c r="D2160" s="2" t="s">
        <v>64</v>
      </c>
      <c r="E2160" s="2" t="s">
        <v>70</v>
      </c>
      <c r="F2160" s="2" t="s">
        <v>18</v>
      </c>
      <c r="G2160" s="1">
        <v>0</v>
      </c>
      <c r="H2160" s="1">
        <v>781</v>
      </c>
      <c r="I2160" s="2" t="s">
        <v>56</v>
      </c>
      <c r="J2160" s="2" t="s">
        <v>20</v>
      </c>
      <c r="K2160" s="1">
        <v>517.52</v>
      </c>
      <c r="L2160" s="3">
        <v>45293</v>
      </c>
    </row>
    <row r="2161" spans="1:12" x14ac:dyDescent="0.25">
      <c r="A2161" s="1">
        <v>100180</v>
      </c>
      <c r="B2161" s="2" t="s">
        <v>125</v>
      </c>
      <c r="C2161" s="2" t="s">
        <v>126</v>
      </c>
      <c r="D2161" s="2" t="s">
        <v>50</v>
      </c>
      <c r="E2161" s="2" t="s">
        <v>81</v>
      </c>
      <c r="F2161" s="2" t="s">
        <v>18</v>
      </c>
      <c r="G2161" s="1">
        <v>0</v>
      </c>
      <c r="H2161" s="1">
        <v>461</v>
      </c>
      <c r="I2161" s="2" t="s">
        <v>56</v>
      </c>
      <c r="J2161" s="2" t="s">
        <v>26</v>
      </c>
      <c r="K2161" s="1">
        <v>330.89</v>
      </c>
      <c r="L2161" s="3">
        <v>45293</v>
      </c>
    </row>
    <row r="2162" spans="1:12" x14ac:dyDescent="0.25">
      <c r="A2162" s="1">
        <v>100876</v>
      </c>
      <c r="B2162" s="2" t="s">
        <v>1091</v>
      </c>
      <c r="C2162" s="2" t="s">
        <v>270</v>
      </c>
      <c r="D2162" s="2" t="s">
        <v>50</v>
      </c>
      <c r="E2162" s="2" t="s">
        <v>31</v>
      </c>
      <c r="F2162" s="2" t="s">
        <v>18</v>
      </c>
      <c r="G2162" s="1">
        <v>0</v>
      </c>
      <c r="H2162" s="1">
        <v>817</v>
      </c>
      <c r="I2162" s="2" t="s">
        <v>45</v>
      </c>
      <c r="J2162" s="2" t="s">
        <v>20</v>
      </c>
      <c r="K2162" s="1">
        <v>311.97000000000003</v>
      </c>
      <c r="L2162" s="3">
        <v>45293</v>
      </c>
    </row>
    <row r="2163" spans="1:12" x14ac:dyDescent="0.25">
      <c r="A2163" s="1">
        <v>100255</v>
      </c>
      <c r="B2163" s="2" t="s">
        <v>1042</v>
      </c>
      <c r="C2163" s="2" t="s">
        <v>58</v>
      </c>
      <c r="D2163" s="2" t="s">
        <v>41</v>
      </c>
      <c r="E2163" s="2" t="s">
        <v>35</v>
      </c>
      <c r="F2163" s="2" t="s">
        <v>18</v>
      </c>
      <c r="G2163" s="1">
        <v>0</v>
      </c>
      <c r="H2163" s="1">
        <v>578</v>
      </c>
      <c r="I2163" s="2" t="s">
        <v>19</v>
      </c>
      <c r="J2163" s="2" t="s">
        <v>33</v>
      </c>
      <c r="K2163" s="1">
        <v>916.74</v>
      </c>
      <c r="L2163" s="3">
        <v>45292</v>
      </c>
    </row>
    <row r="2164" spans="1:12" x14ac:dyDescent="0.25">
      <c r="A2164" s="1">
        <v>100784</v>
      </c>
      <c r="B2164" s="2" t="s">
        <v>1009</v>
      </c>
      <c r="C2164" s="2" t="s">
        <v>58</v>
      </c>
      <c r="D2164" s="2" t="s">
        <v>106</v>
      </c>
      <c r="E2164" s="2" t="s">
        <v>78</v>
      </c>
      <c r="F2164" s="2" t="s">
        <v>18</v>
      </c>
      <c r="G2164" s="1">
        <v>0</v>
      </c>
      <c r="H2164" s="1">
        <v>400</v>
      </c>
      <c r="I2164" s="2" t="s">
        <v>56</v>
      </c>
      <c r="J2164" s="2" t="s">
        <v>26</v>
      </c>
      <c r="K2164" s="1">
        <v>768.57</v>
      </c>
      <c r="L2164" s="3">
        <v>45292</v>
      </c>
    </row>
    <row r="2165" spans="1:12" x14ac:dyDescent="0.25">
      <c r="A2165" s="1">
        <v>101240</v>
      </c>
      <c r="B2165" s="2" t="s">
        <v>1663</v>
      </c>
      <c r="C2165" s="2" t="s">
        <v>100</v>
      </c>
      <c r="D2165" s="2" t="s">
        <v>50</v>
      </c>
      <c r="E2165" s="2" t="s">
        <v>17</v>
      </c>
      <c r="F2165" s="2" t="s">
        <v>18</v>
      </c>
      <c r="G2165" s="1">
        <v>0</v>
      </c>
      <c r="H2165" s="1">
        <v>452</v>
      </c>
      <c r="I2165" s="2" t="s">
        <v>45</v>
      </c>
      <c r="J2165" s="2" t="s">
        <v>20</v>
      </c>
      <c r="K2165" s="1">
        <v>554.26</v>
      </c>
      <c r="L2165" s="3">
        <v>45292</v>
      </c>
    </row>
    <row r="2166" spans="1:12" x14ac:dyDescent="0.25">
      <c r="A2166" s="1">
        <v>100642</v>
      </c>
      <c r="B2166" s="2" t="s">
        <v>767</v>
      </c>
      <c r="C2166" s="2" t="s">
        <v>110</v>
      </c>
      <c r="D2166" s="2" t="s">
        <v>106</v>
      </c>
      <c r="E2166" s="2" t="s">
        <v>17</v>
      </c>
      <c r="F2166" s="2" t="s">
        <v>25</v>
      </c>
      <c r="G2166" s="1">
        <v>9</v>
      </c>
      <c r="H2166" s="1">
        <v>543</v>
      </c>
      <c r="I2166" s="2" t="s">
        <v>45</v>
      </c>
      <c r="J2166" s="2" t="s">
        <v>33</v>
      </c>
      <c r="K2166" s="1">
        <v>322.02999999999997</v>
      </c>
      <c r="L2166" s="3">
        <v>45292</v>
      </c>
    </row>
    <row r="2167" spans="1:12" x14ac:dyDescent="0.25">
      <c r="A2167" s="1">
        <v>102162</v>
      </c>
      <c r="B2167" s="2" t="s">
        <v>251</v>
      </c>
      <c r="C2167" s="2" t="s">
        <v>72</v>
      </c>
      <c r="D2167" s="2" t="s">
        <v>50</v>
      </c>
      <c r="E2167" s="2" t="s">
        <v>17</v>
      </c>
      <c r="F2167" s="2" t="s">
        <v>18</v>
      </c>
      <c r="G2167" s="1">
        <v>0</v>
      </c>
      <c r="H2167" s="1">
        <v>673</v>
      </c>
      <c r="I2167" s="2" t="s">
        <v>45</v>
      </c>
      <c r="J2167" s="2" t="s">
        <v>33</v>
      </c>
      <c r="K2167" s="1">
        <v>305.02</v>
      </c>
      <c r="L2167" s="3">
        <v>45292</v>
      </c>
    </row>
    <row r="2168" spans="1:12" x14ac:dyDescent="0.25">
      <c r="A2168" s="1">
        <v>101232</v>
      </c>
      <c r="B2168" s="2" t="s">
        <v>344</v>
      </c>
      <c r="C2168" s="2" t="s">
        <v>244</v>
      </c>
      <c r="D2168" s="2" t="s">
        <v>64</v>
      </c>
      <c r="E2168" s="2" t="s">
        <v>31</v>
      </c>
      <c r="F2168" s="2" t="s">
        <v>18</v>
      </c>
      <c r="G2168" s="1">
        <v>0</v>
      </c>
      <c r="H2168" s="1">
        <v>792</v>
      </c>
      <c r="I2168" s="2" t="s">
        <v>56</v>
      </c>
      <c r="J2168" s="2" t="s">
        <v>20</v>
      </c>
      <c r="K2168" s="1">
        <v>264.74</v>
      </c>
      <c r="L2168" s="3">
        <v>45292</v>
      </c>
    </row>
    <row r="2169" spans="1:12" x14ac:dyDescent="0.25">
      <c r="A2169" s="1">
        <v>100134</v>
      </c>
      <c r="B2169" s="2" t="s">
        <v>367</v>
      </c>
      <c r="C2169" s="2" t="s">
        <v>103</v>
      </c>
      <c r="D2169" s="2" t="s">
        <v>16</v>
      </c>
      <c r="E2169" s="2" t="s">
        <v>78</v>
      </c>
      <c r="F2169" s="2" t="s">
        <v>42</v>
      </c>
      <c r="G2169" s="1">
        <v>123</v>
      </c>
      <c r="H2169" s="1">
        <v>621</v>
      </c>
      <c r="I2169" s="2" t="s">
        <v>37</v>
      </c>
      <c r="J2169" s="2" t="s">
        <v>20</v>
      </c>
      <c r="K2169" s="1">
        <v>1287.21</v>
      </c>
      <c r="L2169" s="3"/>
    </row>
    <row r="2170" spans="1:12" x14ac:dyDescent="0.25">
      <c r="A2170" s="1">
        <v>100945</v>
      </c>
      <c r="B2170" s="2" t="s">
        <v>207</v>
      </c>
      <c r="C2170" s="2" t="s">
        <v>103</v>
      </c>
      <c r="D2170" s="2" t="s">
        <v>41</v>
      </c>
      <c r="E2170" s="2" t="s">
        <v>70</v>
      </c>
      <c r="F2170" s="2" t="s">
        <v>18</v>
      </c>
      <c r="G2170" s="1">
        <v>0</v>
      </c>
      <c r="H2170" s="1">
        <v>360</v>
      </c>
      <c r="I2170" s="2" t="s">
        <v>19</v>
      </c>
      <c r="J2170" s="2" t="s">
        <v>20</v>
      </c>
      <c r="K2170" s="1">
        <v>866.18</v>
      </c>
      <c r="L2170" s="3"/>
    </row>
    <row r="2171" spans="1:12" x14ac:dyDescent="0.25">
      <c r="A2171" s="1">
        <v>100631</v>
      </c>
      <c r="B2171" s="2" t="s">
        <v>462</v>
      </c>
      <c r="C2171" s="2" t="s">
        <v>168</v>
      </c>
      <c r="D2171" s="2" t="s">
        <v>50</v>
      </c>
      <c r="E2171" s="2" t="s">
        <v>78</v>
      </c>
      <c r="F2171" s="2" t="s">
        <v>18</v>
      </c>
      <c r="G2171" s="1">
        <v>0</v>
      </c>
      <c r="H2171" s="1">
        <v>716</v>
      </c>
      <c r="I2171" s="2" t="s">
        <v>32</v>
      </c>
      <c r="J2171" s="2" t="s">
        <v>26</v>
      </c>
      <c r="K2171" s="1">
        <v>615.48</v>
      </c>
      <c r="L2171" s="3"/>
    </row>
    <row r="2172" spans="1:12" x14ac:dyDescent="0.25">
      <c r="A2172" s="1">
        <v>100176</v>
      </c>
      <c r="B2172" s="2" t="s">
        <v>225</v>
      </c>
      <c r="C2172" s="2" t="s">
        <v>142</v>
      </c>
      <c r="D2172" s="2" t="s">
        <v>64</v>
      </c>
      <c r="E2172" s="2" t="s">
        <v>17</v>
      </c>
      <c r="F2172" s="2" t="s">
        <v>18</v>
      </c>
      <c r="G2172" s="1">
        <v>0</v>
      </c>
      <c r="H2172" s="1">
        <v>741</v>
      </c>
      <c r="I2172" s="2" t="s">
        <v>37</v>
      </c>
      <c r="J2172" s="2" t="s">
        <v>20</v>
      </c>
      <c r="K2172" s="1">
        <v>609.34</v>
      </c>
      <c r="L2172" s="3"/>
    </row>
    <row r="2173" spans="1:12" x14ac:dyDescent="0.25">
      <c r="A2173" s="1">
        <v>100328</v>
      </c>
      <c r="B2173" s="2" t="s">
        <v>210</v>
      </c>
      <c r="C2173" s="2" t="s">
        <v>95</v>
      </c>
      <c r="D2173" s="2" t="s">
        <v>64</v>
      </c>
      <c r="E2173" s="2" t="s">
        <v>35</v>
      </c>
      <c r="F2173" s="2" t="s">
        <v>18</v>
      </c>
      <c r="G2173" s="1">
        <v>0</v>
      </c>
      <c r="H2173" s="1">
        <v>369</v>
      </c>
      <c r="I2173" s="2" t="s">
        <v>19</v>
      </c>
      <c r="J2173" s="2" t="s">
        <v>26</v>
      </c>
      <c r="K2173" s="1">
        <v>598.99</v>
      </c>
      <c r="L2173" s="3"/>
    </row>
    <row r="2174" spans="1:12" x14ac:dyDescent="0.25">
      <c r="A2174" s="1">
        <v>100208</v>
      </c>
      <c r="B2174" s="2" t="s">
        <v>176</v>
      </c>
      <c r="C2174" s="2" t="s">
        <v>58</v>
      </c>
      <c r="D2174" s="2" t="s">
        <v>50</v>
      </c>
      <c r="E2174" s="2" t="s">
        <v>31</v>
      </c>
      <c r="F2174" s="2" t="s">
        <v>25</v>
      </c>
      <c r="G2174" s="1">
        <v>12</v>
      </c>
      <c r="H2174" s="1">
        <v>528</v>
      </c>
      <c r="I2174" s="2" t="s">
        <v>56</v>
      </c>
      <c r="J2174" s="2" t="s">
        <v>33</v>
      </c>
      <c r="K2174" s="1">
        <v>594.13</v>
      </c>
      <c r="L2174" s="3"/>
    </row>
    <row r="2175" spans="1:12" x14ac:dyDescent="0.25">
      <c r="A2175" s="1">
        <v>102113</v>
      </c>
      <c r="B2175" s="2" t="s">
        <v>493</v>
      </c>
      <c r="C2175" s="2" t="s">
        <v>152</v>
      </c>
      <c r="D2175" s="2" t="s">
        <v>64</v>
      </c>
      <c r="E2175" s="2" t="s">
        <v>55</v>
      </c>
      <c r="F2175" s="2" t="s">
        <v>18</v>
      </c>
      <c r="G2175" s="1">
        <v>0</v>
      </c>
      <c r="H2175" s="1">
        <v>737</v>
      </c>
      <c r="I2175" s="2" t="s">
        <v>56</v>
      </c>
      <c r="J2175" s="2" t="s">
        <v>26</v>
      </c>
      <c r="K2175" s="1">
        <v>524.19000000000005</v>
      </c>
      <c r="L2175" s="3"/>
    </row>
    <row r="2176" spans="1:12" x14ac:dyDescent="0.25">
      <c r="A2176" s="1">
        <v>100400</v>
      </c>
      <c r="B2176" s="2" t="s">
        <v>530</v>
      </c>
      <c r="C2176" s="2" t="s">
        <v>142</v>
      </c>
      <c r="D2176" s="2" t="s">
        <v>16</v>
      </c>
      <c r="E2176" s="2" t="s">
        <v>31</v>
      </c>
      <c r="F2176" s="2" t="s">
        <v>18</v>
      </c>
      <c r="G2176" s="1" t="s">
        <v>35</v>
      </c>
      <c r="H2176" s="1">
        <v>819</v>
      </c>
      <c r="I2176" s="2" t="s">
        <v>56</v>
      </c>
      <c r="J2176" s="2" t="s">
        <v>26</v>
      </c>
      <c r="K2176" s="1">
        <v>503.98</v>
      </c>
      <c r="L2176" s="3"/>
    </row>
    <row r="2177" spans="1:12" x14ac:dyDescent="0.25">
      <c r="A2177" s="1">
        <v>101297</v>
      </c>
      <c r="B2177" s="2" t="s">
        <v>928</v>
      </c>
      <c r="C2177" s="2" t="s">
        <v>110</v>
      </c>
      <c r="D2177" s="2" t="s">
        <v>106</v>
      </c>
      <c r="E2177" s="2" t="s">
        <v>81</v>
      </c>
      <c r="F2177" s="2" t="s">
        <v>83</v>
      </c>
      <c r="G2177" s="1">
        <v>0</v>
      </c>
      <c r="H2177" s="1">
        <v>409</v>
      </c>
      <c r="I2177" s="2" t="s">
        <v>32</v>
      </c>
      <c r="J2177" s="2" t="s">
        <v>33</v>
      </c>
      <c r="K2177" s="1">
        <v>456.09</v>
      </c>
      <c r="L2177" s="3"/>
    </row>
    <row r="2178" spans="1:12" x14ac:dyDescent="0.25">
      <c r="A2178" s="1">
        <v>100060</v>
      </c>
      <c r="B2178" s="2" t="s">
        <v>1203</v>
      </c>
      <c r="C2178" s="2" t="s">
        <v>187</v>
      </c>
      <c r="D2178" s="2" t="s">
        <v>16</v>
      </c>
      <c r="E2178" s="2" t="s">
        <v>81</v>
      </c>
      <c r="F2178" s="2" t="s">
        <v>18</v>
      </c>
      <c r="G2178" s="1">
        <v>0</v>
      </c>
      <c r="H2178" s="1">
        <v>752</v>
      </c>
      <c r="I2178" s="2" t="s">
        <v>56</v>
      </c>
      <c r="J2178" s="2" t="s">
        <v>26</v>
      </c>
      <c r="K2178" s="1">
        <v>404.38</v>
      </c>
      <c r="L2178" s="3"/>
    </row>
    <row r="2179" spans="1:12" x14ac:dyDescent="0.25">
      <c r="A2179" s="1">
        <v>100598</v>
      </c>
      <c r="B2179" s="2" t="s">
        <v>953</v>
      </c>
      <c r="C2179" s="2" t="s">
        <v>270</v>
      </c>
      <c r="D2179" s="2" t="s">
        <v>41</v>
      </c>
      <c r="E2179" s="2" t="s">
        <v>60</v>
      </c>
      <c r="F2179" s="2" t="s">
        <v>83</v>
      </c>
      <c r="G2179" s="1">
        <v>0</v>
      </c>
      <c r="H2179" s="1">
        <v>759</v>
      </c>
      <c r="I2179" s="2" t="s">
        <v>19</v>
      </c>
      <c r="J2179" s="2" t="s">
        <v>20</v>
      </c>
      <c r="K2179" s="1">
        <v>394.28</v>
      </c>
      <c r="L2179" s="3"/>
    </row>
    <row r="2180" spans="1:12" x14ac:dyDescent="0.25">
      <c r="A2180" s="1">
        <v>100453</v>
      </c>
      <c r="B2180" s="2" t="s">
        <v>560</v>
      </c>
      <c r="C2180" s="2" t="s">
        <v>39</v>
      </c>
      <c r="D2180" s="2" t="s">
        <v>64</v>
      </c>
      <c r="E2180" s="2" t="s">
        <v>17</v>
      </c>
      <c r="F2180" s="2" t="s">
        <v>83</v>
      </c>
      <c r="G2180" s="1">
        <v>0</v>
      </c>
      <c r="H2180" s="1">
        <v>890</v>
      </c>
      <c r="I2180" s="2" t="s">
        <v>19</v>
      </c>
      <c r="J2180" s="2" t="s">
        <v>20</v>
      </c>
      <c r="K2180" s="1">
        <v>389.71</v>
      </c>
      <c r="L2180" s="3"/>
    </row>
    <row r="2181" spans="1:12" x14ac:dyDescent="0.25">
      <c r="A2181" s="1">
        <v>100585</v>
      </c>
      <c r="B2181" s="2" t="s">
        <v>322</v>
      </c>
      <c r="C2181" s="2" t="s">
        <v>13</v>
      </c>
      <c r="D2181" s="2" t="s">
        <v>50</v>
      </c>
      <c r="E2181" s="2" t="s">
        <v>78</v>
      </c>
      <c r="F2181" s="2" t="s">
        <v>18</v>
      </c>
      <c r="G2181" s="1">
        <v>0</v>
      </c>
      <c r="H2181" s="1">
        <v>623</v>
      </c>
      <c r="I2181" s="2" t="s">
        <v>56</v>
      </c>
      <c r="J2181" s="2" t="s">
        <v>20</v>
      </c>
      <c r="K2181" s="1">
        <v>387.06</v>
      </c>
      <c r="L2181" s="3"/>
    </row>
    <row r="2182" spans="1:12" x14ac:dyDescent="0.25">
      <c r="A2182" s="1">
        <v>100919</v>
      </c>
      <c r="B2182" s="2" t="s">
        <v>184</v>
      </c>
      <c r="C2182" s="2" t="s">
        <v>62</v>
      </c>
      <c r="D2182" s="2" t="s">
        <v>50</v>
      </c>
      <c r="E2182" s="2" t="s">
        <v>78</v>
      </c>
      <c r="F2182" s="2" t="s">
        <v>25</v>
      </c>
      <c r="G2182" s="1">
        <v>11</v>
      </c>
      <c r="H2182" s="1">
        <v>571</v>
      </c>
      <c r="I2182" s="2" t="s">
        <v>56</v>
      </c>
      <c r="J2182" s="2" t="s">
        <v>20</v>
      </c>
      <c r="K2182" s="1">
        <v>352.97</v>
      </c>
      <c r="L2182" s="3"/>
    </row>
    <row r="2183" spans="1:12" x14ac:dyDescent="0.25">
      <c r="A2183" s="1">
        <v>101565</v>
      </c>
      <c r="B2183" s="2" t="s">
        <v>528</v>
      </c>
      <c r="C2183" s="2" t="s">
        <v>103</v>
      </c>
      <c r="D2183" s="2" t="s">
        <v>50</v>
      </c>
      <c r="E2183" s="2" t="s">
        <v>70</v>
      </c>
      <c r="F2183" s="2" t="s">
        <v>25</v>
      </c>
      <c r="G2183" s="1">
        <v>24</v>
      </c>
      <c r="H2183" s="1">
        <v>583</v>
      </c>
      <c r="I2183" s="2" t="s">
        <v>45</v>
      </c>
      <c r="J2183" s="2" t="s">
        <v>35</v>
      </c>
      <c r="K2183" s="1">
        <v>308.08999999999997</v>
      </c>
      <c r="L2183" s="3"/>
    </row>
    <row r="2184" spans="1:12" x14ac:dyDescent="0.25">
      <c r="A2184" s="1">
        <v>100937</v>
      </c>
      <c r="B2184" s="2" t="s">
        <v>184</v>
      </c>
      <c r="C2184" s="2" t="s">
        <v>62</v>
      </c>
      <c r="D2184" s="2" t="s">
        <v>41</v>
      </c>
      <c r="E2184" s="2" t="s">
        <v>78</v>
      </c>
      <c r="F2184" s="2" t="s">
        <v>25</v>
      </c>
      <c r="G2184" s="1">
        <v>30</v>
      </c>
      <c r="H2184" s="1">
        <v>571</v>
      </c>
      <c r="I2184" s="2" t="s">
        <v>45</v>
      </c>
      <c r="J2184" s="2" t="s">
        <v>26</v>
      </c>
      <c r="K2184" s="1">
        <v>307.79000000000002</v>
      </c>
      <c r="L2184" s="3"/>
    </row>
    <row r="2185" spans="1:12" x14ac:dyDescent="0.25">
      <c r="A2185" s="1">
        <v>100697</v>
      </c>
      <c r="B2185" s="2" t="s">
        <v>1069</v>
      </c>
      <c r="C2185" s="2" t="s">
        <v>22</v>
      </c>
      <c r="D2185" s="2" t="s">
        <v>16</v>
      </c>
      <c r="E2185" s="2" t="s">
        <v>31</v>
      </c>
      <c r="F2185" s="2" t="s">
        <v>18</v>
      </c>
      <c r="G2185" s="1" t="s">
        <v>35</v>
      </c>
      <c r="H2185" s="1">
        <v>607</v>
      </c>
      <c r="I2185" s="2" t="s">
        <v>37</v>
      </c>
      <c r="J2185" s="2" t="s">
        <v>20</v>
      </c>
      <c r="K2185" s="1">
        <v>301.13</v>
      </c>
      <c r="L2185" s="3"/>
    </row>
    <row r="2186" spans="1:12" x14ac:dyDescent="0.25">
      <c r="A2186" s="1">
        <v>102138</v>
      </c>
      <c r="B2186" s="2" t="s">
        <v>272</v>
      </c>
      <c r="C2186" s="2" t="s">
        <v>100</v>
      </c>
      <c r="D2186" s="2" t="s">
        <v>64</v>
      </c>
      <c r="E2186" s="2" t="s">
        <v>60</v>
      </c>
      <c r="F2186" s="2" t="s">
        <v>83</v>
      </c>
      <c r="G2186" s="1">
        <v>0</v>
      </c>
      <c r="H2186" s="1">
        <v>666</v>
      </c>
      <c r="I2186" s="2" t="s">
        <v>35</v>
      </c>
      <c r="J2186" s="2" t="s">
        <v>26</v>
      </c>
      <c r="K2186" s="1">
        <v>300.14999999999998</v>
      </c>
      <c r="L2186" s="3"/>
    </row>
    <row r="2187" spans="1:12" x14ac:dyDescent="0.25">
      <c r="A2187" s="1">
        <v>101239</v>
      </c>
      <c r="B2187" s="2" t="s">
        <v>585</v>
      </c>
      <c r="C2187" s="2" t="s">
        <v>270</v>
      </c>
      <c r="D2187" s="2" t="s">
        <v>16</v>
      </c>
      <c r="E2187" s="2" t="s">
        <v>17</v>
      </c>
      <c r="F2187" s="2" t="s">
        <v>18</v>
      </c>
      <c r="G2187" s="1">
        <v>0</v>
      </c>
      <c r="H2187" s="1">
        <v>814</v>
      </c>
      <c r="I2187" s="2" t="s">
        <v>56</v>
      </c>
      <c r="J2187" s="2" t="s">
        <v>26</v>
      </c>
      <c r="K2187" s="1">
        <v>278.83999999999997</v>
      </c>
      <c r="L2187" s="3"/>
    </row>
    <row r="2188" spans="1:12" x14ac:dyDescent="0.25">
      <c r="A2188" s="1">
        <v>100594</v>
      </c>
      <c r="B2188" s="2" t="s">
        <v>418</v>
      </c>
      <c r="C2188" s="2" t="s">
        <v>52</v>
      </c>
      <c r="D2188" s="2" t="s">
        <v>50</v>
      </c>
      <c r="E2188" s="2" t="s">
        <v>17</v>
      </c>
      <c r="F2188" s="2" t="s">
        <v>42</v>
      </c>
      <c r="G2188" s="1">
        <v>34</v>
      </c>
      <c r="H2188" s="1">
        <v>371</v>
      </c>
      <c r="I2188" s="2" t="s">
        <v>45</v>
      </c>
      <c r="J2188" s="2" t="s">
        <v>33</v>
      </c>
      <c r="K2188" s="1">
        <v>276.60000000000002</v>
      </c>
      <c r="L2188" s="3"/>
    </row>
    <row r="2189" spans="1:12" x14ac:dyDescent="0.25">
      <c r="A2189" s="1">
        <v>101392</v>
      </c>
      <c r="B2189" s="2" t="s">
        <v>200</v>
      </c>
      <c r="C2189" s="2" t="s">
        <v>142</v>
      </c>
      <c r="D2189" s="2" t="s">
        <v>50</v>
      </c>
      <c r="E2189" s="2" t="s">
        <v>81</v>
      </c>
      <c r="F2189" s="2" t="s">
        <v>42</v>
      </c>
      <c r="G2189" s="1">
        <v>41</v>
      </c>
      <c r="H2189" s="1">
        <v>784</v>
      </c>
      <c r="I2189" s="2" t="s">
        <v>56</v>
      </c>
      <c r="J2189" s="2" t="s">
        <v>26</v>
      </c>
      <c r="K2189" s="1">
        <v>271.79000000000002</v>
      </c>
      <c r="L2189" s="3"/>
    </row>
    <row r="2190" spans="1:12" x14ac:dyDescent="0.25">
      <c r="A2190" s="1">
        <v>102137</v>
      </c>
      <c r="B2190" s="2" t="s">
        <v>460</v>
      </c>
      <c r="C2190" s="2" t="s">
        <v>95</v>
      </c>
      <c r="D2190" s="2" t="s">
        <v>106</v>
      </c>
      <c r="E2190" s="2" t="s">
        <v>78</v>
      </c>
      <c r="F2190" s="2" t="s">
        <v>18</v>
      </c>
      <c r="G2190" s="1">
        <v>0</v>
      </c>
      <c r="H2190" s="1">
        <v>716</v>
      </c>
      <c r="I2190" s="2" t="s">
        <v>19</v>
      </c>
      <c r="J2190" s="2" t="s">
        <v>20</v>
      </c>
      <c r="K2190" s="1">
        <v>253.89</v>
      </c>
      <c r="L2190" s="3"/>
    </row>
    <row r="2191" spans="1:12" x14ac:dyDescent="0.25">
      <c r="A2191" s="1">
        <v>101892</v>
      </c>
      <c r="B2191" s="2" t="s">
        <v>506</v>
      </c>
      <c r="C2191" s="2" t="s">
        <v>58</v>
      </c>
      <c r="D2191" s="2" t="s">
        <v>50</v>
      </c>
      <c r="E2191" s="2" t="s">
        <v>60</v>
      </c>
      <c r="F2191" s="2" t="s">
        <v>18</v>
      </c>
      <c r="G2191" s="1">
        <v>0</v>
      </c>
      <c r="H2191" s="1">
        <v>394</v>
      </c>
      <c r="I2191" s="2" t="s">
        <v>56</v>
      </c>
      <c r="J2191" s="2" t="s">
        <v>20</v>
      </c>
      <c r="K2191" s="1">
        <v>246.3</v>
      </c>
      <c r="L2191" s="3"/>
    </row>
    <row r="2192" spans="1:12" x14ac:dyDescent="0.25">
      <c r="A2192" s="1">
        <v>101757</v>
      </c>
      <c r="B2192" s="2" t="s">
        <v>563</v>
      </c>
      <c r="C2192" s="2" t="s">
        <v>58</v>
      </c>
      <c r="D2192" s="2" t="s">
        <v>16</v>
      </c>
      <c r="E2192" s="2" t="s">
        <v>60</v>
      </c>
      <c r="F2192" s="2" t="s">
        <v>18</v>
      </c>
      <c r="G2192" s="1">
        <v>0</v>
      </c>
      <c r="H2192" s="1">
        <v>893</v>
      </c>
      <c r="I2192" s="2" t="s">
        <v>45</v>
      </c>
      <c r="J2192" s="2" t="s">
        <v>20</v>
      </c>
      <c r="K2192" s="1">
        <v>243.73</v>
      </c>
      <c r="L2192" s="3"/>
    </row>
    <row r="2193" spans="1:12" x14ac:dyDescent="0.25">
      <c r="A2193" s="1">
        <v>100774</v>
      </c>
      <c r="B2193" s="2" t="s">
        <v>204</v>
      </c>
      <c r="C2193" s="2" t="s">
        <v>152</v>
      </c>
      <c r="D2193" s="2" t="s">
        <v>16</v>
      </c>
      <c r="E2193" s="2" t="s">
        <v>17</v>
      </c>
      <c r="F2193" s="2" t="s">
        <v>18</v>
      </c>
      <c r="G2193" s="1">
        <v>0</v>
      </c>
      <c r="H2193" s="1">
        <v>362</v>
      </c>
      <c r="I2193" s="2" t="s">
        <v>19</v>
      </c>
      <c r="J2193" s="2" t="s">
        <v>20</v>
      </c>
      <c r="K2193" s="1">
        <v>238.35</v>
      </c>
      <c r="L2193" s="3"/>
    </row>
    <row r="2194" spans="1:12" x14ac:dyDescent="0.25">
      <c r="A2194" s="1">
        <v>100017</v>
      </c>
      <c r="B2194" s="2" t="s">
        <v>68</v>
      </c>
      <c r="C2194" s="2" t="s">
        <v>52</v>
      </c>
      <c r="D2194" s="2" t="s">
        <v>16</v>
      </c>
      <c r="E2194" s="2" t="s">
        <v>31</v>
      </c>
      <c r="F2194" s="2" t="s">
        <v>18</v>
      </c>
      <c r="G2194" s="1">
        <v>0</v>
      </c>
      <c r="H2194" s="1">
        <v>309</v>
      </c>
      <c r="I2194" s="2" t="s">
        <v>45</v>
      </c>
      <c r="J2194" s="2" t="s">
        <v>26</v>
      </c>
      <c r="K2194" s="1">
        <v>208.88</v>
      </c>
      <c r="L2194" s="3"/>
    </row>
    <row r="2195" spans="1:12" x14ac:dyDescent="0.25">
      <c r="A2195" s="1">
        <v>100905</v>
      </c>
      <c r="B2195" s="2" t="s">
        <v>525</v>
      </c>
      <c r="C2195" s="2" t="s">
        <v>58</v>
      </c>
      <c r="D2195" s="2" t="s">
        <v>64</v>
      </c>
      <c r="E2195" s="2" t="s">
        <v>81</v>
      </c>
      <c r="F2195" s="2" t="s">
        <v>18</v>
      </c>
      <c r="G2195" s="1">
        <v>0</v>
      </c>
      <c r="H2195" s="1">
        <v>501</v>
      </c>
      <c r="I2195" s="2" t="s">
        <v>19</v>
      </c>
      <c r="J2195" s="2" t="s">
        <v>33</v>
      </c>
      <c r="K2195" s="1">
        <v>200.86</v>
      </c>
      <c r="L2195" s="3"/>
    </row>
    <row r="2196" spans="1:12" x14ac:dyDescent="0.25">
      <c r="A2196" s="1">
        <v>101473</v>
      </c>
      <c r="B2196" s="2" t="s">
        <v>515</v>
      </c>
      <c r="C2196" s="2" t="s">
        <v>22</v>
      </c>
      <c r="D2196" s="2" t="s">
        <v>64</v>
      </c>
      <c r="E2196" s="2" t="s">
        <v>55</v>
      </c>
      <c r="F2196" s="2" t="s">
        <v>25</v>
      </c>
      <c r="G2196" s="1">
        <v>27</v>
      </c>
      <c r="H2196" s="1">
        <v>826</v>
      </c>
      <c r="I2196" s="2" t="s">
        <v>32</v>
      </c>
      <c r="J2196" s="2" t="s">
        <v>33</v>
      </c>
      <c r="K2196" s="1">
        <v>199.79</v>
      </c>
      <c r="L2196" s="3"/>
    </row>
    <row r="2197" spans="1:12" x14ac:dyDescent="0.25">
      <c r="A2197" s="1">
        <v>101368</v>
      </c>
      <c r="B2197" s="2" t="s">
        <v>91</v>
      </c>
      <c r="C2197" s="2" t="s">
        <v>58</v>
      </c>
      <c r="D2197" s="2" t="s">
        <v>50</v>
      </c>
      <c r="E2197" s="2" t="s">
        <v>31</v>
      </c>
      <c r="F2197" s="2" t="s">
        <v>83</v>
      </c>
      <c r="G2197" s="1">
        <v>0</v>
      </c>
      <c r="H2197" s="1">
        <v>769</v>
      </c>
      <c r="I2197" s="2" t="s">
        <v>37</v>
      </c>
      <c r="J2197" s="2" t="s">
        <v>26</v>
      </c>
      <c r="K2197" s="1">
        <v>188.92</v>
      </c>
      <c r="L2197" s="3"/>
    </row>
    <row r="2198" spans="1:12" x14ac:dyDescent="0.25">
      <c r="A2198" s="1">
        <v>100331</v>
      </c>
      <c r="B2198" s="2" t="s">
        <v>431</v>
      </c>
      <c r="C2198" s="2" t="s">
        <v>28</v>
      </c>
      <c r="D2198" s="2" t="s">
        <v>64</v>
      </c>
      <c r="E2198" s="2" t="s">
        <v>17</v>
      </c>
      <c r="F2198" s="2" t="s">
        <v>18</v>
      </c>
      <c r="G2198" s="1">
        <v>0</v>
      </c>
      <c r="H2198" s="1">
        <v>691</v>
      </c>
      <c r="I2198" s="2" t="s">
        <v>37</v>
      </c>
      <c r="J2198" s="2" t="s">
        <v>33</v>
      </c>
      <c r="K2198" s="1">
        <v>144.06</v>
      </c>
      <c r="L2198" s="3"/>
    </row>
    <row r="2199" spans="1:12" x14ac:dyDescent="0.25">
      <c r="A2199" s="1">
        <v>100336</v>
      </c>
      <c r="B2199" s="2" t="s">
        <v>545</v>
      </c>
      <c r="C2199" s="2" t="s">
        <v>126</v>
      </c>
      <c r="D2199" s="2" t="s">
        <v>41</v>
      </c>
      <c r="E2199" s="2" t="s">
        <v>70</v>
      </c>
      <c r="F2199" s="2" t="s">
        <v>25</v>
      </c>
      <c r="G2199" s="1">
        <v>1</v>
      </c>
      <c r="H2199" s="1">
        <v>494</v>
      </c>
      <c r="I2199" s="2" t="s">
        <v>19</v>
      </c>
      <c r="J2199" s="2" t="s">
        <v>20</v>
      </c>
      <c r="K2199" s="1">
        <v>87.78</v>
      </c>
      <c r="L2199" s="3"/>
    </row>
    <row r="2200" spans="1:12" x14ac:dyDescent="0.25">
      <c r="A2200" s="1">
        <v>101470</v>
      </c>
      <c r="B2200" s="2" t="s">
        <v>462</v>
      </c>
      <c r="C2200" s="2" t="s">
        <v>168</v>
      </c>
      <c r="D2200" s="2" t="s">
        <v>41</v>
      </c>
      <c r="E2200" s="2" t="s">
        <v>31</v>
      </c>
      <c r="F2200" s="2" t="s">
        <v>18</v>
      </c>
      <c r="G2200" s="1">
        <v>0</v>
      </c>
      <c r="H2200" s="1">
        <v>716</v>
      </c>
      <c r="I2200" s="2" t="s">
        <v>37</v>
      </c>
      <c r="J2200" s="2" t="s">
        <v>26</v>
      </c>
      <c r="K2200" s="1">
        <v>70.334999999999994</v>
      </c>
      <c r="L2200" s="3"/>
    </row>
    <row r="2201" spans="1:12" x14ac:dyDescent="0.25">
      <c r="A2201" s="1">
        <v>101943</v>
      </c>
      <c r="B2201" s="2" t="s">
        <v>367</v>
      </c>
      <c r="C2201" s="2" t="s">
        <v>103</v>
      </c>
      <c r="D2201" s="2" t="s">
        <v>16</v>
      </c>
      <c r="E2201" s="2" t="s">
        <v>31</v>
      </c>
      <c r="F2201" s="2" t="s">
        <v>42</v>
      </c>
      <c r="G2201" s="1">
        <v>40</v>
      </c>
      <c r="H2201" s="1">
        <v>621</v>
      </c>
      <c r="I2201" s="2" t="s">
        <v>32</v>
      </c>
      <c r="J2201" s="2" t="s">
        <v>20</v>
      </c>
      <c r="K2201" s="1"/>
      <c r="L2201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4"/>
  <dimension ref="A1:L2275"/>
  <sheetViews>
    <sheetView workbookViewId="0"/>
  </sheetViews>
  <sheetFormatPr defaultRowHeight="15" x14ac:dyDescent="0.25"/>
  <cols>
    <col min="1" max="1" width="10.28515625" style="1" customWidth="1"/>
    <col min="2" max="2" width="16.85546875" style="1" customWidth="1"/>
    <col min="3" max="3" width="16.140625" style="1" customWidth="1"/>
    <col min="4" max="4" width="17.5703125" style="1" customWidth="1"/>
    <col min="5" max="5" width="20.7109375" style="1" customWidth="1"/>
    <col min="6" max="6" width="22.140625" style="1" customWidth="1"/>
    <col min="7" max="7" width="15.28515625" style="1" customWidth="1"/>
    <col min="8" max="8" width="18.7109375" style="1" customWidth="1"/>
    <col min="9" max="9" width="14" style="1" customWidth="1"/>
    <col min="10" max="10" width="18.42578125" style="1" customWidth="1"/>
    <col min="11" max="11" width="16.28515625" style="1" customWidth="1"/>
    <col min="12" max="12" width="20.140625" style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102068</v>
      </c>
      <c r="B2" t="s">
        <v>12</v>
      </c>
      <c r="C2" t="s">
        <v>13</v>
      </c>
      <c r="D2" t="s">
        <v>14</v>
      </c>
      <c r="E2" t="s">
        <v>15</v>
      </c>
      <c r="F2" t="s">
        <v>2579</v>
      </c>
      <c r="G2" t="s">
        <v>2580</v>
      </c>
      <c r="H2" t="s">
        <v>2581</v>
      </c>
      <c r="I2">
        <v>0</v>
      </c>
      <c r="J2">
        <v>753</v>
      </c>
      <c r="K2" t="s">
        <v>19</v>
      </c>
      <c r="L2" t="s">
        <v>2582</v>
      </c>
    </row>
    <row r="3" spans="1:12" x14ac:dyDescent="0.25">
      <c r="A3">
        <v>101979</v>
      </c>
      <c r="B3" t="s">
        <v>21</v>
      </c>
      <c r="C3" t="s">
        <v>22</v>
      </c>
      <c r="D3" t="s">
        <v>23</v>
      </c>
      <c r="E3" t="s">
        <v>24</v>
      </c>
      <c r="F3" t="s">
        <v>2583</v>
      </c>
      <c r="G3" t="s">
        <v>2584</v>
      </c>
      <c r="H3" t="s">
        <v>2585</v>
      </c>
      <c r="I3">
        <v>2</v>
      </c>
      <c r="J3">
        <v>771</v>
      </c>
      <c r="K3" t="s">
        <v>19</v>
      </c>
      <c r="L3" t="s">
        <v>26</v>
      </c>
    </row>
    <row r="4" spans="1:12" x14ac:dyDescent="0.25">
      <c r="A4">
        <v>100713</v>
      </c>
      <c r="B4" t="s">
        <v>27</v>
      </c>
      <c r="C4" t="s">
        <v>28</v>
      </c>
      <c r="D4" t="s">
        <v>29</v>
      </c>
      <c r="E4" t="s">
        <v>2586</v>
      </c>
      <c r="F4" t="s">
        <v>30</v>
      </c>
      <c r="G4" t="s">
        <v>31</v>
      </c>
      <c r="H4" t="s">
        <v>2587</v>
      </c>
      <c r="I4">
        <v>0</v>
      </c>
      <c r="J4">
        <v>849</v>
      </c>
      <c r="K4" t="s">
        <v>32</v>
      </c>
      <c r="L4" t="s">
        <v>2588</v>
      </c>
    </row>
    <row r="5" spans="1:12" x14ac:dyDescent="0.25">
      <c r="A5">
        <v>101270</v>
      </c>
      <c r="B5" t="s">
        <v>34</v>
      </c>
      <c r="D5" t="s">
        <v>36</v>
      </c>
      <c r="E5" t="s">
        <v>2589</v>
      </c>
      <c r="F5" t="s">
        <v>2590</v>
      </c>
      <c r="G5" t="s">
        <v>2591</v>
      </c>
      <c r="H5" t="s">
        <v>2587</v>
      </c>
      <c r="I5">
        <v>0</v>
      </c>
      <c r="J5">
        <v>672</v>
      </c>
      <c r="K5" t="s">
        <v>37</v>
      </c>
      <c r="L5" t="s">
        <v>2582</v>
      </c>
    </row>
    <row r="6" spans="1:12" x14ac:dyDescent="0.25">
      <c r="A6">
        <v>100709</v>
      </c>
      <c r="B6" t="s">
        <v>38</v>
      </c>
      <c r="C6" t="s">
        <v>39</v>
      </c>
      <c r="D6" t="s">
        <v>40</v>
      </c>
      <c r="E6" t="s">
        <v>2592</v>
      </c>
      <c r="F6" t="s">
        <v>2593</v>
      </c>
      <c r="H6" t="s">
        <v>2594</v>
      </c>
      <c r="I6">
        <v>55</v>
      </c>
      <c r="J6">
        <v>533</v>
      </c>
      <c r="K6" t="s">
        <v>19</v>
      </c>
      <c r="L6" t="s">
        <v>26</v>
      </c>
    </row>
    <row r="7" spans="1:12" x14ac:dyDescent="0.25">
      <c r="A7">
        <v>101996</v>
      </c>
      <c r="B7" t="s">
        <v>43</v>
      </c>
      <c r="C7" t="s">
        <v>22</v>
      </c>
      <c r="D7" t="s">
        <v>44</v>
      </c>
      <c r="E7" t="s">
        <v>2595</v>
      </c>
      <c r="F7" t="s">
        <v>41</v>
      </c>
      <c r="G7" t="s">
        <v>2596</v>
      </c>
      <c r="H7" t="s">
        <v>2597</v>
      </c>
      <c r="I7">
        <v>7</v>
      </c>
      <c r="J7">
        <v>396</v>
      </c>
      <c r="K7" t="s">
        <v>45</v>
      </c>
      <c r="L7" t="s">
        <v>26</v>
      </c>
    </row>
    <row r="8" spans="1:12" x14ac:dyDescent="0.25">
      <c r="A8">
        <v>100948</v>
      </c>
      <c r="B8" t="s">
        <v>46</v>
      </c>
      <c r="C8" t="s">
        <v>47</v>
      </c>
      <c r="D8" t="s">
        <v>48</v>
      </c>
      <c r="E8" t="s">
        <v>49</v>
      </c>
      <c r="F8" t="s">
        <v>2598</v>
      </c>
      <c r="G8" t="s">
        <v>2599</v>
      </c>
      <c r="H8" t="s">
        <v>2585</v>
      </c>
      <c r="I8">
        <v>6</v>
      </c>
      <c r="J8">
        <v>615</v>
      </c>
      <c r="K8" t="s">
        <v>45</v>
      </c>
      <c r="L8" t="s">
        <v>2588</v>
      </c>
    </row>
    <row r="9" spans="1:12" x14ac:dyDescent="0.25">
      <c r="A9">
        <v>101352</v>
      </c>
      <c r="B9" t="s">
        <v>51</v>
      </c>
      <c r="C9" t="s">
        <v>52</v>
      </c>
      <c r="D9" t="s">
        <v>53</v>
      </c>
      <c r="E9" t="s">
        <v>54</v>
      </c>
      <c r="F9" t="s">
        <v>2593</v>
      </c>
      <c r="G9" t="s">
        <v>2600</v>
      </c>
      <c r="H9" t="s">
        <v>18</v>
      </c>
      <c r="I9">
        <v>0</v>
      </c>
      <c r="J9">
        <v>567</v>
      </c>
      <c r="K9" t="s">
        <v>56</v>
      </c>
      <c r="L9" t="s">
        <v>26</v>
      </c>
    </row>
    <row r="10" spans="1:12" x14ac:dyDescent="0.25">
      <c r="A10">
        <v>101537</v>
      </c>
      <c r="B10" t="s">
        <v>57</v>
      </c>
      <c r="C10" t="s">
        <v>58</v>
      </c>
      <c r="D10" t="s">
        <v>59</v>
      </c>
      <c r="E10" t="s">
        <v>2601</v>
      </c>
      <c r="F10" t="s">
        <v>2598</v>
      </c>
      <c r="G10" t="s">
        <v>2602</v>
      </c>
      <c r="H10" t="s">
        <v>42</v>
      </c>
      <c r="I10">
        <v>105</v>
      </c>
      <c r="J10">
        <v>798</v>
      </c>
      <c r="K10" t="s">
        <v>19</v>
      </c>
      <c r="L10" t="s">
        <v>2582</v>
      </c>
    </row>
    <row r="11" spans="1:12" x14ac:dyDescent="0.25">
      <c r="A11">
        <v>101836</v>
      </c>
      <c r="B11" t="s">
        <v>61</v>
      </c>
      <c r="C11" t="s">
        <v>62</v>
      </c>
      <c r="D11" t="s">
        <v>63</v>
      </c>
      <c r="E11" t="s">
        <v>2603</v>
      </c>
      <c r="F11" t="s">
        <v>2604</v>
      </c>
      <c r="G11" t="s">
        <v>2591</v>
      </c>
      <c r="H11" t="s">
        <v>18</v>
      </c>
      <c r="I11">
        <v>0</v>
      </c>
      <c r="J11">
        <v>542</v>
      </c>
      <c r="K11" t="s">
        <v>19</v>
      </c>
      <c r="L11" t="s">
        <v>20</v>
      </c>
    </row>
    <row r="12" spans="1:12" x14ac:dyDescent="0.25">
      <c r="A12">
        <v>100397</v>
      </c>
      <c r="B12" t="s">
        <v>65</v>
      </c>
      <c r="C12" t="s">
        <v>62</v>
      </c>
      <c r="D12" t="s">
        <v>66</v>
      </c>
      <c r="E12" t="s">
        <v>2605</v>
      </c>
      <c r="F12" t="s">
        <v>2593</v>
      </c>
      <c r="G12" t="s">
        <v>2596</v>
      </c>
      <c r="H12" t="s">
        <v>2581</v>
      </c>
      <c r="I12">
        <v>0</v>
      </c>
      <c r="J12">
        <v>542</v>
      </c>
      <c r="K12" t="s">
        <v>56</v>
      </c>
      <c r="L12" t="s">
        <v>2588</v>
      </c>
    </row>
    <row r="13" spans="1:12" x14ac:dyDescent="0.25">
      <c r="A13">
        <v>101895</v>
      </c>
      <c r="B13" t="s">
        <v>68</v>
      </c>
      <c r="C13" t="s">
        <v>52</v>
      </c>
      <c r="D13" t="s">
        <v>69</v>
      </c>
      <c r="E13" t="s">
        <v>2606</v>
      </c>
      <c r="F13" t="s">
        <v>2598</v>
      </c>
      <c r="G13" t="s">
        <v>2607</v>
      </c>
      <c r="H13" t="s">
        <v>2587</v>
      </c>
      <c r="I13">
        <v>0</v>
      </c>
      <c r="J13">
        <v>309</v>
      </c>
      <c r="K13" t="s">
        <v>19</v>
      </c>
      <c r="L13" t="s">
        <v>2588</v>
      </c>
    </row>
    <row r="14" spans="1:12" x14ac:dyDescent="0.25">
      <c r="A14">
        <v>101945</v>
      </c>
      <c r="B14" t="s">
        <v>71</v>
      </c>
      <c r="C14" t="s">
        <v>72</v>
      </c>
      <c r="D14" t="s">
        <v>73</v>
      </c>
      <c r="E14" t="s">
        <v>74</v>
      </c>
      <c r="F14" t="s">
        <v>30</v>
      </c>
      <c r="G14" t="s">
        <v>2600</v>
      </c>
      <c r="H14" t="s">
        <v>18</v>
      </c>
      <c r="I14">
        <v>0</v>
      </c>
      <c r="J14">
        <v>841</v>
      </c>
      <c r="K14" t="s">
        <v>32</v>
      </c>
      <c r="L14" t="s">
        <v>26</v>
      </c>
    </row>
    <row r="15" spans="1:12" x14ac:dyDescent="0.25">
      <c r="A15">
        <v>101987</v>
      </c>
      <c r="B15" t="s">
        <v>75</v>
      </c>
      <c r="C15" t="s">
        <v>39</v>
      </c>
      <c r="D15" t="s">
        <v>76</v>
      </c>
      <c r="E15" t="s">
        <v>77</v>
      </c>
      <c r="F15" t="s">
        <v>2608</v>
      </c>
      <c r="G15" t="s">
        <v>2609</v>
      </c>
      <c r="H15" t="s">
        <v>2587</v>
      </c>
      <c r="I15">
        <v>0</v>
      </c>
      <c r="J15">
        <v>554</v>
      </c>
      <c r="K15" t="s">
        <v>19</v>
      </c>
      <c r="L15" t="s">
        <v>2588</v>
      </c>
    </row>
    <row r="16" spans="1:12" x14ac:dyDescent="0.25">
      <c r="A16">
        <v>100584</v>
      </c>
      <c r="B16" t="s">
        <v>79</v>
      </c>
      <c r="C16" t="s">
        <v>47</v>
      </c>
      <c r="D16" t="s">
        <v>80</v>
      </c>
      <c r="E16" t="s">
        <v>2610</v>
      </c>
      <c r="F16" t="s">
        <v>2590</v>
      </c>
      <c r="G16" t="s">
        <v>2611</v>
      </c>
      <c r="H16" t="s">
        <v>2594</v>
      </c>
      <c r="I16">
        <v>148</v>
      </c>
      <c r="J16">
        <v>585</v>
      </c>
      <c r="K16" t="s">
        <v>45</v>
      </c>
      <c r="L16" t="s">
        <v>26</v>
      </c>
    </row>
    <row r="17" spans="1:12" x14ac:dyDescent="0.25">
      <c r="A17">
        <v>100087</v>
      </c>
      <c r="B17" t="s">
        <v>71</v>
      </c>
      <c r="C17" t="s">
        <v>72</v>
      </c>
      <c r="D17" t="s">
        <v>82</v>
      </c>
      <c r="E17" t="s">
        <v>2612</v>
      </c>
      <c r="F17" t="s">
        <v>2613</v>
      </c>
      <c r="G17" t="s">
        <v>2614</v>
      </c>
      <c r="H17" t="s">
        <v>83</v>
      </c>
      <c r="I17">
        <v>0</v>
      </c>
      <c r="J17">
        <v>841</v>
      </c>
      <c r="K17" t="s">
        <v>45</v>
      </c>
      <c r="L17" t="s">
        <v>26</v>
      </c>
    </row>
    <row r="18" spans="1:12" x14ac:dyDescent="0.25">
      <c r="A18">
        <v>101978</v>
      </c>
      <c r="B18" t="s">
        <v>84</v>
      </c>
      <c r="C18" t="s">
        <v>85</v>
      </c>
      <c r="D18" t="s">
        <v>86</v>
      </c>
      <c r="E18" t="s">
        <v>2615</v>
      </c>
      <c r="F18" t="s">
        <v>2616</v>
      </c>
      <c r="G18" t="s">
        <v>2617</v>
      </c>
      <c r="H18" t="s">
        <v>2618</v>
      </c>
      <c r="I18">
        <v>0</v>
      </c>
      <c r="J18">
        <v>400</v>
      </c>
      <c r="K18" t="s">
        <v>32</v>
      </c>
      <c r="L18" t="s">
        <v>2582</v>
      </c>
    </row>
    <row r="19" spans="1:12" x14ac:dyDescent="0.25">
      <c r="A19">
        <v>102197</v>
      </c>
      <c r="B19" t="s">
        <v>87</v>
      </c>
      <c r="C19" t="s">
        <v>47</v>
      </c>
      <c r="D19" t="s">
        <v>88</v>
      </c>
      <c r="E19" t="s">
        <v>2619</v>
      </c>
      <c r="F19" t="s">
        <v>2613</v>
      </c>
      <c r="G19" t="s">
        <v>2599</v>
      </c>
      <c r="H19" t="s">
        <v>2620</v>
      </c>
      <c r="I19">
        <v>0</v>
      </c>
      <c r="J19">
        <v>892</v>
      </c>
      <c r="K19" t="s">
        <v>56</v>
      </c>
      <c r="L19" t="s">
        <v>2582</v>
      </c>
    </row>
    <row r="20" spans="1:12" x14ac:dyDescent="0.25">
      <c r="A20">
        <v>101156</v>
      </c>
      <c r="B20" t="s">
        <v>89</v>
      </c>
      <c r="C20" t="s">
        <v>2621</v>
      </c>
      <c r="D20" t="s">
        <v>90</v>
      </c>
      <c r="E20" t="s">
        <v>2622</v>
      </c>
      <c r="F20" t="s">
        <v>2608</v>
      </c>
      <c r="G20" t="s">
        <v>2584</v>
      </c>
      <c r="H20" t="s">
        <v>2620</v>
      </c>
      <c r="I20">
        <v>0</v>
      </c>
      <c r="J20">
        <v>358</v>
      </c>
      <c r="L20" t="s">
        <v>20</v>
      </c>
    </row>
    <row r="21" spans="1:12" x14ac:dyDescent="0.25">
      <c r="A21">
        <v>101284</v>
      </c>
      <c r="B21" t="s">
        <v>91</v>
      </c>
      <c r="C21" t="s">
        <v>58</v>
      </c>
      <c r="D21" t="s">
        <v>92</v>
      </c>
      <c r="E21" t="s">
        <v>93</v>
      </c>
      <c r="F21" t="s">
        <v>2616</v>
      </c>
      <c r="G21" t="s">
        <v>2602</v>
      </c>
      <c r="H21" t="s">
        <v>2623</v>
      </c>
      <c r="I21">
        <v>31</v>
      </c>
      <c r="J21">
        <v>769</v>
      </c>
      <c r="K21" t="s">
        <v>37</v>
      </c>
      <c r="L21" t="s">
        <v>20</v>
      </c>
    </row>
    <row r="22" spans="1:12" x14ac:dyDescent="0.25">
      <c r="A22">
        <v>101774</v>
      </c>
      <c r="B22" t="s">
        <v>94</v>
      </c>
      <c r="C22" t="s">
        <v>95</v>
      </c>
      <c r="D22" t="s">
        <v>96</v>
      </c>
      <c r="E22" t="s">
        <v>97</v>
      </c>
      <c r="F22" t="s">
        <v>2590</v>
      </c>
      <c r="G22" t="s">
        <v>2591</v>
      </c>
      <c r="H22" t="s">
        <v>2585</v>
      </c>
      <c r="I22">
        <v>18</v>
      </c>
      <c r="J22">
        <v>360</v>
      </c>
      <c r="K22" t="s">
        <v>19</v>
      </c>
      <c r="L22" t="s">
        <v>2588</v>
      </c>
    </row>
    <row r="23" spans="1:12" x14ac:dyDescent="0.25">
      <c r="A23">
        <v>100722</v>
      </c>
      <c r="B23" t="s">
        <v>87</v>
      </c>
      <c r="C23" t="s">
        <v>47</v>
      </c>
      <c r="D23" t="s">
        <v>98</v>
      </c>
      <c r="E23" t="s">
        <v>2624</v>
      </c>
      <c r="F23" t="s">
        <v>41</v>
      </c>
      <c r="G23" t="s">
        <v>2625</v>
      </c>
      <c r="H23" t="s">
        <v>2618</v>
      </c>
      <c r="I23">
        <v>0</v>
      </c>
      <c r="J23">
        <v>892</v>
      </c>
      <c r="K23" t="s">
        <v>45</v>
      </c>
      <c r="L23" t="s">
        <v>20</v>
      </c>
    </row>
    <row r="24" spans="1:12" x14ac:dyDescent="0.25">
      <c r="A24">
        <v>101035</v>
      </c>
      <c r="B24" t="s">
        <v>99</v>
      </c>
      <c r="C24" t="s">
        <v>100</v>
      </c>
      <c r="D24" t="s">
        <v>101</v>
      </c>
      <c r="E24" t="s">
        <v>2626</v>
      </c>
      <c r="F24" t="s">
        <v>2604</v>
      </c>
      <c r="G24" t="s">
        <v>2596</v>
      </c>
      <c r="H24" t="s">
        <v>2620</v>
      </c>
      <c r="I24">
        <v>0</v>
      </c>
      <c r="J24">
        <v>414</v>
      </c>
      <c r="K24" t="s">
        <v>32</v>
      </c>
      <c r="L24" t="s">
        <v>2588</v>
      </c>
    </row>
    <row r="25" spans="1:12" x14ac:dyDescent="0.25">
      <c r="A25">
        <v>100900</v>
      </c>
      <c r="B25" t="s">
        <v>102</v>
      </c>
      <c r="C25" t="s">
        <v>103</v>
      </c>
      <c r="D25" t="s">
        <v>104</v>
      </c>
      <c r="E25" t="s">
        <v>105</v>
      </c>
      <c r="F25" t="s">
        <v>2627</v>
      </c>
      <c r="G25" t="s">
        <v>81</v>
      </c>
      <c r="H25" t="s">
        <v>25</v>
      </c>
      <c r="I25">
        <v>9</v>
      </c>
      <c r="J25">
        <v>733</v>
      </c>
      <c r="K25" t="s">
        <v>32</v>
      </c>
      <c r="L25" t="s">
        <v>2588</v>
      </c>
    </row>
    <row r="26" spans="1:12" x14ac:dyDescent="0.25">
      <c r="A26">
        <v>100133</v>
      </c>
      <c r="B26" t="s">
        <v>107</v>
      </c>
      <c r="C26" t="s">
        <v>58</v>
      </c>
      <c r="D26" t="s">
        <v>108</v>
      </c>
      <c r="E26" t="s">
        <v>2628</v>
      </c>
      <c r="F26" t="s">
        <v>2629</v>
      </c>
      <c r="G26" t="s">
        <v>81</v>
      </c>
      <c r="H26" t="s">
        <v>2597</v>
      </c>
      <c r="I26">
        <v>21</v>
      </c>
      <c r="J26">
        <v>884</v>
      </c>
      <c r="K26" t="s">
        <v>32</v>
      </c>
      <c r="L26" t="s">
        <v>20</v>
      </c>
    </row>
    <row r="27" spans="1:12" x14ac:dyDescent="0.25">
      <c r="A27">
        <v>100887</v>
      </c>
      <c r="B27" t="s">
        <v>109</v>
      </c>
      <c r="C27" t="s">
        <v>110</v>
      </c>
      <c r="D27" t="s">
        <v>111</v>
      </c>
      <c r="E27" t="s">
        <v>112</v>
      </c>
      <c r="F27" t="s">
        <v>30</v>
      </c>
      <c r="G27" t="s">
        <v>2617</v>
      </c>
      <c r="H27" t="s">
        <v>2630</v>
      </c>
      <c r="I27">
        <v>13</v>
      </c>
      <c r="J27">
        <v>591</v>
      </c>
      <c r="K27" t="s">
        <v>19</v>
      </c>
      <c r="L27" t="s">
        <v>26</v>
      </c>
    </row>
    <row r="28" spans="1:12" x14ac:dyDescent="0.25">
      <c r="A28">
        <v>101031</v>
      </c>
      <c r="B28" t="s">
        <v>113</v>
      </c>
      <c r="C28" t="s">
        <v>95</v>
      </c>
      <c r="D28" t="s">
        <v>114</v>
      </c>
      <c r="E28" t="s">
        <v>115</v>
      </c>
      <c r="F28" t="s">
        <v>2613</v>
      </c>
      <c r="G28" t="s">
        <v>2631</v>
      </c>
      <c r="H28" t="s">
        <v>83</v>
      </c>
      <c r="I28">
        <v>0</v>
      </c>
      <c r="J28">
        <v>657</v>
      </c>
      <c r="K28" t="s">
        <v>32</v>
      </c>
      <c r="L28" t="s">
        <v>26</v>
      </c>
    </row>
    <row r="29" spans="1:12" x14ac:dyDescent="0.25">
      <c r="A29">
        <v>100027</v>
      </c>
      <c r="B29" t="s">
        <v>94</v>
      </c>
      <c r="C29" t="s">
        <v>95</v>
      </c>
      <c r="D29" t="s">
        <v>116</v>
      </c>
      <c r="E29" t="s">
        <v>117</v>
      </c>
      <c r="F29" t="s">
        <v>2608</v>
      </c>
      <c r="G29" t="s">
        <v>2611</v>
      </c>
      <c r="H29" t="s">
        <v>2620</v>
      </c>
      <c r="I29">
        <v>0</v>
      </c>
      <c r="J29">
        <v>360</v>
      </c>
      <c r="K29" t="s">
        <v>32</v>
      </c>
      <c r="L29" t="s">
        <v>20</v>
      </c>
    </row>
    <row r="30" spans="1:12" x14ac:dyDescent="0.25">
      <c r="A30">
        <v>100125</v>
      </c>
      <c r="B30" t="s">
        <v>118</v>
      </c>
      <c r="C30" t="s">
        <v>2632</v>
      </c>
      <c r="D30" t="s">
        <v>119</v>
      </c>
      <c r="E30" t="s">
        <v>120</v>
      </c>
      <c r="F30" t="s">
        <v>2598</v>
      </c>
      <c r="G30" t="s">
        <v>2633</v>
      </c>
      <c r="H30" t="s">
        <v>83</v>
      </c>
      <c r="I30">
        <v>0</v>
      </c>
      <c r="J30">
        <v>463</v>
      </c>
      <c r="K30" t="s">
        <v>37</v>
      </c>
      <c r="L30" t="s">
        <v>2588</v>
      </c>
    </row>
    <row r="31" spans="1:12" x14ac:dyDescent="0.25">
      <c r="A31">
        <v>101466</v>
      </c>
      <c r="B31" t="s">
        <v>121</v>
      </c>
      <c r="C31" t="s">
        <v>122</v>
      </c>
      <c r="D31" t="s">
        <v>123</v>
      </c>
      <c r="E31" t="s">
        <v>124</v>
      </c>
      <c r="F31" t="s">
        <v>2616</v>
      </c>
      <c r="G31" t="s">
        <v>2611</v>
      </c>
      <c r="H31" t="s">
        <v>2585</v>
      </c>
      <c r="I31">
        <v>29</v>
      </c>
      <c r="J31">
        <v>823</v>
      </c>
      <c r="K31" t="s">
        <v>37</v>
      </c>
      <c r="L31" t="s">
        <v>20</v>
      </c>
    </row>
    <row r="32" spans="1:12" x14ac:dyDescent="0.25">
      <c r="A32">
        <v>101801</v>
      </c>
      <c r="B32" t="s">
        <v>125</v>
      </c>
      <c r="C32" t="s">
        <v>2634</v>
      </c>
      <c r="D32" t="s">
        <v>127</v>
      </c>
      <c r="E32" t="s">
        <v>128</v>
      </c>
      <c r="F32" t="s">
        <v>30</v>
      </c>
      <c r="G32" t="s">
        <v>2635</v>
      </c>
      <c r="H32" t="s">
        <v>25</v>
      </c>
      <c r="I32">
        <v>26</v>
      </c>
      <c r="J32">
        <v>461</v>
      </c>
      <c r="K32" t="s">
        <v>37</v>
      </c>
      <c r="L32" t="s">
        <v>20</v>
      </c>
    </row>
    <row r="33" spans="1:12" x14ac:dyDescent="0.25">
      <c r="A33">
        <v>101894</v>
      </c>
      <c r="B33" t="s">
        <v>129</v>
      </c>
      <c r="C33" t="s">
        <v>13</v>
      </c>
      <c r="D33" t="s">
        <v>130</v>
      </c>
      <c r="E33" t="s">
        <v>2636</v>
      </c>
      <c r="F33" t="s">
        <v>2613</v>
      </c>
      <c r="G33" t="s">
        <v>2591</v>
      </c>
      <c r="H33" t="s">
        <v>25</v>
      </c>
      <c r="I33">
        <v>7</v>
      </c>
      <c r="J33">
        <v>336</v>
      </c>
      <c r="K33" t="s">
        <v>45</v>
      </c>
      <c r="L33" t="s">
        <v>26</v>
      </c>
    </row>
    <row r="34" spans="1:12" x14ac:dyDescent="0.25">
      <c r="A34">
        <v>100571</v>
      </c>
      <c r="B34" t="s">
        <v>131</v>
      </c>
      <c r="C34" t="s">
        <v>39</v>
      </c>
      <c r="D34" t="s">
        <v>132</v>
      </c>
      <c r="E34" t="s">
        <v>2637</v>
      </c>
      <c r="F34" t="s">
        <v>64</v>
      </c>
      <c r="G34" t="s">
        <v>2633</v>
      </c>
      <c r="H34" t="s">
        <v>18</v>
      </c>
      <c r="I34">
        <v>0</v>
      </c>
      <c r="J34">
        <v>867</v>
      </c>
      <c r="K34" t="s">
        <v>32</v>
      </c>
      <c r="L34" t="s">
        <v>2582</v>
      </c>
    </row>
    <row r="35" spans="1:12" x14ac:dyDescent="0.25">
      <c r="A35">
        <v>100896</v>
      </c>
      <c r="B35" t="s">
        <v>133</v>
      </c>
      <c r="C35" t="s">
        <v>134</v>
      </c>
      <c r="D35" t="s">
        <v>135</v>
      </c>
      <c r="E35" t="s">
        <v>2638</v>
      </c>
      <c r="F35" t="s">
        <v>2593</v>
      </c>
      <c r="G35" t="s">
        <v>55</v>
      </c>
      <c r="H35" t="s">
        <v>18</v>
      </c>
      <c r="I35">
        <v>0</v>
      </c>
      <c r="J35">
        <v>345</v>
      </c>
      <c r="K35" t="s">
        <v>45</v>
      </c>
      <c r="L35" t="s">
        <v>20</v>
      </c>
    </row>
    <row r="36" spans="1:12" x14ac:dyDescent="0.25">
      <c r="A36">
        <v>101095</v>
      </c>
      <c r="B36" t="s">
        <v>136</v>
      </c>
      <c r="C36" t="s">
        <v>58</v>
      </c>
      <c r="D36" t="s">
        <v>137</v>
      </c>
      <c r="E36" t="s">
        <v>2639</v>
      </c>
      <c r="F36" t="s">
        <v>2640</v>
      </c>
      <c r="G36" t="s">
        <v>2596</v>
      </c>
      <c r="H36" t="s">
        <v>83</v>
      </c>
      <c r="I36">
        <v>0</v>
      </c>
      <c r="J36">
        <v>540</v>
      </c>
      <c r="K36" t="s">
        <v>56</v>
      </c>
      <c r="L36" t="s">
        <v>2582</v>
      </c>
    </row>
    <row r="37" spans="1:12" x14ac:dyDescent="0.25">
      <c r="A37">
        <v>101050</v>
      </c>
      <c r="B37" t="s">
        <v>138</v>
      </c>
      <c r="C37" t="s">
        <v>85</v>
      </c>
      <c r="D37" t="s">
        <v>139</v>
      </c>
      <c r="E37" t="s">
        <v>140</v>
      </c>
      <c r="F37" t="s">
        <v>2590</v>
      </c>
      <c r="G37" t="s">
        <v>31</v>
      </c>
      <c r="H37" t="s">
        <v>2581</v>
      </c>
      <c r="I37">
        <v>0</v>
      </c>
      <c r="J37">
        <v>623</v>
      </c>
      <c r="K37" t="s">
        <v>45</v>
      </c>
      <c r="L37" t="s">
        <v>26</v>
      </c>
    </row>
    <row r="38" spans="1:12" x14ac:dyDescent="0.25">
      <c r="A38">
        <v>101662</v>
      </c>
      <c r="B38" t="s">
        <v>141</v>
      </c>
      <c r="C38" t="s">
        <v>142</v>
      </c>
      <c r="D38" t="s">
        <v>143</v>
      </c>
      <c r="E38" t="s">
        <v>144</v>
      </c>
      <c r="F38" t="s">
        <v>2629</v>
      </c>
      <c r="G38" t="s">
        <v>55</v>
      </c>
      <c r="H38" t="s">
        <v>2620</v>
      </c>
      <c r="I38">
        <v>0</v>
      </c>
      <c r="J38">
        <v>430</v>
      </c>
      <c r="K38" t="s">
        <v>19</v>
      </c>
      <c r="L38" t="s">
        <v>20</v>
      </c>
    </row>
    <row r="39" spans="1:12" x14ac:dyDescent="0.25">
      <c r="A39">
        <v>100296</v>
      </c>
      <c r="B39" t="s">
        <v>145</v>
      </c>
      <c r="C39" t="s">
        <v>52</v>
      </c>
      <c r="D39" t="s">
        <v>146</v>
      </c>
      <c r="E39" t="s">
        <v>147</v>
      </c>
      <c r="F39" t="s">
        <v>2641</v>
      </c>
      <c r="G39" t="s">
        <v>2591</v>
      </c>
      <c r="H39" t="s">
        <v>2630</v>
      </c>
      <c r="I39">
        <v>22</v>
      </c>
      <c r="J39">
        <v>435</v>
      </c>
      <c r="K39" t="s">
        <v>32</v>
      </c>
      <c r="L39" t="s">
        <v>20</v>
      </c>
    </row>
    <row r="40" spans="1:12" x14ac:dyDescent="0.25">
      <c r="A40">
        <v>102160</v>
      </c>
      <c r="B40" t="s">
        <v>148</v>
      </c>
      <c r="C40" t="s">
        <v>149</v>
      </c>
      <c r="D40" t="s">
        <v>150</v>
      </c>
      <c r="E40" t="s">
        <v>2642</v>
      </c>
      <c r="F40" t="s">
        <v>2643</v>
      </c>
      <c r="G40" t="s">
        <v>60</v>
      </c>
      <c r="H40" t="s">
        <v>2644</v>
      </c>
      <c r="I40">
        <v>0</v>
      </c>
      <c r="J40">
        <v>876</v>
      </c>
      <c r="K40" t="s">
        <v>19</v>
      </c>
      <c r="L40" t="s">
        <v>26</v>
      </c>
    </row>
    <row r="41" spans="1:12" x14ac:dyDescent="0.25">
      <c r="A41">
        <v>101237</v>
      </c>
      <c r="B41" t="s">
        <v>151</v>
      </c>
      <c r="C41" t="s">
        <v>152</v>
      </c>
      <c r="D41" t="s">
        <v>153</v>
      </c>
      <c r="E41" t="s">
        <v>2645</v>
      </c>
      <c r="F41" t="s">
        <v>2646</v>
      </c>
      <c r="G41" t="s">
        <v>2596</v>
      </c>
      <c r="H41" t="s">
        <v>2644</v>
      </c>
      <c r="I41">
        <v>0</v>
      </c>
      <c r="J41">
        <v>534</v>
      </c>
      <c r="K41" t="s">
        <v>32</v>
      </c>
    </row>
    <row r="42" spans="1:12" x14ac:dyDescent="0.25">
      <c r="A42">
        <v>101806</v>
      </c>
      <c r="B42" t="s">
        <v>84</v>
      </c>
      <c r="C42" t="s">
        <v>85</v>
      </c>
      <c r="D42" t="s">
        <v>154</v>
      </c>
      <c r="E42" t="s">
        <v>2647</v>
      </c>
      <c r="F42" t="s">
        <v>2648</v>
      </c>
      <c r="G42" t="s">
        <v>60</v>
      </c>
      <c r="H42" t="s">
        <v>2620</v>
      </c>
      <c r="I42">
        <v>0</v>
      </c>
      <c r="J42">
        <v>400</v>
      </c>
      <c r="K42" t="s">
        <v>32</v>
      </c>
      <c r="L42" t="s">
        <v>2582</v>
      </c>
    </row>
    <row r="43" spans="1:12" x14ac:dyDescent="0.25">
      <c r="A43">
        <v>101603</v>
      </c>
      <c r="B43" t="s">
        <v>155</v>
      </c>
      <c r="C43" t="s">
        <v>2649</v>
      </c>
      <c r="D43" t="s">
        <v>156</v>
      </c>
      <c r="E43" t="s">
        <v>2650</v>
      </c>
      <c r="F43" t="s">
        <v>2627</v>
      </c>
      <c r="G43" t="s">
        <v>2609</v>
      </c>
      <c r="H43" t="s">
        <v>2581</v>
      </c>
      <c r="I43">
        <v>0</v>
      </c>
      <c r="J43">
        <v>339</v>
      </c>
      <c r="L43" t="s">
        <v>20</v>
      </c>
    </row>
    <row r="44" spans="1:12" x14ac:dyDescent="0.25">
      <c r="A44">
        <v>101624</v>
      </c>
      <c r="B44" t="s">
        <v>157</v>
      </c>
      <c r="C44" t="s">
        <v>103</v>
      </c>
      <c r="D44" t="s">
        <v>158</v>
      </c>
      <c r="E44" t="s">
        <v>159</v>
      </c>
      <c r="F44" t="s">
        <v>2590</v>
      </c>
      <c r="G44" t="s">
        <v>2584</v>
      </c>
      <c r="H44" t="s">
        <v>2618</v>
      </c>
      <c r="I44">
        <v>0</v>
      </c>
      <c r="J44">
        <v>897</v>
      </c>
      <c r="K44" t="s">
        <v>56</v>
      </c>
      <c r="L44" t="s">
        <v>26</v>
      </c>
    </row>
    <row r="45" spans="1:12" x14ac:dyDescent="0.25">
      <c r="A45">
        <v>102178</v>
      </c>
      <c r="B45" t="s">
        <v>160</v>
      </c>
      <c r="C45" t="s">
        <v>72</v>
      </c>
      <c r="D45" t="s">
        <v>161</v>
      </c>
      <c r="E45" t="s">
        <v>2651</v>
      </c>
      <c r="F45" t="s">
        <v>2627</v>
      </c>
      <c r="G45" t="s">
        <v>2652</v>
      </c>
      <c r="H45" t="s">
        <v>2644</v>
      </c>
      <c r="I45">
        <v>0</v>
      </c>
      <c r="J45">
        <v>585</v>
      </c>
      <c r="K45" t="s">
        <v>19</v>
      </c>
      <c r="L45" t="s">
        <v>26</v>
      </c>
    </row>
    <row r="46" spans="1:12" x14ac:dyDescent="0.25">
      <c r="A46">
        <v>101734</v>
      </c>
      <c r="B46" t="s">
        <v>162</v>
      </c>
      <c r="C46" t="s">
        <v>13</v>
      </c>
      <c r="D46" t="s">
        <v>163</v>
      </c>
      <c r="E46" t="s">
        <v>2653</v>
      </c>
      <c r="F46" t="s">
        <v>2654</v>
      </c>
      <c r="G46" t="s">
        <v>31</v>
      </c>
      <c r="H46" t="s">
        <v>2581</v>
      </c>
      <c r="I46">
        <v>0</v>
      </c>
      <c r="J46">
        <v>410</v>
      </c>
      <c r="K46" t="s">
        <v>37</v>
      </c>
      <c r="L46" t="s">
        <v>26</v>
      </c>
    </row>
    <row r="47" spans="1:12" x14ac:dyDescent="0.25">
      <c r="A47">
        <v>101343</v>
      </c>
      <c r="B47" t="s">
        <v>164</v>
      </c>
      <c r="C47" t="s">
        <v>126</v>
      </c>
      <c r="D47" t="s">
        <v>165</v>
      </c>
      <c r="E47" t="s">
        <v>166</v>
      </c>
      <c r="F47" t="s">
        <v>50</v>
      </c>
      <c r="G47" t="s">
        <v>31</v>
      </c>
      <c r="H47" t="s">
        <v>2620</v>
      </c>
      <c r="J47">
        <v>722</v>
      </c>
      <c r="K47" t="s">
        <v>32</v>
      </c>
      <c r="L47" t="s">
        <v>2582</v>
      </c>
    </row>
    <row r="48" spans="1:12" x14ac:dyDescent="0.25">
      <c r="A48">
        <v>101302</v>
      </c>
      <c r="B48" t="s">
        <v>167</v>
      </c>
      <c r="C48" t="s">
        <v>2655</v>
      </c>
      <c r="D48" t="s">
        <v>169</v>
      </c>
      <c r="E48" t="s">
        <v>2656</v>
      </c>
      <c r="F48" t="s">
        <v>2579</v>
      </c>
      <c r="G48" t="s">
        <v>2607</v>
      </c>
      <c r="H48" t="s">
        <v>2630</v>
      </c>
      <c r="I48">
        <v>10</v>
      </c>
      <c r="J48">
        <v>658</v>
      </c>
      <c r="K48" t="s">
        <v>56</v>
      </c>
      <c r="L48" t="s">
        <v>2588</v>
      </c>
    </row>
    <row r="49" spans="1:12" x14ac:dyDescent="0.25">
      <c r="A49">
        <v>100222</v>
      </c>
      <c r="B49" t="s">
        <v>170</v>
      </c>
      <c r="C49" t="s">
        <v>85</v>
      </c>
      <c r="D49" t="s">
        <v>171</v>
      </c>
      <c r="E49" t="s">
        <v>2657</v>
      </c>
      <c r="F49" t="s">
        <v>41</v>
      </c>
      <c r="G49" t="s">
        <v>2631</v>
      </c>
      <c r="H49" t="s">
        <v>2585</v>
      </c>
      <c r="I49">
        <v>7</v>
      </c>
      <c r="J49">
        <v>869</v>
      </c>
      <c r="K49" t="s">
        <v>37</v>
      </c>
      <c r="L49" t="s">
        <v>2588</v>
      </c>
    </row>
    <row r="50" spans="1:12" x14ac:dyDescent="0.25">
      <c r="A50">
        <v>100499</v>
      </c>
      <c r="B50" t="s">
        <v>21</v>
      </c>
      <c r="C50" t="s">
        <v>22</v>
      </c>
      <c r="D50" t="s">
        <v>172</v>
      </c>
      <c r="E50" t="s">
        <v>173</v>
      </c>
      <c r="F50" t="s">
        <v>2629</v>
      </c>
      <c r="G50" t="s">
        <v>2658</v>
      </c>
      <c r="H50" t="s">
        <v>2581</v>
      </c>
      <c r="I50">
        <v>0</v>
      </c>
      <c r="J50">
        <v>771</v>
      </c>
      <c r="K50" t="s">
        <v>45</v>
      </c>
      <c r="L50" t="s">
        <v>2588</v>
      </c>
    </row>
    <row r="51" spans="1:12" x14ac:dyDescent="0.25">
      <c r="A51">
        <v>100308</v>
      </c>
      <c r="B51" t="s">
        <v>174</v>
      </c>
      <c r="C51" t="s">
        <v>134</v>
      </c>
      <c r="D51" t="s">
        <v>175</v>
      </c>
      <c r="E51" t="s">
        <v>2659</v>
      </c>
      <c r="F51" t="s">
        <v>64</v>
      </c>
      <c r="G51" t="s">
        <v>2652</v>
      </c>
      <c r="H51" t="s">
        <v>2587</v>
      </c>
      <c r="I51">
        <v>0</v>
      </c>
      <c r="J51">
        <v>554</v>
      </c>
      <c r="K51" t="s">
        <v>37</v>
      </c>
      <c r="L51" t="s">
        <v>2582</v>
      </c>
    </row>
    <row r="52" spans="1:12" x14ac:dyDescent="0.25">
      <c r="A52">
        <v>100208</v>
      </c>
      <c r="B52" t="s">
        <v>176</v>
      </c>
      <c r="C52" t="s">
        <v>58</v>
      </c>
      <c r="E52" t="s">
        <v>2660</v>
      </c>
      <c r="F52" t="s">
        <v>2646</v>
      </c>
      <c r="G52" t="s">
        <v>2596</v>
      </c>
      <c r="H52" t="s">
        <v>2630</v>
      </c>
      <c r="I52">
        <v>12</v>
      </c>
      <c r="J52">
        <v>528</v>
      </c>
      <c r="K52" t="s">
        <v>56</v>
      </c>
      <c r="L52" t="s">
        <v>2588</v>
      </c>
    </row>
    <row r="53" spans="1:12" x14ac:dyDescent="0.25">
      <c r="A53">
        <v>100070</v>
      </c>
      <c r="B53" t="s">
        <v>177</v>
      </c>
      <c r="C53" t="s">
        <v>85</v>
      </c>
      <c r="D53" t="s">
        <v>178</v>
      </c>
      <c r="E53" t="s">
        <v>2661</v>
      </c>
      <c r="F53" t="s">
        <v>2654</v>
      </c>
      <c r="G53" t="s">
        <v>2596</v>
      </c>
      <c r="H53" t="s">
        <v>2587</v>
      </c>
      <c r="I53">
        <v>0</v>
      </c>
      <c r="J53">
        <v>375</v>
      </c>
      <c r="K53" t="s">
        <v>32</v>
      </c>
      <c r="L53" t="s">
        <v>26</v>
      </c>
    </row>
    <row r="54" spans="1:12" x14ac:dyDescent="0.25">
      <c r="A54">
        <v>100031</v>
      </c>
      <c r="B54" t="s">
        <v>179</v>
      </c>
      <c r="C54" t="s">
        <v>149</v>
      </c>
      <c r="D54" t="s">
        <v>180</v>
      </c>
      <c r="E54" t="s">
        <v>181</v>
      </c>
      <c r="F54" t="s">
        <v>2608</v>
      </c>
      <c r="G54" t="s">
        <v>2599</v>
      </c>
      <c r="H54" t="s">
        <v>2581</v>
      </c>
      <c r="I54">
        <v>0</v>
      </c>
      <c r="J54">
        <v>518</v>
      </c>
      <c r="K54" t="s">
        <v>19</v>
      </c>
      <c r="L54" t="s">
        <v>20</v>
      </c>
    </row>
    <row r="55" spans="1:12" x14ac:dyDescent="0.25">
      <c r="A55">
        <v>100267</v>
      </c>
      <c r="B55" t="s">
        <v>157</v>
      </c>
      <c r="C55" t="s">
        <v>103</v>
      </c>
      <c r="D55" t="s">
        <v>182</v>
      </c>
      <c r="E55" t="s">
        <v>183</v>
      </c>
      <c r="F55" t="s">
        <v>2604</v>
      </c>
      <c r="G55" t="s">
        <v>60</v>
      </c>
      <c r="H55" t="s">
        <v>2581</v>
      </c>
      <c r="I55">
        <v>0</v>
      </c>
      <c r="J55">
        <v>897</v>
      </c>
      <c r="K55" t="s">
        <v>45</v>
      </c>
      <c r="L55" t="s">
        <v>20</v>
      </c>
    </row>
    <row r="56" spans="1:12" x14ac:dyDescent="0.25">
      <c r="A56">
        <v>100919</v>
      </c>
      <c r="B56" t="s">
        <v>184</v>
      </c>
      <c r="C56" t="s">
        <v>62</v>
      </c>
      <c r="E56" t="s">
        <v>185</v>
      </c>
      <c r="F56" t="s">
        <v>50</v>
      </c>
      <c r="G56" t="s">
        <v>2609</v>
      </c>
      <c r="H56" t="s">
        <v>2597</v>
      </c>
      <c r="I56">
        <v>11</v>
      </c>
      <c r="J56">
        <v>571</v>
      </c>
      <c r="K56" t="s">
        <v>56</v>
      </c>
      <c r="L56" t="s">
        <v>20</v>
      </c>
    </row>
    <row r="57" spans="1:12" x14ac:dyDescent="0.25">
      <c r="A57">
        <v>101779</v>
      </c>
      <c r="B57" t="s">
        <v>186</v>
      </c>
      <c r="C57" t="s">
        <v>187</v>
      </c>
      <c r="D57" t="s">
        <v>188</v>
      </c>
      <c r="E57" t="s">
        <v>189</v>
      </c>
      <c r="F57" t="s">
        <v>2616</v>
      </c>
      <c r="G57" t="s">
        <v>2611</v>
      </c>
      <c r="H57" t="s">
        <v>25</v>
      </c>
      <c r="I57">
        <v>16</v>
      </c>
      <c r="J57">
        <v>709</v>
      </c>
      <c r="K57" t="s">
        <v>56</v>
      </c>
      <c r="L57" t="s">
        <v>20</v>
      </c>
    </row>
    <row r="58" spans="1:12" x14ac:dyDescent="0.25">
      <c r="A58">
        <v>101927</v>
      </c>
      <c r="B58" t="s">
        <v>113</v>
      </c>
      <c r="C58" t="s">
        <v>95</v>
      </c>
      <c r="D58" t="s">
        <v>190</v>
      </c>
      <c r="E58" t="s">
        <v>191</v>
      </c>
      <c r="F58" t="s">
        <v>2654</v>
      </c>
      <c r="G58" t="s">
        <v>2614</v>
      </c>
      <c r="H58" t="s">
        <v>2620</v>
      </c>
      <c r="I58">
        <v>0</v>
      </c>
      <c r="J58">
        <v>657</v>
      </c>
      <c r="K58" t="s">
        <v>56</v>
      </c>
      <c r="L58" t="s">
        <v>2582</v>
      </c>
    </row>
    <row r="59" spans="1:12" x14ac:dyDescent="0.25">
      <c r="A59">
        <v>102142</v>
      </c>
      <c r="B59" t="s">
        <v>107</v>
      </c>
      <c r="C59" t="s">
        <v>58</v>
      </c>
      <c r="D59" t="s">
        <v>192</v>
      </c>
      <c r="E59" t="s">
        <v>193</v>
      </c>
      <c r="F59" t="s">
        <v>2604</v>
      </c>
      <c r="G59" t="s">
        <v>2611</v>
      </c>
      <c r="H59" t="s">
        <v>2618</v>
      </c>
      <c r="I59">
        <v>0</v>
      </c>
      <c r="J59">
        <v>884</v>
      </c>
      <c r="K59" t="s">
        <v>19</v>
      </c>
      <c r="L59" t="s">
        <v>2582</v>
      </c>
    </row>
    <row r="60" spans="1:12" x14ac:dyDescent="0.25">
      <c r="A60">
        <v>101812</v>
      </c>
      <c r="B60" t="s">
        <v>194</v>
      </c>
      <c r="C60" t="s">
        <v>47</v>
      </c>
      <c r="D60" t="s">
        <v>195</v>
      </c>
      <c r="E60" t="s">
        <v>2662</v>
      </c>
      <c r="F60" t="s">
        <v>2598</v>
      </c>
      <c r="G60" t="s">
        <v>2633</v>
      </c>
      <c r="H60" t="s">
        <v>2585</v>
      </c>
      <c r="I60">
        <v>27</v>
      </c>
      <c r="J60">
        <v>308</v>
      </c>
      <c r="K60" t="s">
        <v>32</v>
      </c>
      <c r="L60" t="s">
        <v>2582</v>
      </c>
    </row>
    <row r="61" spans="1:12" x14ac:dyDescent="0.25">
      <c r="A61">
        <v>101912</v>
      </c>
      <c r="B61" t="s">
        <v>196</v>
      </c>
      <c r="C61" t="s">
        <v>152</v>
      </c>
      <c r="D61" t="s">
        <v>197</v>
      </c>
      <c r="E61" t="s">
        <v>2663</v>
      </c>
      <c r="F61" t="s">
        <v>50</v>
      </c>
      <c r="G61" t="s">
        <v>2614</v>
      </c>
      <c r="H61" t="s">
        <v>2587</v>
      </c>
      <c r="I61">
        <v>0</v>
      </c>
      <c r="J61">
        <v>405</v>
      </c>
      <c r="K61" t="s">
        <v>45</v>
      </c>
      <c r="L61" t="s">
        <v>2588</v>
      </c>
    </row>
    <row r="62" spans="1:12" x14ac:dyDescent="0.25">
      <c r="A62">
        <v>100719</v>
      </c>
      <c r="B62" t="s">
        <v>198</v>
      </c>
      <c r="C62" t="s">
        <v>2664</v>
      </c>
      <c r="D62" t="s">
        <v>199</v>
      </c>
      <c r="E62" t="s">
        <v>2665</v>
      </c>
      <c r="F62" t="s">
        <v>64</v>
      </c>
      <c r="H62" t="s">
        <v>2587</v>
      </c>
      <c r="I62">
        <v>0</v>
      </c>
      <c r="J62">
        <v>555</v>
      </c>
      <c r="L62" t="s">
        <v>26</v>
      </c>
    </row>
    <row r="63" spans="1:12" x14ac:dyDescent="0.25">
      <c r="A63">
        <v>101392</v>
      </c>
      <c r="B63" t="s">
        <v>200</v>
      </c>
      <c r="C63" t="s">
        <v>2649</v>
      </c>
      <c r="E63" t="s">
        <v>201</v>
      </c>
      <c r="F63" t="s">
        <v>50</v>
      </c>
      <c r="G63" t="s">
        <v>81</v>
      </c>
      <c r="H63" t="s">
        <v>2594</v>
      </c>
      <c r="I63">
        <v>41</v>
      </c>
      <c r="J63">
        <v>784</v>
      </c>
      <c r="K63" t="s">
        <v>56</v>
      </c>
      <c r="L63" t="s">
        <v>26</v>
      </c>
    </row>
    <row r="64" spans="1:12" x14ac:dyDescent="0.25">
      <c r="A64">
        <v>100435</v>
      </c>
      <c r="B64" t="s">
        <v>202</v>
      </c>
      <c r="C64" t="s">
        <v>95</v>
      </c>
      <c r="D64" t="s">
        <v>203</v>
      </c>
      <c r="E64" t="s">
        <v>2666</v>
      </c>
      <c r="F64" t="s">
        <v>64</v>
      </c>
      <c r="G64" t="s">
        <v>2652</v>
      </c>
      <c r="H64" t="s">
        <v>2623</v>
      </c>
      <c r="I64">
        <v>96</v>
      </c>
      <c r="J64">
        <v>570</v>
      </c>
      <c r="K64" t="s">
        <v>37</v>
      </c>
      <c r="L64" t="s">
        <v>2582</v>
      </c>
    </row>
    <row r="65" spans="1:12" x14ac:dyDescent="0.25">
      <c r="A65">
        <v>100020</v>
      </c>
      <c r="B65" t="s">
        <v>204</v>
      </c>
      <c r="C65" t="s">
        <v>152</v>
      </c>
      <c r="D65" t="s">
        <v>205</v>
      </c>
      <c r="E65" t="s">
        <v>206</v>
      </c>
      <c r="F65" t="s">
        <v>2613</v>
      </c>
      <c r="G65" t="s">
        <v>2596</v>
      </c>
      <c r="H65" t="s">
        <v>2594</v>
      </c>
      <c r="I65">
        <v>146</v>
      </c>
      <c r="J65">
        <v>362</v>
      </c>
      <c r="K65" t="s">
        <v>56</v>
      </c>
      <c r="L65" t="s">
        <v>2588</v>
      </c>
    </row>
    <row r="66" spans="1:12" x14ac:dyDescent="0.25">
      <c r="A66">
        <v>100363</v>
      </c>
      <c r="B66" t="s">
        <v>207</v>
      </c>
      <c r="C66" t="s">
        <v>2667</v>
      </c>
      <c r="D66" t="s">
        <v>208</v>
      </c>
      <c r="E66" t="s">
        <v>209</v>
      </c>
      <c r="F66" t="s">
        <v>50</v>
      </c>
      <c r="G66" t="s">
        <v>55</v>
      </c>
      <c r="H66" t="s">
        <v>83</v>
      </c>
      <c r="I66">
        <v>0</v>
      </c>
      <c r="J66">
        <v>360</v>
      </c>
      <c r="K66" t="s">
        <v>32</v>
      </c>
      <c r="L66" t="s">
        <v>20</v>
      </c>
    </row>
    <row r="67" spans="1:12" x14ac:dyDescent="0.25">
      <c r="A67">
        <v>101222</v>
      </c>
      <c r="B67" t="s">
        <v>210</v>
      </c>
      <c r="C67" t="s">
        <v>95</v>
      </c>
      <c r="D67" t="s">
        <v>211</v>
      </c>
      <c r="E67" t="s">
        <v>2668</v>
      </c>
      <c r="F67" t="s">
        <v>2616</v>
      </c>
      <c r="G67" t="s">
        <v>2600</v>
      </c>
      <c r="H67" t="s">
        <v>18</v>
      </c>
      <c r="J67">
        <v>369</v>
      </c>
      <c r="L67" t="s">
        <v>26</v>
      </c>
    </row>
    <row r="68" spans="1:12" x14ac:dyDescent="0.25">
      <c r="A68">
        <v>101594</v>
      </c>
      <c r="B68" t="s">
        <v>212</v>
      </c>
      <c r="C68" t="s">
        <v>95</v>
      </c>
      <c r="D68" t="s">
        <v>150</v>
      </c>
      <c r="E68" t="s">
        <v>2669</v>
      </c>
      <c r="F68" t="s">
        <v>50</v>
      </c>
      <c r="G68" t="s">
        <v>2596</v>
      </c>
      <c r="H68" t="s">
        <v>2585</v>
      </c>
      <c r="I68">
        <v>27</v>
      </c>
      <c r="J68">
        <v>662</v>
      </c>
      <c r="K68" t="s">
        <v>45</v>
      </c>
      <c r="L68" t="s">
        <v>2582</v>
      </c>
    </row>
    <row r="69" spans="1:12" x14ac:dyDescent="0.25">
      <c r="A69">
        <v>101281</v>
      </c>
      <c r="B69" t="s">
        <v>213</v>
      </c>
      <c r="C69" t="s">
        <v>58</v>
      </c>
      <c r="D69" t="s">
        <v>214</v>
      </c>
      <c r="E69" t="s">
        <v>2670</v>
      </c>
      <c r="F69" t="s">
        <v>30</v>
      </c>
      <c r="G69" t="s">
        <v>2609</v>
      </c>
      <c r="H69" t="s">
        <v>42</v>
      </c>
      <c r="I69">
        <v>136</v>
      </c>
      <c r="J69">
        <v>324</v>
      </c>
      <c r="K69" t="s">
        <v>19</v>
      </c>
      <c r="L69" t="s">
        <v>2582</v>
      </c>
    </row>
    <row r="70" spans="1:12" x14ac:dyDescent="0.25">
      <c r="A70">
        <v>101759</v>
      </c>
      <c r="B70" t="s">
        <v>215</v>
      </c>
      <c r="C70" t="s">
        <v>126</v>
      </c>
      <c r="D70" t="s">
        <v>216</v>
      </c>
      <c r="F70" t="s">
        <v>2604</v>
      </c>
      <c r="G70" t="s">
        <v>2614</v>
      </c>
      <c r="H70" t="s">
        <v>2620</v>
      </c>
      <c r="I70">
        <v>0</v>
      </c>
      <c r="J70">
        <v>395</v>
      </c>
      <c r="K70" t="s">
        <v>32</v>
      </c>
      <c r="L70" t="s">
        <v>26</v>
      </c>
    </row>
    <row r="71" spans="1:12" x14ac:dyDescent="0.25">
      <c r="A71">
        <v>101178</v>
      </c>
      <c r="B71" t="s">
        <v>217</v>
      </c>
      <c r="C71" t="s">
        <v>218</v>
      </c>
      <c r="D71" t="s">
        <v>219</v>
      </c>
      <c r="E71" t="s">
        <v>2671</v>
      </c>
      <c r="F71" t="s">
        <v>2613</v>
      </c>
      <c r="H71" t="s">
        <v>83</v>
      </c>
      <c r="I71">
        <v>0</v>
      </c>
      <c r="J71">
        <v>894</v>
      </c>
      <c r="K71" t="s">
        <v>32</v>
      </c>
      <c r="L71" t="s">
        <v>20</v>
      </c>
    </row>
    <row r="72" spans="1:12" x14ac:dyDescent="0.25">
      <c r="A72">
        <v>101874</v>
      </c>
      <c r="B72" t="s">
        <v>220</v>
      </c>
      <c r="C72" t="s">
        <v>152</v>
      </c>
      <c r="D72" t="s">
        <v>221</v>
      </c>
      <c r="E72" t="s">
        <v>2672</v>
      </c>
      <c r="F72" t="s">
        <v>2627</v>
      </c>
      <c r="G72" t="s">
        <v>2580</v>
      </c>
      <c r="H72" t="s">
        <v>2597</v>
      </c>
      <c r="I72">
        <v>20</v>
      </c>
      <c r="J72">
        <v>710</v>
      </c>
      <c r="K72" t="s">
        <v>56</v>
      </c>
      <c r="L72" t="s">
        <v>26</v>
      </c>
    </row>
    <row r="73" spans="1:12" x14ac:dyDescent="0.25">
      <c r="A73">
        <v>100502</v>
      </c>
      <c r="B73" t="s">
        <v>222</v>
      </c>
      <c r="C73" t="s">
        <v>100</v>
      </c>
      <c r="D73" t="s">
        <v>223</v>
      </c>
      <c r="E73" t="s">
        <v>224</v>
      </c>
      <c r="F73" t="s">
        <v>30</v>
      </c>
      <c r="G73" t="s">
        <v>2600</v>
      </c>
      <c r="H73" t="s">
        <v>2618</v>
      </c>
      <c r="I73">
        <v>0</v>
      </c>
      <c r="J73">
        <v>585</v>
      </c>
      <c r="K73" t="s">
        <v>37</v>
      </c>
      <c r="L73" t="s">
        <v>2588</v>
      </c>
    </row>
    <row r="74" spans="1:12" x14ac:dyDescent="0.25">
      <c r="A74">
        <v>101167</v>
      </c>
      <c r="B74" t="s">
        <v>225</v>
      </c>
      <c r="C74" t="s">
        <v>142</v>
      </c>
      <c r="D74" t="s">
        <v>226</v>
      </c>
      <c r="E74" t="s">
        <v>227</v>
      </c>
      <c r="F74" t="s">
        <v>64</v>
      </c>
      <c r="G74" t="s">
        <v>2635</v>
      </c>
      <c r="H74" t="s">
        <v>2594</v>
      </c>
      <c r="I74">
        <v>98</v>
      </c>
      <c r="J74">
        <v>741</v>
      </c>
      <c r="K74" t="s">
        <v>45</v>
      </c>
      <c r="L74" t="s">
        <v>20</v>
      </c>
    </row>
    <row r="75" spans="1:12" x14ac:dyDescent="0.25">
      <c r="A75">
        <v>101678</v>
      </c>
      <c r="B75" t="s">
        <v>91</v>
      </c>
      <c r="C75" t="s">
        <v>58</v>
      </c>
      <c r="D75" t="s">
        <v>228</v>
      </c>
      <c r="E75" t="s">
        <v>229</v>
      </c>
      <c r="F75" t="s">
        <v>41</v>
      </c>
      <c r="G75" t="s">
        <v>2599</v>
      </c>
      <c r="H75" t="s">
        <v>2581</v>
      </c>
      <c r="I75">
        <v>0</v>
      </c>
      <c r="J75">
        <v>769</v>
      </c>
      <c r="K75" t="s">
        <v>32</v>
      </c>
      <c r="L75" t="s">
        <v>2588</v>
      </c>
    </row>
    <row r="76" spans="1:12" x14ac:dyDescent="0.25">
      <c r="A76">
        <v>100089</v>
      </c>
      <c r="B76" t="s">
        <v>230</v>
      </c>
      <c r="C76" t="s">
        <v>95</v>
      </c>
      <c r="D76" t="s">
        <v>231</v>
      </c>
      <c r="E76" t="s">
        <v>2673</v>
      </c>
      <c r="F76" t="s">
        <v>2654</v>
      </c>
      <c r="G76" t="s">
        <v>31</v>
      </c>
      <c r="H76" t="s">
        <v>2587</v>
      </c>
      <c r="I76">
        <v>0</v>
      </c>
      <c r="J76">
        <v>818</v>
      </c>
      <c r="K76" t="s">
        <v>45</v>
      </c>
      <c r="L76" t="s">
        <v>2588</v>
      </c>
    </row>
    <row r="77" spans="1:12" x14ac:dyDescent="0.25">
      <c r="A77">
        <v>101364</v>
      </c>
      <c r="B77" t="s">
        <v>232</v>
      </c>
      <c r="C77" t="s">
        <v>152</v>
      </c>
      <c r="D77" t="s">
        <v>233</v>
      </c>
      <c r="E77" t="s">
        <v>2674</v>
      </c>
      <c r="F77" t="s">
        <v>2616</v>
      </c>
      <c r="G77" t="s">
        <v>2600</v>
      </c>
      <c r="H77" t="s">
        <v>2618</v>
      </c>
      <c r="I77">
        <v>0</v>
      </c>
      <c r="J77">
        <v>781</v>
      </c>
      <c r="K77" t="s">
        <v>37</v>
      </c>
      <c r="L77" t="s">
        <v>26</v>
      </c>
    </row>
    <row r="78" spans="1:12" x14ac:dyDescent="0.25">
      <c r="A78">
        <v>101197</v>
      </c>
      <c r="B78" t="s">
        <v>234</v>
      </c>
      <c r="C78" t="s">
        <v>2649</v>
      </c>
      <c r="D78" t="s">
        <v>235</v>
      </c>
      <c r="E78" t="s">
        <v>2675</v>
      </c>
      <c r="F78" t="s">
        <v>2583</v>
      </c>
      <c r="G78" t="s">
        <v>60</v>
      </c>
      <c r="H78" t="s">
        <v>2581</v>
      </c>
      <c r="I78">
        <v>0</v>
      </c>
      <c r="J78">
        <v>494</v>
      </c>
      <c r="K78" t="s">
        <v>19</v>
      </c>
      <c r="L78" t="s">
        <v>2582</v>
      </c>
    </row>
    <row r="79" spans="1:12" x14ac:dyDescent="0.25">
      <c r="A79">
        <v>100317</v>
      </c>
      <c r="B79" t="s">
        <v>236</v>
      </c>
      <c r="C79" t="s">
        <v>47</v>
      </c>
      <c r="D79" t="s">
        <v>237</v>
      </c>
      <c r="E79" t="s">
        <v>2676</v>
      </c>
      <c r="F79" t="s">
        <v>64</v>
      </c>
      <c r="G79" t="s">
        <v>2614</v>
      </c>
      <c r="H79" t="s">
        <v>2644</v>
      </c>
      <c r="I79">
        <v>0</v>
      </c>
      <c r="J79">
        <v>797</v>
      </c>
      <c r="L79" t="s">
        <v>26</v>
      </c>
    </row>
    <row r="80" spans="1:12" x14ac:dyDescent="0.25">
      <c r="A80">
        <v>101397</v>
      </c>
      <c r="B80" t="s">
        <v>238</v>
      </c>
      <c r="C80" t="s">
        <v>47</v>
      </c>
      <c r="D80" t="s">
        <v>239</v>
      </c>
      <c r="E80" t="s">
        <v>240</v>
      </c>
      <c r="F80" t="s">
        <v>2640</v>
      </c>
      <c r="G80" t="s">
        <v>2635</v>
      </c>
      <c r="H80" t="s">
        <v>2581</v>
      </c>
      <c r="I80">
        <v>0</v>
      </c>
      <c r="J80">
        <v>497</v>
      </c>
      <c r="K80" t="s">
        <v>45</v>
      </c>
      <c r="L80" t="s">
        <v>2582</v>
      </c>
    </row>
    <row r="81" spans="1:12" x14ac:dyDescent="0.25">
      <c r="A81">
        <v>100390</v>
      </c>
      <c r="B81" t="s">
        <v>241</v>
      </c>
      <c r="C81" t="s">
        <v>58</v>
      </c>
      <c r="D81" t="s">
        <v>242</v>
      </c>
      <c r="E81" t="s">
        <v>2677</v>
      </c>
      <c r="F81" t="s">
        <v>2593</v>
      </c>
      <c r="G81" t="s">
        <v>2617</v>
      </c>
      <c r="H81" t="s">
        <v>18</v>
      </c>
      <c r="I81">
        <v>0</v>
      </c>
      <c r="J81">
        <v>468</v>
      </c>
      <c r="K81" t="s">
        <v>19</v>
      </c>
      <c r="L81" t="s">
        <v>2582</v>
      </c>
    </row>
    <row r="82" spans="1:12" x14ac:dyDescent="0.25">
      <c r="A82">
        <v>100913</v>
      </c>
      <c r="B82" t="s">
        <v>243</v>
      </c>
      <c r="C82" t="s">
        <v>244</v>
      </c>
      <c r="D82" t="s">
        <v>245</v>
      </c>
      <c r="E82" t="s">
        <v>246</v>
      </c>
      <c r="F82" t="s">
        <v>2640</v>
      </c>
      <c r="G82" t="s">
        <v>2596</v>
      </c>
      <c r="H82" t="s">
        <v>2597</v>
      </c>
      <c r="I82">
        <v>3</v>
      </c>
      <c r="J82">
        <v>729</v>
      </c>
      <c r="K82" t="s">
        <v>37</v>
      </c>
      <c r="L82" t="s">
        <v>2588</v>
      </c>
    </row>
    <row r="83" spans="1:12" x14ac:dyDescent="0.25">
      <c r="A83">
        <v>101730</v>
      </c>
      <c r="B83" t="s">
        <v>247</v>
      </c>
      <c r="C83" t="s">
        <v>126</v>
      </c>
      <c r="D83" t="s">
        <v>248</v>
      </c>
      <c r="E83" t="s">
        <v>2678</v>
      </c>
      <c r="F83" t="s">
        <v>2643</v>
      </c>
      <c r="G83" t="s">
        <v>2609</v>
      </c>
      <c r="H83" t="s">
        <v>2630</v>
      </c>
      <c r="I83">
        <v>8</v>
      </c>
      <c r="J83">
        <v>527</v>
      </c>
      <c r="K83" t="s">
        <v>19</v>
      </c>
      <c r="L83" t="s">
        <v>2582</v>
      </c>
    </row>
    <row r="84" spans="1:12" x14ac:dyDescent="0.25">
      <c r="A84">
        <v>100762</v>
      </c>
      <c r="B84" t="s">
        <v>247</v>
      </c>
      <c r="C84" t="s">
        <v>126</v>
      </c>
      <c r="D84" t="s">
        <v>249</v>
      </c>
      <c r="E84" t="s">
        <v>250</v>
      </c>
      <c r="F84" t="s">
        <v>2616</v>
      </c>
      <c r="G84" t="s">
        <v>2614</v>
      </c>
      <c r="H84" t="s">
        <v>2581</v>
      </c>
      <c r="I84">
        <v>0</v>
      </c>
      <c r="J84">
        <v>527</v>
      </c>
      <c r="K84" t="s">
        <v>32</v>
      </c>
      <c r="L84" t="s">
        <v>2588</v>
      </c>
    </row>
    <row r="85" spans="1:12" x14ac:dyDescent="0.25">
      <c r="A85">
        <v>100886</v>
      </c>
      <c r="B85" t="s">
        <v>251</v>
      </c>
      <c r="C85" t="s">
        <v>72</v>
      </c>
      <c r="D85" t="s">
        <v>252</v>
      </c>
      <c r="E85" t="s">
        <v>253</v>
      </c>
      <c r="F85" t="s">
        <v>2654</v>
      </c>
      <c r="G85" t="s">
        <v>2635</v>
      </c>
      <c r="H85" t="s">
        <v>2581</v>
      </c>
      <c r="I85">
        <v>0</v>
      </c>
      <c r="J85">
        <v>673</v>
      </c>
      <c r="K85" t="s">
        <v>56</v>
      </c>
      <c r="L85" t="s">
        <v>2582</v>
      </c>
    </row>
    <row r="86" spans="1:12" x14ac:dyDescent="0.25">
      <c r="A86">
        <v>100352</v>
      </c>
      <c r="B86" t="s">
        <v>234</v>
      </c>
      <c r="C86" t="s">
        <v>142</v>
      </c>
      <c r="D86" t="s">
        <v>254</v>
      </c>
      <c r="E86" t="s">
        <v>2679</v>
      </c>
      <c r="F86" t="s">
        <v>2604</v>
      </c>
      <c r="G86" t="s">
        <v>2625</v>
      </c>
      <c r="H86" t="s">
        <v>42</v>
      </c>
      <c r="I86">
        <v>133</v>
      </c>
      <c r="J86">
        <v>494</v>
      </c>
      <c r="K86" t="s">
        <v>19</v>
      </c>
      <c r="L86" t="s">
        <v>2582</v>
      </c>
    </row>
    <row r="87" spans="1:12" x14ac:dyDescent="0.25">
      <c r="A87">
        <v>101915</v>
      </c>
      <c r="B87" t="s">
        <v>255</v>
      </c>
      <c r="C87" t="s">
        <v>2680</v>
      </c>
      <c r="D87" t="s">
        <v>256</v>
      </c>
      <c r="E87" t="s">
        <v>257</v>
      </c>
      <c r="F87" t="s">
        <v>2608</v>
      </c>
      <c r="G87" t="s">
        <v>2614</v>
      </c>
      <c r="H87" t="s">
        <v>2620</v>
      </c>
      <c r="I87">
        <v>0</v>
      </c>
      <c r="J87">
        <v>639</v>
      </c>
      <c r="K87" t="s">
        <v>19</v>
      </c>
      <c r="L87" t="s">
        <v>2582</v>
      </c>
    </row>
    <row r="88" spans="1:12" x14ac:dyDescent="0.25">
      <c r="A88">
        <v>101691</v>
      </c>
      <c r="B88" t="s">
        <v>61</v>
      </c>
      <c r="C88" t="s">
        <v>62</v>
      </c>
      <c r="D88" t="s">
        <v>258</v>
      </c>
      <c r="E88" t="s">
        <v>2681</v>
      </c>
      <c r="F88" t="s">
        <v>2593</v>
      </c>
      <c r="G88" t="s">
        <v>2682</v>
      </c>
      <c r="H88" t="s">
        <v>2618</v>
      </c>
      <c r="I88">
        <v>0</v>
      </c>
      <c r="J88">
        <v>542</v>
      </c>
      <c r="K88" t="s">
        <v>19</v>
      </c>
      <c r="L88" t="s">
        <v>26</v>
      </c>
    </row>
    <row r="89" spans="1:12" x14ac:dyDescent="0.25">
      <c r="A89">
        <v>100387</v>
      </c>
      <c r="B89" t="s">
        <v>259</v>
      </c>
      <c r="C89" t="s">
        <v>2683</v>
      </c>
      <c r="D89" t="s">
        <v>260</v>
      </c>
      <c r="E89" t="s">
        <v>261</v>
      </c>
      <c r="F89" t="s">
        <v>2604</v>
      </c>
      <c r="G89" t="s">
        <v>2617</v>
      </c>
      <c r="H89" t="s">
        <v>2587</v>
      </c>
      <c r="I89">
        <v>0</v>
      </c>
      <c r="J89">
        <v>732</v>
      </c>
      <c r="K89" t="s">
        <v>32</v>
      </c>
      <c r="L89" t="s">
        <v>2588</v>
      </c>
    </row>
    <row r="90" spans="1:12" x14ac:dyDescent="0.25">
      <c r="A90">
        <v>100391</v>
      </c>
      <c r="B90" t="s">
        <v>262</v>
      </c>
      <c r="C90" t="s">
        <v>134</v>
      </c>
      <c r="D90" t="s">
        <v>153</v>
      </c>
      <c r="E90" t="s">
        <v>2684</v>
      </c>
      <c r="F90" t="s">
        <v>2593</v>
      </c>
      <c r="G90" t="s">
        <v>2682</v>
      </c>
      <c r="H90" t="s">
        <v>2620</v>
      </c>
      <c r="I90">
        <v>0</v>
      </c>
      <c r="J90">
        <v>399</v>
      </c>
      <c r="K90" t="s">
        <v>37</v>
      </c>
      <c r="L90" t="s">
        <v>20</v>
      </c>
    </row>
    <row r="91" spans="1:12" x14ac:dyDescent="0.25">
      <c r="A91">
        <v>100526</v>
      </c>
      <c r="B91" t="s">
        <v>177</v>
      </c>
      <c r="C91" t="s">
        <v>85</v>
      </c>
      <c r="D91" t="s">
        <v>263</v>
      </c>
      <c r="E91" t="s">
        <v>2685</v>
      </c>
      <c r="F91" t="s">
        <v>30</v>
      </c>
      <c r="G91" t="s">
        <v>2600</v>
      </c>
      <c r="H91" t="s">
        <v>2620</v>
      </c>
      <c r="I91">
        <v>0</v>
      </c>
      <c r="J91">
        <v>375</v>
      </c>
      <c r="K91" t="s">
        <v>45</v>
      </c>
      <c r="L91" t="s">
        <v>2582</v>
      </c>
    </row>
    <row r="92" spans="1:12" x14ac:dyDescent="0.25">
      <c r="A92">
        <v>100668</v>
      </c>
      <c r="B92" t="s">
        <v>21</v>
      </c>
      <c r="C92" t="s">
        <v>2686</v>
      </c>
      <c r="D92" t="s">
        <v>264</v>
      </c>
      <c r="E92" t="s">
        <v>2687</v>
      </c>
      <c r="F92" t="s">
        <v>2608</v>
      </c>
      <c r="G92" t="s">
        <v>2596</v>
      </c>
      <c r="H92" t="s">
        <v>18</v>
      </c>
      <c r="I92">
        <v>0</v>
      </c>
      <c r="J92">
        <v>771</v>
      </c>
      <c r="K92" t="s">
        <v>32</v>
      </c>
      <c r="L92" t="s">
        <v>20</v>
      </c>
    </row>
    <row r="93" spans="1:12" x14ac:dyDescent="0.25">
      <c r="A93">
        <v>100268</v>
      </c>
      <c r="B93" t="s">
        <v>213</v>
      </c>
      <c r="C93" t="s">
        <v>58</v>
      </c>
      <c r="D93" t="s">
        <v>265</v>
      </c>
      <c r="E93" t="s">
        <v>2688</v>
      </c>
      <c r="F93" t="s">
        <v>2608</v>
      </c>
      <c r="G93" t="s">
        <v>2602</v>
      </c>
      <c r="H93" t="s">
        <v>2620</v>
      </c>
      <c r="I93">
        <v>0</v>
      </c>
      <c r="J93">
        <v>324</v>
      </c>
      <c r="K93" t="s">
        <v>32</v>
      </c>
      <c r="L93" t="s">
        <v>26</v>
      </c>
    </row>
    <row r="94" spans="1:12" x14ac:dyDescent="0.25">
      <c r="A94">
        <v>100219</v>
      </c>
      <c r="B94" t="s">
        <v>266</v>
      </c>
      <c r="C94" t="s">
        <v>122</v>
      </c>
      <c r="D94" t="s">
        <v>267</v>
      </c>
      <c r="E94" t="s">
        <v>2689</v>
      </c>
      <c r="F94" t="s">
        <v>2598</v>
      </c>
      <c r="G94" t="s">
        <v>2652</v>
      </c>
      <c r="H94" t="s">
        <v>2581</v>
      </c>
      <c r="I94">
        <v>0</v>
      </c>
      <c r="J94">
        <v>504</v>
      </c>
      <c r="K94" t="s">
        <v>56</v>
      </c>
      <c r="L94" t="s">
        <v>2582</v>
      </c>
    </row>
    <row r="95" spans="1:12" x14ac:dyDescent="0.25">
      <c r="A95">
        <v>101963</v>
      </c>
      <c r="B95" t="s">
        <v>225</v>
      </c>
      <c r="C95" t="s">
        <v>142</v>
      </c>
      <c r="D95" t="s">
        <v>268</v>
      </c>
      <c r="E95" t="s">
        <v>2690</v>
      </c>
      <c r="F95" t="s">
        <v>2598</v>
      </c>
      <c r="G95" t="s">
        <v>2607</v>
      </c>
      <c r="H95" t="s">
        <v>2585</v>
      </c>
      <c r="I95">
        <v>23</v>
      </c>
      <c r="J95">
        <v>741</v>
      </c>
      <c r="K95" t="s">
        <v>56</v>
      </c>
      <c r="L95" t="s">
        <v>20</v>
      </c>
    </row>
    <row r="96" spans="1:12" x14ac:dyDescent="0.25">
      <c r="A96">
        <v>101872</v>
      </c>
      <c r="B96" t="s">
        <v>269</v>
      </c>
      <c r="C96" t="s">
        <v>2691</v>
      </c>
      <c r="D96" t="s">
        <v>158</v>
      </c>
      <c r="E96" t="s">
        <v>271</v>
      </c>
      <c r="F96" t="s">
        <v>2646</v>
      </c>
      <c r="G96" t="s">
        <v>2652</v>
      </c>
      <c r="H96" t="s">
        <v>2644</v>
      </c>
      <c r="I96">
        <v>0</v>
      </c>
      <c r="J96">
        <v>515</v>
      </c>
      <c r="K96" t="s">
        <v>45</v>
      </c>
      <c r="L96" t="s">
        <v>2582</v>
      </c>
    </row>
    <row r="97" spans="1:12" x14ac:dyDescent="0.25">
      <c r="A97">
        <v>100521</v>
      </c>
      <c r="B97" t="s">
        <v>272</v>
      </c>
      <c r="C97" t="s">
        <v>100</v>
      </c>
      <c r="D97" t="s">
        <v>273</v>
      </c>
      <c r="E97" t="s">
        <v>2692</v>
      </c>
      <c r="F97" t="s">
        <v>50</v>
      </c>
      <c r="G97" t="s">
        <v>2591</v>
      </c>
      <c r="H97" t="s">
        <v>18</v>
      </c>
      <c r="I97">
        <v>0</v>
      </c>
      <c r="J97">
        <v>666</v>
      </c>
      <c r="K97" t="s">
        <v>19</v>
      </c>
      <c r="L97" t="s">
        <v>2582</v>
      </c>
    </row>
    <row r="98" spans="1:12" x14ac:dyDescent="0.25">
      <c r="A98">
        <v>100603</v>
      </c>
      <c r="B98" t="s">
        <v>157</v>
      </c>
      <c r="C98" t="s">
        <v>103</v>
      </c>
      <c r="D98" t="s">
        <v>274</v>
      </c>
      <c r="E98" t="s">
        <v>275</v>
      </c>
      <c r="F98" t="s">
        <v>50</v>
      </c>
      <c r="G98" t="s">
        <v>2591</v>
      </c>
      <c r="H98" t="s">
        <v>2623</v>
      </c>
      <c r="I98">
        <v>68</v>
      </c>
      <c r="J98">
        <v>897</v>
      </c>
      <c r="K98" t="s">
        <v>56</v>
      </c>
      <c r="L98" t="s">
        <v>2588</v>
      </c>
    </row>
    <row r="99" spans="1:12" x14ac:dyDescent="0.25">
      <c r="A99">
        <v>101737</v>
      </c>
      <c r="B99" t="s">
        <v>276</v>
      </c>
      <c r="C99" t="s">
        <v>52</v>
      </c>
      <c r="D99" t="s">
        <v>277</v>
      </c>
      <c r="E99" t="s">
        <v>2693</v>
      </c>
      <c r="F99" t="s">
        <v>2648</v>
      </c>
      <c r="G99" t="s">
        <v>60</v>
      </c>
      <c r="H99" t="s">
        <v>2587</v>
      </c>
      <c r="I99">
        <v>0</v>
      </c>
      <c r="J99">
        <v>638</v>
      </c>
      <c r="K99" t="s">
        <v>56</v>
      </c>
      <c r="L99" t="s">
        <v>26</v>
      </c>
    </row>
    <row r="100" spans="1:12" x14ac:dyDescent="0.25">
      <c r="A100">
        <v>100764</v>
      </c>
      <c r="B100" t="s">
        <v>278</v>
      </c>
      <c r="C100" t="s">
        <v>62</v>
      </c>
      <c r="D100" t="s">
        <v>279</v>
      </c>
      <c r="E100" t="s">
        <v>2694</v>
      </c>
      <c r="F100" t="s">
        <v>2593</v>
      </c>
      <c r="G100" t="s">
        <v>2602</v>
      </c>
      <c r="H100" t="s">
        <v>2620</v>
      </c>
      <c r="I100">
        <v>0</v>
      </c>
      <c r="J100">
        <v>713</v>
      </c>
      <c r="K100" t="s">
        <v>37</v>
      </c>
      <c r="L100" t="s">
        <v>20</v>
      </c>
    </row>
    <row r="101" spans="1:12" x14ac:dyDescent="0.25">
      <c r="A101">
        <v>102002</v>
      </c>
      <c r="B101" t="s">
        <v>280</v>
      </c>
      <c r="C101" t="s">
        <v>187</v>
      </c>
      <c r="D101" t="s">
        <v>281</v>
      </c>
      <c r="E101" t="s">
        <v>2695</v>
      </c>
      <c r="F101" t="s">
        <v>2616</v>
      </c>
      <c r="G101" t="s">
        <v>31</v>
      </c>
      <c r="H101" t="s">
        <v>2618</v>
      </c>
      <c r="I101">
        <v>0</v>
      </c>
      <c r="J101">
        <v>621</v>
      </c>
      <c r="K101" t="s">
        <v>56</v>
      </c>
      <c r="L101" t="s">
        <v>20</v>
      </c>
    </row>
    <row r="102" spans="1:12" x14ac:dyDescent="0.25">
      <c r="A102">
        <v>100821</v>
      </c>
      <c r="B102" t="s">
        <v>282</v>
      </c>
      <c r="C102" t="s">
        <v>152</v>
      </c>
      <c r="D102" t="s">
        <v>283</v>
      </c>
      <c r="E102" t="s">
        <v>284</v>
      </c>
      <c r="F102" t="s">
        <v>2608</v>
      </c>
      <c r="G102" t="s">
        <v>31</v>
      </c>
      <c r="H102" t="s">
        <v>42</v>
      </c>
      <c r="I102">
        <v>53</v>
      </c>
      <c r="J102">
        <v>301</v>
      </c>
      <c r="K102" t="s">
        <v>32</v>
      </c>
      <c r="L102" t="s">
        <v>20</v>
      </c>
    </row>
    <row r="103" spans="1:12" x14ac:dyDescent="0.25">
      <c r="A103">
        <v>100386</v>
      </c>
      <c r="B103" t="s">
        <v>79</v>
      </c>
      <c r="C103" t="s">
        <v>2696</v>
      </c>
      <c r="D103" t="s">
        <v>285</v>
      </c>
      <c r="E103" t="s">
        <v>2697</v>
      </c>
      <c r="F103" t="s">
        <v>2641</v>
      </c>
      <c r="G103" t="s">
        <v>2652</v>
      </c>
      <c r="H103" t="s">
        <v>2581</v>
      </c>
      <c r="I103">
        <v>0</v>
      </c>
      <c r="J103">
        <v>585</v>
      </c>
      <c r="K103" t="s">
        <v>56</v>
      </c>
      <c r="L103" t="s">
        <v>2588</v>
      </c>
    </row>
    <row r="104" spans="1:12" x14ac:dyDescent="0.25">
      <c r="A104">
        <v>101626</v>
      </c>
      <c r="B104" t="s">
        <v>286</v>
      </c>
      <c r="C104" t="s">
        <v>168</v>
      </c>
      <c r="D104" t="s">
        <v>287</v>
      </c>
      <c r="E104" t="s">
        <v>2698</v>
      </c>
      <c r="F104" t="s">
        <v>2643</v>
      </c>
      <c r="G104" t="s">
        <v>2599</v>
      </c>
      <c r="H104" t="s">
        <v>2623</v>
      </c>
      <c r="I104">
        <v>46</v>
      </c>
      <c r="J104">
        <v>434</v>
      </c>
      <c r="K104" t="s">
        <v>32</v>
      </c>
      <c r="L104" t="s">
        <v>2582</v>
      </c>
    </row>
    <row r="105" spans="1:12" x14ac:dyDescent="0.25">
      <c r="A105">
        <v>101330</v>
      </c>
      <c r="B105" t="s">
        <v>288</v>
      </c>
      <c r="C105" t="s">
        <v>2699</v>
      </c>
      <c r="D105" t="s">
        <v>289</v>
      </c>
      <c r="E105" t="s">
        <v>2700</v>
      </c>
      <c r="F105" t="s">
        <v>2608</v>
      </c>
      <c r="G105" t="s">
        <v>2682</v>
      </c>
      <c r="H105" t="s">
        <v>2630</v>
      </c>
      <c r="I105">
        <v>24</v>
      </c>
      <c r="J105">
        <v>746</v>
      </c>
      <c r="K105" t="s">
        <v>37</v>
      </c>
      <c r="L105" t="s">
        <v>2588</v>
      </c>
    </row>
    <row r="106" spans="1:12" x14ac:dyDescent="0.25">
      <c r="A106">
        <v>101355</v>
      </c>
      <c r="B106" t="s">
        <v>259</v>
      </c>
      <c r="C106" t="s">
        <v>218</v>
      </c>
      <c r="D106" t="s">
        <v>290</v>
      </c>
      <c r="E106" t="s">
        <v>291</v>
      </c>
      <c r="F106" t="s">
        <v>2640</v>
      </c>
      <c r="G106" t="s">
        <v>2652</v>
      </c>
      <c r="H106" t="s">
        <v>2630</v>
      </c>
      <c r="I106">
        <v>13</v>
      </c>
      <c r="J106">
        <v>732</v>
      </c>
      <c r="K106" t="s">
        <v>45</v>
      </c>
      <c r="L106" t="s">
        <v>26</v>
      </c>
    </row>
    <row r="107" spans="1:12" x14ac:dyDescent="0.25">
      <c r="A107">
        <v>100010</v>
      </c>
      <c r="B107" t="s">
        <v>292</v>
      </c>
      <c r="C107" t="s">
        <v>149</v>
      </c>
      <c r="D107" t="s">
        <v>293</v>
      </c>
      <c r="E107" t="s">
        <v>2701</v>
      </c>
      <c r="F107" t="s">
        <v>2579</v>
      </c>
      <c r="G107" t="s">
        <v>2596</v>
      </c>
      <c r="H107" t="s">
        <v>2587</v>
      </c>
      <c r="I107">
        <v>0</v>
      </c>
      <c r="J107">
        <v>466</v>
      </c>
      <c r="K107" t="s">
        <v>45</v>
      </c>
      <c r="L107" t="s">
        <v>20</v>
      </c>
    </row>
    <row r="108" spans="1:12" x14ac:dyDescent="0.25">
      <c r="A108">
        <v>100082</v>
      </c>
      <c r="B108" t="s">
        <v>294</v>
      </c>
      <c r="C108" t="s">
        <v>100</v>
      </c>
      <c r="D108" t="s">
        <v>295</v>
      </c>
      <c r="E108" t="s">
        <v>2702</v>
      </c>
      <c r="F108" t="s">
        <v>2643</v>
      </c>
      <c r="G108" t="s">
        <v>2600</v>
      </c>
      <c r="H108" t="s">
        <v>2620</v>
      </c>
      <c r="I108">
        <v>0</v>
      </c>
      <c r="J108">
        <v>377</v>
      </c>
      <c r="K108" t="s">
        <v>37</v>
      </c>
      <c r="L108" t="s">
        <v>20</v>
      </c>
    </row>
    <row r="109" spans="1:12" x14ac:dyDescent="0.25">
      <c r="A109">
        <v>101710</v>
      </c>
      <c r="B109" t="s">
        <v>294</v>
      </c>
      <c r="C109" t="s">
        <v>2703</v>
      </c>
      <c r="D109" t="s">
        <v>296</v>
      </c>
      <c r="E109" t="s">
        <v>2704</v>
      </c>
      <c r="F109" t="s">
        <v>2579</v>
      </c>
      <c r="G109" t="s">
        <v>2658</v>
      </c>
      <c r="H109" t="s">
        <v>2620</v>
      </c>
      <c r="I109">
        <v>0</v>
      </c>
      <c r="J109">
        <v>377</v>
      </c>
      <c r="K109" t="s">
        <v>32</v>
      </c>
      <c r="L109" t="s">
        <v>20</v>
      </c>
    </row>
    <row r="110" spans="1:12" x14ac:dyDescent="0.25">
      <c r="A110">
        <v>100770</v>
      </c>
      <c r="B110" t="s">
        <v>297</v>
      </c>
      <c r="C110" t="s">
        <v>72</v>
      </c>
      <c r="D110" t="s">
        <v>119</v>
      </c>
      <c r="E110" t="s">
        <v>298</v>
      </c>
      <c r="F110" t="s">
        <v>64</v>
      </c>
      <c r="G110" t="s">
        <v>2611</v>
      </c>
      <c r="H110" t="s">
        <v>2620</v>
      </c>
      <c r="I110">
        <v>0</v>
      </c>
      <c r="J110">
        <v>878</v>
      </c>
      <c r="K110" t="s">
        <v>32</v>
      </c>
      <c r="L110" t="s">
        <v>2588</v>
      </c>
    </row>
    <row r="111" spans="1:12" x14ac:dyDescent="0.25">
      <c r="A111">
        <v>101725</v>
      </c>
      <c r="B111" t="s">
        <v>299</v>
      </c>
      <c r="C111" t="s">
        <v>22</v>
      </c>
      <c r="D111" t="s">
        <v>300</v>
      </c>
      <c r="E111" t="s">
        <v>301</v>
      </c>
      <c r="F111" t="s">
        <v>2604</v>
      </c>
      <c r="G111" t="s">
        <v>2591</v>
      </c>
      <c r="H111" t="s">
        <v>2623</v>
      </c>
      <c r="I111">
        <v>59</v>
      </c>
      <c r="J111">
        <v>855</v>
      </c>
      <c r="K111" t="s">
        <v>37</v>
      </c>
      <c r="L111" t="s">
        <v>20</v>
      </c>
    </row>
    <row r="112" spans="1:12" x14ac:dyDescent="0.25">
      <c r="A112">
        <v>100827</v>
      </c>
      <c r="B112" t="s">
        <v>118</v>
      </c>
      <c r="C112" t="s">
        <v>62</v>
      </c>
      <c r="D112" t="s">
        <v>302</v>
      </c>
      <c r="E112" t="s">
        <v>2705</v>
      </c>
      <c r="F112" t="s">
        <v>2590</v>
      </c>
      <c r="G112" t="s">
        <v>31</v>
      </c>
      <c r="H112" t="s">
        <v>2585</v>
      </c>
      <c r="I112">
        <v>18</v>
      </c>
      <c r="J112">
        <v>463</v>
      </c>
      <c r="K112" t="s">
        <v>56</v>
      </c>
      <c r="L112" t="s">
        <v>20</v>
      </c>
    </row>
    <row r="113" spans="1:12" x14ac:dyDescent="0.25">
      <c r="A113">
        <v>101362</v>
      </c>
      <c r="B113" t="s">
        <v>303</v>
      </c>
      <c r="C113" t="s">
        <v>2706</v>
      </c>
      <c r="D113" t="s">
        <v>304</v>
      </c>
      <c r="E113" t="s">
        <v>305</v>
      </c>
      <c r="F113" t="s">
        <v>2613</v>
      </c>
      <c r="G113" t="s">
        <v>2609</v>
      </c>
      <c r="H113" t="s">
        <v>2587</v>
      </c>
      <c r="I113">
        <v>0</v>
      </c>
      <c r="J113">
        <v>800</v>
      </c>
      <c r="K113" t="s">
        <v>45</v>
      </c>
      <c r="L113" t="s">
        <v>20</v>
      </c>
    </row>
    <row r="114" spans="1:12" x14ac:dyDescent="0.25">
      <c r="A114">
        <v>100570</v>
      </c>
      <c r="B114" t="s">
        <v>164</v>
      </c>
      <c r="C114" t="s">
        <v>126</v>
      </c>
      <c r="D114" t="s">
        <v>306</v>
      </c>
      <c r="E114" t="s">
        <v>2707</v>
      </c>
      <c r="F114" t="s">
        <v>2608</v>
      </c>
      <c r="G114" t="s">
        <v>2614</v>
      </c>
      <c r="H114" t="s">
        <v>18</v>
      </c>
      <c r="I114">
        <v>0</v>
      </c>
      <c r="J114">
        <v>722</v>
      </c>
      <c r="K114" t="s">
        <v>37</v>
      </c>
      <c r="L114" t="s">
        <v>2588</v>
      </c>
    </row>
    <row r="115" spans="1:12" x14ac:dyDescent="0.25">
      <c r="A115">
        <v>101962</v>
      </c>
      <c r="B115" t="s">
        <v>307</v>
      </c>
      <c r="C115" t="s">
        <v>58</v>
      </c>
      <c r="D115" t="s">
        <v>308</v>
      </c>
      <c r="E115" t="s">
        <v>2708</v>
      </c>
      <c r="F115" t="s">
        <v>2648</v>
      </c>
      <c r="G115" t="s">
        <v>2609</v>
      </c>
      <c r="H115" t="s">
        <v>2597</v>
      </c>
      <c r="I115">
        <v>9</v>
      </c>
      <c r="J115">
        <v>616</v>
      </c>
      <c r="K115" t="s">
        <v>32</v>
      </c>
      <c r="L115" t="s">
        <v>2588</v>
      </c>
    </row>
    <row r="116" spans="1:12" x14ac:dyDescent="0.25">
      <c r="A116">
        <v>100658</v>
      </c>
      <c r="B116" t="s">
        <v>138</v>
      </c>
      <c r="D116" t="s">
        <v>309</v>
      </c>
      <c r="E116" t="s">
        <v>2709</v>
      </c>
      <c r="F116" t="s">
        <v>50</v>
      </c>
      <c r="G116" t="s">
        <v>2609</v>
      </c>
      <c r="H116" t="s">
        <v>2597</v>
      </c>
      <c r="I116">
        <v>7</v>
      </c>
      <c r="J116">
        <v>623</v>
      </c>
      <c r="K116" t="s">
        <v>45</v>
      </c>
      <c r="L116" t="s">
        <v>26</v>
      </c>
    </row>
    <row r="117" spans="1:12" x14ac:dyDescent="0.25">
      <c r="A117">
        <v>101706</v>
      </c>
      <c r="B117" t="s">
        <v>269</v>
      </c>
      <c r="C117" t="s">
        <v>270</v>
      </c>
      <c r="D117" t="s">
        <v>310</v>
      </c>
      <c r="E117" t="s">
        <v>2710</v>
      </c>
      <c r="F117" t="s">
        <v>2613</v>
      </c>
      <c r="G117" t="s">
        <v>2625</v>
      </c>
      <c r="H117" t="s">
        <v>83</v>
      </c>
      <c r="I117">
        <v>0</v>
      </c>
      <c r="J117">
        <v>515</v>
      </c>
      <c r="K117" t="s">
        <v>19</v>
      </c>
      <c r="L117" t="s">
        <v>20</v>
      </c>
    </row>
    <row r="118" spans="1:12" x14ac:dyDescent="0.25">
      <c r="A118">
        <v>101409</v>
      </c>
      <c r="B118" t="s">
        <v>194</v>
      </c>
      <c r="C118" t="s">
        <v>47</v>
      </c>
      <c r="D118" t="s">
        <v>311</v>
      </c>
      <c r="E118" t="s">
        <v>312</v>
      </c>
      <c r="F118" t="s">
        <v>2608</v>
      </c>
      <c r="G118" t="s">
        <v>2614</v>
      </c>
      <c r="H118" t="s">
        <v>2581</v>
      </c>
      <c r="I118">
        <v>0</v>
      </c>
      <c r="J118">
        <v>308</v>
      </c>
      <c r="K118" t="s">
        <v>56</v>
      </c>
    </row>
    <row r="119" spans="1:12" x14ac:dyDescent="0.25">
      <c r="A119">
        <v>100828</v>
      </c>
      <c r="B119" t="s">
        <v>313</v>
      </c>
      <c r="C119" t="s">
        <v>58</v>
      </c>
      <c r="D119" t="s">
        <v>314</v>
      </c>
      <c r="E119" t="s">
        <v>2711</v>
      </c>
      <c r="F119" t="s">
        <v>30</v>
      </c>
      <c r="G119" t="s">
        <v>2682</v>
      </c>
      <c r="H119" t="s">
        <v>2581</v>
      </c>
      <c r="I119">
        <v>0</v>
      </c>
      <c r="J119">
        <v>716</v>
      </c>
      <c r="K119" t="s">
        <v>37</v>
      </c>
      <c r="L119" t="s">
        <v>2588</v>
      </c>
    </row>
    <row r="120" spans="1:12" x14ac:dyDescent="0.25">
      <c r="A120">
        <v>101591</v>
      </c>
      <c r="B120" t="s">
        <v>315</v>
      </c>
      <c r="C120" t="s">
        <v>22</v>
      </c>
      <c r="D120" t="s">
        <v>316</v>
      </c>
      <c r="E120" t="s">
        <v>317</v>
      </c>
      <c r="F120" t="s">
        <v>2641</v>
      </c>
      <c r="G120" t="s">
        <v>31</v>
      </c>
      <c r="H120" t="s">
        <v>2618</v>
      </c>
      <c r="I120">
        <v>0</v>
      </c>
      <c r="J120">
        <v>509</v>
      </c>
      <c r="K120" t="s">
        <v>45</v>
      </c>
      <c r="L120" t="s">
        <v>2588</v>
      </c>
    </row>
    <row r="121" spans="1:12" x14ac:dyDescent="0.25">
      <c r="A121">
        <v>100820</v>
      </c>
      <c r="B121" t="s">
        <v>174</v>
      </c>
      <c r="C121" t="s">
        <v>134</v>
      </c>
      <c r="D121" t="s">
        <v>318</v>
      </c>
      <c r="E121" t="s">
        <v>2712</v>
      </c>
      <c r="F121" t="s">
        <v>2604</v>
      </c>
      <c r="G121" t="s">
        <v>31</v>
      </c>
      <c r="H121" t="s">
        <v>18</v>
      </c>
      <c r="I121">
        <v>0</v>
      </c>
      <c r="J121">
        <v>554</v>
      </c>
      <c r="K121" t="s">
        <v>56</v>
      </c>
      <c r="L121" t="s">
        <v>2582</v>
      </c>
    </row>
    <row r="122" spans="1:12" x14ac:dyDescent="0.25">
      <c r="A122">
        <v>102069</v>
      </c>
      <c r="B122" t="s">
        <v>319</v>
      </c>
      <c r="C122" t="s">
        <v>100</v>
      </c>
      <c r="D122" t="s">
        <v>320</v>
      </c>
      <c r="E122" t="s">
        <v>321</v>
      </c>
      <c r="F122" t="s">
        <v>41</v>
      </c>
      <c r="G122" t="s">
        <v>2596</v>
      </c>
      <c r="H122" t="s">
        <v>2618</v>
      </c>
      <c r="I122">
        <v>0</v>
      </c>
      <c r="J122">
        <v>411</v>
      </c>
      <c r="K122" t="s">
        <v>32</v>
      </c>
      <c r="L122" t="s">
        <v>2588</v>
      </c>
    </row>
    <row r="123" spans="1:12" x14ac:dyDescent="0.25">
      <c r="A123">
        <v>101859</v>
      </c>
      <c r="B123" t="s">
        <v>322</v>
      </c>
      <c r="C123" t="s">
        <v>13</v>
      </c>
      <c r="D123" t="s">
        <v>323</v>
      </c>
      <c r="E123" t="s">
        <v>324</v>
      </c>
      <c r="F123" t="s">
        <v>50</v>
      </c>
      <c r="G123" t="s">
        <v>2599</v>
      </c>
      <c r="H123" t="s">
        <v>2587</v>
      </c>
      <c r="I123">
        <v>0</v>
      </c>
      <c r="J123">
        <v>623</v>
      </c>
      <c r="K123" t="s">
        <v>32</v>
      </c>
      <c r="L123" t="s">
        <v>2582</v>
      </c>
    </row>
    <row r="124" spans="1:12" x14ac:dyDescent="0.25">
      <c r="A124">
        <v>100675</v>
      </c>
      <c r="B124" t="s">
        <v>325</v>
      </c>
      <c r="C124" t="s">
        <v>126</v>
      </c>
      <c r="D124" t="s">
        <v>326</v>
      </c>
      <c r="E124" t="s">
        <v>2713</v>
      </c>
      <c r="F124" t="s">
        <v>2579</v>
      </c>
      <c r="H124" t="s">
        <v>2618</v>
      </c>
      <c r="J124">
        <v>570</v>
      </c>
      <c r="K124" t="s">
        <v>37</v>
      </c>
      <c r="L124" t="s">
        <v>26</v>
      </c>
    </row>
    <row r="125" spans="1:12" x14ac:dyDescent="0.25">
      <c r="A125">
        <v>101654</v>
      </c>
      <c r="B125" t="s">
        <v>327</v>
      </c>
      <c r="C125" t="s">
        <v>100</v>
      </c>
      <c r="D125" t="s">
        <v>328</v>
      </c>
      <c r="E125" t="s">
        <v>2714</v>
      </c>
      <c r="F125" t="s">
        <v>2629</v>
      </c>
      <c r="H125" t="s">
        <v>18</v>
      </c>
      <c r="I125">
        <v>0</v>
      </c>
      <c r="J125">
        <v>721</v>
      </c>
      <c r="L125" t="s">
        <v>2588</v>
      </c>
    </row>
    <row r="126" spans="1:12" x14ac:dyDescent="0.25">
      <c r="A126">
        <v>101796</v>
      </c>
      <c r="B126" t="s">
        <v>329</v>
      </c>
      <c r="C126" t="s">
        <v>270</v>
      </c>
      <c r="D126" t="s">
        <v>330</v>
      </c>
      <c r="E126" t="s">
        <v>2715</v>
      </c>
      <c r="F126" t="s">
        <v>2598</v>
      </c>
      <c r="G126" t="s">
        <v>2652</v>
      </c>
      <c r="H126" t="s">
        <v>42</v>
      </c>
      <c r="I126">
        <v>77</v>
      </c>
      <c r="J126">
        <v>328</v>
      </c>
      <c r="K126" t="s">
        <v>32</v>
      </c>
      <c r="L126" t="s">
        <v>26</v>
      </c>
    </row>
    <row r="127" spans="1:12" x14ac:dyDescent="0.25">
      <c r="A127">
        <v>101126</v>
      </c>
      <c r="B127" t="s">
        <v>155</v>
      </c>
      <c r="C127" t="s">
        <v>142</v>
      </c>
      <c r="D127" t="s">
        <v>331</v>
      </c>
      <c r="E127" t="s">
        <v>2716</v>
      </c>
      <c r="F127" t="s">
        <v>41</v>
      </c>
      <c r="G127" t="s">
        <v>2596</v>
      </c>
      <c r="H127" t="s">
        <v>2581</v>
      </c>
      <c r="I127">
        <v>0</v>
      </c>
      <c r="J127">
        <v>339</v>
      </c>
      <c r="K127" t="s">
        <v>32</v>
      </c>
      <c r="L127" t="s">
        <v>20</v>
      </c>
    </row>
    <row r="128" spans="1:12" x14ac:dyDescent="0.25">
      <c r="A128">
        <v>101008</v>
      </c>
      <c r="B128" t="s">
        <v>61</v>
      </c>
      <c r="C128" t="s">
        <v>62</v>
      </c>
      <c r="D128" t="s">
        <v>332</v>
      </c>
      <c r="E128" t="s">
        <v>2717</v>
      </c>
      <c r="F128" t="s">
        <v>2579</v>
      </c>
      <c r="G128" t="s">
        <v>2600</v>
      </c>
      <c r="H128" t="s">
        <v>2594</v>
      </c>
      <c r="I128">
        <v>166</v>
      </c>
      <c r="J128">
        <v>542</v>
      </c>
      <c r="K128" t="s">
        <v>32</v>
      </c>
      <c r="L128" t="s">
        <v>2588</v>
      </c>
    </row>
    <row r="129" spans="1:12" x14ac:dyDescent="0.25">
      <c r="A129">
        <v>100054</v>
      </c>
      <c r="B129" t="s">
        <v>160</v>
      </c>
      <c r="C129" t="s">
        <v>72</v>
      </c>
      <c r="D129" t="s">
        <v>333</v>
      </c>
      <c r="E129" t="s">
        <v>334</v>
      </c>
      <c r="F129" t="s">
        <v>2579</v>
      </c>
      <c r="G129" t="s">
        <v>55</v>
      </c>
      <c r="H129" t="s">
        <v>2581</v>
      </c>
      <c r="I129">
        <v>0</v>
      </c>
      <c r="J129">
        <v>585</v>
      </c>
      <c r="K129" t="s">
        <v>19</v>
      </c>
      <c r="L129" t="s">
        <v>2588</v>
      </c>
    </row>
    <row r="130" spans="1:12" x14ac:dyDescent="0.25">
      <c r="A130">
        <v>100620</v>
      </c>
      <c r="B130" t="s">
        <v>141</v>
      </c>
      <c r="C130" t="s">
        <v>2649</v>
      </c>
      <c r="D130" t="s">
        <v>335</v>
      </c>
      <c r="E130" t="s">
        <v>336</v>
      </c>
      <c r="F130" t="s">
        <v>2654</v>
      </c>
      <c r="G130" t="s">
        <v>2658</v>
      </c>
      <c r="H130" t="s">
        <v>2630</v>
      </c>
      <c r="I130">
        <v>5</v>
      </c>
      <c r="J130">
        <v>430</v>
      </c>
      <c r="K130" t="s">
        <v>32</v>
      </c>
      <c r="L130" t="s">
        <v>2582</v>
      </c>
    </row>
    <row r="131" spans="1:12" x14ac:dyDescent="0.25">
      <c r="A131">
        <v>100033</v>
      </c>
      <c r="B131" t="s">
        <v>292</v>
      </c>
      <c r="C131" t="s">
        <v>149</v>
      </c>
      <c r="D131" t="s">
        <v>337</v>
      </c>
      <c r="E131" t="s">
        <v>2718</v>
      </c>
      <c r="F131" t="s">
        <v>2579</v>
      </c>
      <c r="G131" t="s">
        <v>2617</v>
      </c>
      <c r="H131" t="s">
        <v>2587</v>
      </c>
      <c r="I131">
        <v>0</v>
      </c>
      <c r="J131">
        <v>466</v>
      </c>
      <c r="K131" t="s">
        <v>56</v>
      </c>
      <c r="L131" t="s">
        <v>2582</v>
      </c>
    </row>
    <row r="132" spans="1:12" x14ac:dyDescent="0.25">
      <c r="A132">
        <v>100028</v>
      </c>
      <c r="B132" t="s">
        <v>338</v>
      </c>
      <c r="C132" t="s">
        <v>22</v>
      </c>
      <c r="D132" t="s">
        <v>339</v>
      </c>
      <c r="E132" t="s">
        <v>2719</v>
      </c>
      <c r="F132" t="s">
        <v>2646</v>
      </c>
      <c r="G132" t="s">
        <v>2635</v>
      </c>
      <c r="H132" t="s">
        <v>25</v>
      </c>
      <c r="I132">
        <v>15</v>
      </c>
      <c r="J132">
        <v>832</v>
      </c>
      <c r="K132" t="s">
        <v>19</v>
      </c>
      <c r="L132" t="s">
        <v>20</v>
      </c>
    </row>
    <row r="133" spans="1:12" x14ac:dyDescent="0.25">
      <c r="A133">
        <v>101613</v>
      </c>
      <c r="B133" t="s">
        <v>340</v>
      </c>
      <c r="C133" t="s">
        <v>100</v>
      </c>
      <c r="D133" t="s">
        <v>341</v>
      </c>
      <c r="E133" t="s">
        <v>2720</v>
      </c>
      <c r="F133" t="s">
        <v>2629</v>
      </c>
      <c r="G133" t="s">
        <v>2614</v>
      </c>
      <c r="H133" t="s">
        <v>2620</v>
      </c>
      <c r="I133">
        <v>0</v>
      </c>
      <c r="J133">
        <v>705</v>
      </c>
      <c r="K133" t="s">
        <v>56</v>
      </c>
      <c r="L133" t="s">
        <v>20</v>
      </c>
    </row>
    <row r="134" spans="1:12" x14ac:dyDescent="0.25">
      <c r="A134">
        <v>101930</v>
      </c>
      <c r="B134" t="s">
        <v>342</v>
      </c>
      <c r="C134" t="s">
        <v>110</v>
      </c>
      <c r="D134" t="s">
        <v>343</v>
      </c>
      <c r="E134" t="s">
        <v>2721</v>
      </c>
      <c r="F134" t="s">
        <v>2613</v>
      </c>
      <c r="H134" t="s">
        <v>2618</v>
      </c>
      <c r="I134">
        <v>0</v>
      </c>
      <c r="J134">
        <v>659</v>
      </c>
      <c r="K134" t="s">
        <v>19</v>
      </c>
      <c r="L134" t="s">
        <v>20</v>
      </c>
    </row>
    <row r="135" spans="1:12" x14ac:dyDescent="0.25">
      <c r="A135">
        <v>100790</v>
      </c>
      <c r="B135" t="s">
        <v>344</v>
      </c>
      <c r="C135" t="s">
        <v>244</v>
      </c>
      <c r="D135" t="s">
        <v>345</v>
      </c>
      <c r="E135" t="s">
        <v>346</v>
      </c>
      <c r="F135" t="s">
        <v>2598</v>
      </c>
      <c r="G135" t="s">
        <v>2584</v>
      </c>
      <c r="H135" t="s">
        <v>2581</v>
      </c>
      <c r="I135">
        <v>0</v>
      </c>
      <c r="J135">
        <v>792</v>
      </c>
      <c r="K135" t="s">
        <v>56</v>
      </c>
      <c r="L135" t="s">
        <v>20</v>
      </c>
    </row>
    <row r="136" spans="1:12" x14ac:dyDescent="0.25">
      <c r="A136">
        <v>100220</v>
      </c>
      <c r="B136" t="s">
        <v>347</v>
      </c>
      <c r="C136" t="s">
        <v>95</v>
      </c>
      <c r="D136" t="s">
        <v>348</v>
      </c>
      <c r="E136" t="s">
        <v>2722</v>
      </c>
      <c r="F136" t="s">
        <v>30</v>
      </c>
      <c r="G136" t="s">
        <v>2635</v>
      </c>
      <c r="H136" t="s">
        <v>2594</v>
      </c>
      <c r="I136">
        <v>161</v>
      </c>
      <c r="J136">
        <v>699</v>
      </c>
      <c r="K136" t="s">
        <v>45</v>
      </c>
      <c r="L136" t="s">
        <v>20</v>
      </c>
    </row>
    <row r="137" spans="1:12" x14ac:dyDescent="0.25">
      <c r="A137">
        <v>101751</v>
      </c>
      <c r="B137" t="s">
        <v>349</v>
      </c>
      <c r="C137" t="s">
        <v>2723</v>
      </c>
      <c r="D137" t="s">
        <v>350</v>
      </c>
      <c r="E137" t="s">
        <v>351</v>
      </c>
      <c r="F137" t="s">
        <v>30</v>
      </c>
      <c r="G137" t="s">
        <v>2600</v>
      </c>
      <c r="H137" t="s">
        <v>18</v>
      </c>
      <c r="I137">
        <v>0</v>
      </c>
      <c r="J137">
        <v>708</v>
      </c>
      <c r="K137" t="s">
        <v>19</v>
      </c>
      <c r="L137" t="s">
        <v>26</v>
      </c>
    </row>
    <row r="138" spans="1:12" x14ac:dyDescent="0.25">
      <c r="A138">
        <v>100540</v>
      </c>
      <c r="B138" t="s">
        <v>352</v>
      </c>
      <c r="C138" t="s">
        <v>85</v>
      </c>
      <c r="D138" t="s">
        <v>353</v>
      </c>
      <c r="E138" t="s">
        <v>354</v>
      </c>
      <c r="F138" t="s">
        <v>2598</v>
      </c>
      <c r="G138" t="s">
        <v>2607</v>
      </c>
      <c r="H138" t="s">
        <v>2623</v>
      </c>
      <c r="I138">
        <v>108</v>
      </c>
      <c r="J138">
        <v>778</v>
      </c>
      <c r="K138" t="s">
        <v>37</v>
      </c>
      <c r="L138" t="s">
        <v>20</v>
      </c>
    </row>
    <row r="139" spans="1:12" x14ac:dyDescent="0.25">
      <c r="A139">
        <v>100757</v>
      </c>
      <c r="B139" t="s">
        <v>355</v>
      </c>
      <c r="C139" t="s">
        <v>244</v>
      </c>
      <c r="D139" t="s">
        <v>356</v>
      </c>
      <c r="E139" t="s">
        <v>2724</v>
      </c>
      <c r="F139" t="s">
        <v>41</v>
      </c>
      <c r="G139" t="s">
        <v>2611</v>
      </c>
      <c r="H139" t="s">
        <v>2618</v>
      </c>
      <c r="I139">
        <v>0</v>
      </c>
      <c r="J139">
        <v>746</v>
      </c>
      <c r="K139" t="s">
        <v>45</v>
      </c>
      <c r="L139" t="s">
        <v>2588</v>
      </c>
    </row>
    <row r="140" spans="1:12" x14ac:dyDescent="0.25">
      <c r="A140">
        <v>101971</v>
      </c>
      <c r="B140" t="s">
        <v>357</v>
      </c>
      <c r="C140" t="s">
        <v>62</v>
      </c>
      <c r="D140" t="s">
        <v>111</v>
      </c>
      <c r="E140" t="s">
        <v>2725</v>
      </c>
      <c r="F140" t="s">
        <v>30</v>
      </c>
      <c r="G140" t="s">
        <v>60</v>
      </c>
      <c r="H140" t="s">
        <v>2581</v>
      </c>
      <c r="I140">
        <v>0</v>
      </c>
      <c r="J140">
        <v>345</v>
      </c>
      <c r="K140" t="s">
        <v>45</v>
      </c>
    </row>
    <row r="141" spans="1:12" x14ac:dyDescent="0.25">
      <c r="A141">
        <v>100670</v>
      </c>
      <c r="B141" t="s">
        <v>358</v>
      </c>
      <c r="C141" t="s">
        <v>110</v>
      </c>
      <c r="D141" t="s">
        <v>359</v>
      </c>
      <c r="F141" t="s">
        <v>30</v>
      </c>
      <c r="G141" t="s">
        <v>2658</v>
      </c>
      <c r="H141" t="s">
        <v>18</v>
      </c>
      <c r="I141">
        <v>0</v>
      </c>
      <c r="J141">
        <v>481</v>
      </c>
      <c r="K141" t="s">
        <v>19</v>
      </c>
      <c r="L141" t="s">
        <v>2588</v>
      </c>
    </row>
    <row r="142" spans="1:12" x14ac:dyDescent="0.25">
      <c r="A142">
        <v>100489</v>
      </c>
      <c r="B142" t="s">
        <v>360</v>
      </c>
      <c r="C142" t="s">
        <v>149</v>
      </c>
      <c r="D142" t="s">
        <v>361</v>
      </c>
      <c r="E142" t="s">
        <v>362</v>
      </c>
      <c r="F142" t="s">
        <v>41</v>
      </c>
      <c r="G142" t="s">
        <v>55</v>
      </c>
      <c r="H142" t="s">
        <v>2581</v>
      </c>
      <c r="I142">
        <v>0</v>
      </c>
      <c r="J142">
        <v>621</v>
      </c>
      <c r="K142" t="s">
        <v>45</v>
      </c>
      <c r="L142" t="s">
        <v>20</v>
      </c>
    </row>
    <row r="143" spans="1:12" x14ac:dyDescent="0.25">
      <c r="A143">
        <v>100531</v>
      </c>
      <c r="B143" t="s">
        <v>230</v>
      </c>
      <c r="C143" t="s">
        <v>95</v>
      </c>
      <c r="D143" t="s">
        <v>363</v>
      </c>
      <c r="E143" t="s">
        <v>2726</v>
      </c>
      <c r="F143" t="s">
        <v>2593</v>
      </c>
      <c r="G143" t="s">
        <v>2580</v>
      </c>
      <c r="H143" t="s">
        <v>2587</v>
      </c>
      <c r="I143">
        <v>0</v>
      </c>
      <c r="J143">
        <v>818</v>
      </c>
      <c r="K143" t="s">
        <v>32</v>
      </c>
      <c r="L143" t="s">
        <v>26</v>
      </c>
    </row>
    <row r="144" spans="1:12" x14ac:dyDescent="0.25">
      <c r="A144">
        <v>100361</v>
      </c>
      <c r="B144" t="s">
        <v>364</v>
      </c>
      <c r="C144" t="s">
        <v>103</v>
      </c>
      <c r="D144" t="s">
        <v>365</v>
      </c>
      <c r="E144" t="s">
        <v>366</v>
      </c>
      <c r="F144" t="s">
        <v>2616</v>
      </c>
      <c r="G144" t="s">
        <v>2617</v>
      </c>
      <c r="H144" t="s">
        <v>2581</v>
      </c>
      <c r="I144">
        <v>0</v>
      </c>
      <c r="J144">
        <v>351</v>
      </c>
      <c r="K144" t="s">
        <v>45</v>
      </c>
      <c r="L144" t="s">
        <v>26</v>
      </c>
    </row>
    <row r="145" spans="1:12" x14ac:dyDescent="0.25">
      <c r="A145">
        <v>101739</v>
      </c>
      <c r="B145" t="s">
        <v>367</v>
      </c>
      <c r="C145" t="s">
        <v>103</v>
      </c>
      <c r="D145" t="s">
        <v>368</v>
      </c>
      <c r="E145" t="s">
        <v>2727</v>
      </c>
      <c r="F145" t="s">
        <v>2616</v>
      </c>
      <c r="G145" t="s">
        <v>2596</v>
      </c>
      <c r="H145" t="s">
        <v>25</v>
      </c>
      <c r="I145">
        <v>17</v>
      </c>
      <c r="J145">
        <v>621</v>
      </c>
      <c r="K145" t="s">
        <v>45</v>
      </c>
      <c r="L145" t="s">
        <v>2588</v>
      </c>
    </row>
    <row r="146" spans="1:12" x14ac:dyDescent="0.25">
      <c r="A146">
        <v>102051</v>
      </c>
      <c r="B146" t="s">
        <v>57</v>
      </c>
      <c r="C146" t="s">
        <v>2728</v>
      </c>
      <c r="D146" t="s">
        <v>369</v>
      </c>
      <c r="E146" t="s">
        <v>370</v>
      </c>
      <c r="F146" t="s">
        <v>2629</v>
      </c>
      <c r="G146" t="s">
        <v>2682</v>
      </c>
      <c r="H146" t="s">
        <v>2620</v>
      </c>
      <c r="I146">
        <v>0</v>
      </c>
      <c r="J146">
        <v>798</v>
      </c>
      <c r="K146" t="s">
        <v>19</v>
      </c>
      <c r="L146" t="s">
        <v>2582</v>
      </c>
    </row>
    <row r="147" spans="1:12" x14ac:dyDescent="0.25">
      <c r="A147">
        <v>101634</v>
      </c>
      <c r="B147" t="s">
        <v>371</v>
      </c>
      <c r="C147" t="s">
        <v>52</v>
      </c>
      <c r="D147" t="s">
        <v>372</v>
      </c>
      <c r="E147" t="s">
        <v>2729</v>
      </c>
      <c r="F147" t="s">
        <v>2593</v>
      </c>
      <c r="G147" t="s">
        <v>81</v>
      </c>
      <c r="H147" t="s">
        <v>18</v>
      </c>
      <c r="I147">
        <v>0</v>
      </c>
      <c r="J147">
        <v>339</v>
      </c>
      <c r="K147" t="s">
        <v>45</v>
      </c>
      <c r="L147" t="s">
        <v>26</v>
      </c>
    </row>
    <row r="148" spans="1:12" x14ac:dyDescent="0.25">
      <c r="A148">
        <v>100111</v>
      </c>
      <c r="B148" t="s">
        <v>292</v>
      </c>
      <c r="C148" t="s">
        <v>2730</v>
      </c>
      <c r="D148" t="s">
        <v>373</v>
      </c>
      <c r="E148" t="s">
        <v>2731</v>
      </c>
      <c r="F148" t="s">
        <v>2593</v>
      </c>
      <c r="G148" t="s">
        <v>81</v>
      </c>
      <c r="H148" t="s">
        <v>18</v>
      </c>
      <c r="I148">
        <v>0</v>
      </c>
      <c r="J148">
        <v>466</v>
      </c>
      <c r="K148" t="s">
        <v>45</v>
      </c>
      <c r="L148" t="s">
        <v>20</v>
      </c>
    </row>
    <row r="149" spans="1:12" x14ac:dyDescent="0.25">
      <c r="A149">
        <v>100172</v>
      </c>
      <c r="B149" t="s">
        <v>374</v>
      </c>
      <c r="C149" t="s">
        <v>2696</v>
      </c>
      <c r="D149" t="s">
        <v>375</v>
      </c>
      <c r="E149" t="s">
        <v>2732</v>
      </c>
      <c r="F149" t="s">
        <v>2593</v>
      </c>
      <c r="G149" t="s">
        <v>31</v>
      </c>
      <c r="H149" t="s">
        <v>18</v>
      </c>
      <c r="I149">
        <v>0</v>
      </c>
      <c r="J149">
        <v>342</v>
      </c>
      <c r="K149" t="s">
        <v>56</v>
      </c>
      <c r="L149" t="s">
        <v>26</v>
      </c>
    </row>
    <row r="150" spans="1:12" x14ac:dyDescent="0.25">
      <c r="A150">
        <v>100525</v>
      </c>
      <c r="B150" t="s">
        <v>376</v>
      </c>
      <c r="C150" t="s">
        <v>2686</v>
      </c>
      <c r="D150" t="s">
        <v>318</v>
      </c>
      <c r="E150" t="s">
        <v>2733</v>
      </c>
      <c r="F150" t="s">
        <v>2579</v>
      </c>
      <c r="G150" t="s">
        <v>2614</v>
      </c>
      <c r="H150" t="s">
        <v>2594</v>
      </c>
      <c r="I150">
        <v>101</v>
      </c>
      <c r="J150">
        <v>340</v>
      </c>
      <c r="K150" t="s">
        <v>19</v>
      </c>
      <c r="L150" t="s">
        <v>2588</v>
      </c>
    </row>
    <row r="151" spans="1:12" x14ac:dyDescent="0.25">
      <c r="A151">
        <v>100601</v>
      </c>
      <c r="B151" t="s">
        <v>238</v>
      </c>
      <c r="C151" t="s">
        <v>47</v>
      </c>
      <c r="D151" t="s">
        <v>377</v>
      </c>
      <c r="E151" t="s">
        <v>2734</v>
      </c>
      <c r="F151" t="s">
        <v>2643</v>
      </c>
      <c r="G151" t="s">
        <v>2600</v>
      </c>
      <c r="H151" t="s">
        <v>2587</v>
      </c>
      <c r="I151">
        <v>0</v>
      </c>
      <c r="J151">
        <v>497</v>
      </c>
      <c r="K151" t="s">
        <v>37</v>
      </c>
      <c r="L151" t="s">
        <v>20</v>
      </c>
    </row>
    <row r="152" spans="1:12" x14ac:dyDescent="0.25">
      <c r="A152">
        <v>100705</v>
      </c>
      <c r="B152" t="s">
        <v>204</v>
      </c>
      <c r="C152" t="s">
        <v>152</v>
      </c>
      <c r="D152" t="s">
        <v>378</v>
      </c>
      <c r="E152" t="s">
        <v>2735</v>
      </c>
      <c r="F152" t="s">
        <v>2598</v>
      </c>
      <c r="G152" t="s">
        <v>2635</v>
      </c>
      <c r="H152" t="s">
        <v>2618</v>
      </c>
      <c r="I152">
        <v>0</v>
      </c>
      <c r="J152">
        <v>362</v>
      </c>
      <c r="K152" t="s">
        <v>32</v>
      </c>
      <c r="L152" t="s">
        <v>20</v>
      </c>
    </row>
    <row r="153" spans="1:12" x14ac:dyDescent="0.25">
      <c r="A153">
        <v>100053</v>
      </c>
      <c r="B153" t="s">
        <v>340</v>
      </c>
      <c r="C153" t="s">
        <v>100</v>
      </c>
      <c r="D153" t="s">
        <v>380</v>
      </c>
      <c r="E153" t="s">
        <v>381</v>
      </c>
      <c r="F153" t="s">
        <v>30</v>
      </c>
      <c r="G153" t="s">
        <v>81</v>
      </c>
      <c r="H153" t="s">
        <v>2620</v>
      </c>
      <c r="J153">
        <v>705</v>
      </c>
      <c r="K153" t="s">
        <v>45</v>
      </c>
      <c r="L153" t="s">
        <v>20</v>
      </c>
    </row>
    <row r="154" spans="1:12" x14ac:dyDescent="0.25">
      <c r="A154">
        <v>100858</v>
      </c>
      <c r="B154" t="s">
        <v>382</v>
      </c>
      <c r="C154" t="s">
        <v>152</v>
      </c>
      <c r="D154" t="s">
        <v>383</v>
      </c>
      <c r="E154" t="s">
        <v>384</v>
      </c>
      <c r="F154" t="s">
        <v>2648</v>
      </c>
      <c r="G154" t="s">
        <v>2611</v>
      </c>
      <c r="H154" t="s">
        <v>2620</v>
      </c>
      <c r="I154">
        <v>0</v>
      </c>
      <c r="J154">
        <v>797</v>
      </c>
      <c r="K154" t="s">
        <v>37</v>
      </c>
      <c r="L154" t="s">
        <v>2588</v>
      </c>
    </row>
    <row r="155" spans="1:12" x14ac:dyDescent="0.25">
      <c r="A155">
        <v>100834</v>
      </c>
      <c r="B155" t="s">
        <v>385</v>
      </c>
      <c r="C155" t="s">
        <v>85</v>
      </c>
      <c r="D155" t="s">
        <v>386</v>
      </c>
      <c r="E155" t="s">
        <v>2736</v>
      </c>
      <c r="F155" t="s">
        <v>2648</v>
      </c>
      <c r="G155" t="s">
        <v>2584</v>
      </c>
      <c r="H155" t="s">
        <v>83</v>
      </c>
      <c r="I155">
        <v>0</v>
      </c>
      <c r="J155">
        <v>490</v>
      </c>
      <c r="L155" t="s">
        <v>2588</v>
      </c>
    </row>
    <row r="156" spans="1:12" x14ac:dyDescent="0.25">
      <c r="A156">
        <v>101899</v>
      </c>
      <c r="B156" t="s">
        <v>141</v>
      </c>
      <c r="C156" t="s">
        <v>142</v>
      </c>
      <c r="D156" t="s">
        <v>387</v>
      </c>
      <c r="E156" t="s">
        <v>2737</v>
      </c>
      <c r="F156" t="s">
        <v>2613</v>
      </c>
      <c r="G156" t="s">
        <v>2609</v>
      </c>
      <c r="H156" t="s">
        <v>2620</v>
      </c>
      <c r="I156">
        <v>0</v>
      </c>
      <c r="J156">
        <v>430</v>
      </c>
      <c r="K156" t="s">
        <v>45</v>
      </c>
      <c r="L156" t="s">
        <v>2588</v>
      </c>
    </row>
    <row r="157" spans="1:12" x14ac:dyDescent="0.25">
      <c r="A157">
        <v>101669</v>
      </c>
      <c r="B157" t="s">
        <v>388</v>
      </c>
      <c r="C157" t="s">
        <v>142</v>
      </c>
      <c r="D157" t="s">
        <v>389</v>
      </c>
      <c r="E157" t="s">
        <v>2738</v>
      </c>
      <c r="F157" t="s">
        <v>2608</v>
      </c>
      <c r="G157" t="s">
        <v>2635</v>
      </c>
      <c r="H157" t="s">
        <v>2581</v>
      </c>
      <c r="I157">
        <v>0</v>
      </c>
      <c r="J157">
        <v>662</v>
      </c>
      <c r="K157" t="s">
        <v>56</v>
      </c>
      <c r="L157" t="s">
        <v>26</v>
      </c>
    </row>
    <row r="158" spans="1:12" x14ac:dyDescent="0.25">
      <c r="A158">
        <v>101534</v>
      </c>
      <c r="B158" t="s">
        <v>390</v>
      </c>
      <c r="C158" t="s">
        <v>110</v>
      </c>
      <c r="D158" t="s">
        <v>391</v>
      </c>
      <c r="E158" t="s">
        <v>2739</v>
      </c>
      <c r="F158" t="s">
        <v>2646</v>
      </c>
      <c r="G158" t="s">
        <v>60</v>
      </c>
      <c r="H158" t="s">
        <v>2618</v>
      </c>
      <c r="I158">
        <v>0</v>
      </c>
      <c r="J158">
        <v>773</v>
      </c>
      <c r="K158" t="s">
        <v>19</v>
      </c>
      <c r="L158" t="s">
        <v>26</v>
      </c>
    </row>
    <row r="159" spans="1:12" x14ac:dyDescent="0.25">
      <c r="A159">
        <v>100334</v>
      </c>
      <c r="B159" t="s">
        <v>392</v>
      </c>
      <c r="C159" t="s">
        <v>2621</v>
      </c>
      <c r="D159" t="s">
        <v>393</v>
      </c>
      <c r="E159" t="s">
        <v>394</v>
      </c>
      <c r="F159" t="s">
        <v>2590</v>
      </c>
      <c r="H159" t="s">
        <v>2581</v>
      </c>
      <c r="I159">
        <v>0</v>
      </c>
      <c r="J159">
        <v>433</v>
      </c>
      <c r="K159" t="s">
        <v>45</v>
      </c>
      <c r="L159" t="s">
        <v>2588</v>
      </c>
    </row>
    <row r="160" spans="1:12" x14ac:dyDescent="0.25">
      <c r="A160">
        <v>100559</v>
      </c>
      <c r="B160" t="s">
        <v>342</v>
      </c>
      <c r="C160" t="s">
        <v>110</v>
      </c>
      <c r="D160" t="s">
        <v>395</v>
      </c>
      <c r="E160" t="s">
        <v>2740</v>
      </c>
      <c r="F160" t="s">
        <v>2598</v>
      </c>
      <c r="G160" t="s">
        <v>2617</v>
      </c>
      <c r="H160" t="s">
        <v>18</v>
      </c>
      <c r="I160">
        <v>0</v>
      </c>
      <c r="J160">
        <v>659</v>
      </c>
      <c r="K160" t="s">
        <v>45</v>
      </c>
      <c r="L160" t="s">
        <v>20</v>
      </c>
    </row>
    <row r="161" spans="1:12" x14ac:dyDescent="0.25">
      <c r="A161">
        <v>100305</v>
      </c>
      <c r="B161" t="s">
        <v>396</v>
      </c>
      <c r="C161" t="s">
        <v>103</v>
      </c>
      <c r="D161" t="s">
        <v>397</v>
      </c>
      <c r="E161" t="s">
        <v>398</v>
      </c>
      <c r="F161" t="s">
        <v>2593</v>
      </c>
      <c r="G161" t="s">
        <v>2658</v>
      </c>
      <c r="H161" t="s">
        <v>2620</v>
      </c>
      <c r="I161">
        <v>0</v>
      </c>
      <c r="J161">
        <v>437</v>
      </c>
      <c r="L161" t="s">
        <v>2582</v>
      </c>
    </row>
    <row r="162" spans="1:12" x14ac:dyDescent="0.25">
      <c r="A162">
        <v>102019</v>
      </c>
      <c r="B162" t="s">
        <v>399</v>
      </c>
      <c r="D162" t="s">
        <v>400</v>
      </c>
      <c r="E162" t="s">
        <v>2741</v>
      </c>
      <c r="F162" t="s">
        <v>50</v>
      </c>
      <c r="G162" t="s">
        <v>2602</v>
      </c>
      <c r="H162" t="s">
        <v>83</v>
      </c>
      <c r="I162">
        <v>0</v>
      </c>
      <c r="J162">
        <v>370</v>
      </c>
      <c r="K162" t="s">
        <v>45</v>
      </c>
      <c r="L162" t="s">
        <v>2588</v>
      </c>
    </row>
    <row r="163" spans="1:12" x14ac:dyDescent="0.25">
      <c r="A163">
        <v>101709</v>
      </c>
      <c r="B163" t="s">
        <v>212</v>
      </c>
      <c r="C163" t="s">
        <v>95</v>
      </c>
      <c r="D163" t="s">
        <v>401</v>
      </c>
      <c r="E163" t="s">
        <v>2742</v>
      </c>
      <c r="F163" t="s">
        <v>2608</v>
      </c>
      <c r="G163" t="s">
        <v>2600</v>
      </c>
      <c r="H163" t="s">
        <v>2594</v>
      </c>
      <c r="I163">
        <v>70</v>
      </c>
      <c r="J163">
        <v>662</v>
      </c>
      <c r="K163" t="s">
        <v>56</v>
      </c>
      <c r="L163" t="s">
        <v>20</v>
      </c>
    </row>
    <row r="164" spans="1:12" x14ac:dyDescent="0.25">
      <c r="A164">
        <v>101432</v>
      </c>
      <c r="B164" t="s">
        <v>402</v>
      </c>
      <c r="C164" t="s">
        <v>2743</v>
      </c>
      <c r="D164" t="s">
        <v>403</v>
      </c>
      <c r="E164" t="s">
        <v>404</v>
      </c>
      <c r="F164" t="s">
        <v>30</v>
      </c>
      <c r="G164" t="s">
        <v>2625</v>
      </c>
      <c r="H164" t="s">
        <v>2594</v>
      </c>
      <c r="I164">
        <v>169</v>
      </c>
      <c r="J164">
        <v>355</v>
      </c>
      <c r="K164" t="s">
        <v>32</v>
      </c>
      <c r="L164" t="s">
        <v>20</v>
      </c>
    </row>
    <row r="165" spans="1:12" x14ac:dyDescent="0.25">
      <c r="A165">
        <v>100958</v>
      </c>
      <c r="B165" t="s">
        <v>232</v>
      </c>
      <c r="C165" t="s">
        <v>152</v>
      </c>
      <c r="D165" t="s">
        <v>405</v>
      </c>
      <c r="E165" t="s">
        <v>406</v>
      </c>
      <c r="F165" t="s">
        <v>2608</v>
      </c>
      <c r="G165" t="s">
        <v>2607</v>
      </c>
      <c r="H165" t="s">
        <v>2587</v>
      </c>
      <c r="I165">
        <v>0</v>
      </c>
      <c r="J165">
        <v>781</v>
      </c>
      <c r="K165" t="s">
        <v>56</v>
      </c>
      <c r="L165" t="s">
        <v>20</v>
      </c>
    </row>
    <row r="166" spans="1:12" x14ac:dyDescent="0.25">
      <c r="A166">
        <v>100094</v>
      </c>
      <c r="B166" t="s">
        <v>307</v>
      </c>
      <c r="C166" t="s">
        <v>58</v>
      </c>
      <c r="D166" t="s">
        <v>407</v>
      </c>
      <c r="E166" t="s">
        <v>408</v>
      </c>
      <c r="F166" t="s">
        <v>2608</v>
      </c>
      <c r="G166" t="s">
        <v>2635</v>
      </c>
      <c r="H166" t="s">
        <v>2587</v>
      </c>
      <c r="I166">
        <v>0</v>
      </c>
      <c r="J166">
        <v>616</v>
      </c>
      <c r="K166" t="s">
        <v>37</v>
      </c>
      <c r="L166" t="s">
        <v>26</v>
      </c>
    </row>
    <row r="167" spans="1:12" x14ac:dyDescent="0.25">
      <c r="A167">
        <v>102107</v>
      </c>
      <c r="B167" t="s">
        <v>409</v>
      </c>
      <c r="C167" t="s">
        <v>2706</v>
      </c>
      <c r="D167" t="s">
        <v>410</v>
      </c>
      <c r="E167" t="s">
        <v>411</v>
      </c>
      <c r="F167" t="s">
        <v>2616</v>
      </c>
      <c r="G167" t="s">
        <v>2602</v>
      </c>
      <c r="H167" t="s">
        <v>2581</v>
      </c>
      <c r="I167">
        <v>0</v>
      </c>
      <c r="J167">
        <v>694</v>
      </c>
      <c r="K167" t="s">
        <v>19</v>
      </c>
      <c r="L167" t="s">
        <v>26</v>
      </c>
    </row>
    <row r="168" spans="1:12" x14ac:dyDescent="0.25">
      <c r="A168">
        <v>100626</v>
      </c>
      <c r="B168" t="s">
        <v>196</v>
      </c>
      <c r="C168" t="s">
        <v>152</v>
      </c>
      <c r="D168" t="s">
        <v>412</v>
      </c>
      <c r="E168" t="s">
        <v>2744</v>
      </c>
      <c r="F168" t="s">
        <v>64</v>
      </c>
      <c r="G168" t="s">
        <v>2600</v>
      </c>
      <c r="H168" t="s">
        <v>2587</v>
      </c>
      <c r="I168">
        <v>0</v>
      </c>
      <c r="J168">
        <v>405</v>
      </c>
      <c r="K168" t="s">
        <v>32</v>
      </c>
      <c r="L168" t="s">
        <v>20</v>
      </c>
    </row>
    <row r="169" spans="1:12" x14ac:dyDescent="0.25">
      <c r="A169">
        <v>101866</v>
      </c>
      <c r="B169" t="s">
        <v>371</v>
      </c>
      <c r="C169" t="s">
        <v>2680</v>
      </c>
      <c r="D169" t="s">
        <v>413</v>
      </c>
      <c r="E169" t="s">
        <v>2745</v>
      </c>
      <c r="F169" t="s">
        <v>2604</v>
      </c>
      <c r="G169" t="s">
        <v>2607</v>
      </c>
      <c r="H169" t="s">
        <v>2623</v>
      </c>
      <c r="I169">
        <v>146</v>
      </c>
      <c r="J169">
        <v>339</v>
      </c>
      <c r="K169" t="s">
        <v>32</v>
      </c>
      <c r="L169" t="s">
        <v>2582</v>
      </c>
    </row>
    <row r="170" spans="1:12" x14ac:dyDescent="0.25">
      <c r="A170">
        <v>100218</v>
      </c>
      <c r="B170" t="s">
        <v>217</v>
      </c>
      <c r="C170" t="s">
        <v>218</v>
      </c>
      <c r="D170" t="s">
        <v>414</v>
      </c>
      <c r="E170" t="s">
        <v>415</v>
      </c>
      <c r="F170" t="s">
        <v>2646</v>
      </c>
      <c r="G170" t="s">
        <v>2617</v>
      </c>
      <c r="H170" t="s">
        <v>2620</v>
      </c>
      <c r="I170">
        <v>0</v>
      </c>
      <c r="J170">
        <v>894</v>
      </c>
      <c r="K170" t="s">
        <v>19</v>
      </c>
      <c r="L170" t="s">
        <v>2582</v>
      </c>
    </row>
    <row r="171" spans="1:12" x14ac:dyDescent="0.25">
      <c r="A171">
        <v>101715</v>
      </c>
      <c r="B171" t="s">
        <v>358</v>
      </c>
      <c r="C171" t="s">
        <v>110</v>
      </c>
      <c r="D171" t="s">
        <v>416</v>
      </c>
      <c r="E171" t="s">
        <v>417</v>
      </c>
      <c r="F171" t="s">
        <v>2593</v>
      </c>
      <c r="G171" t="s">
        <v>2652</v>
      </c>
      <c r="H171" t="s">
        <v>83</v>
      </c>
      <c r="I171">
        <v>0</v>
      </c>
      <c r="J171">
        <v>481</v>
      </c>
      <c r="K171" t="s">
        <v>32</v>
      </c>
      <c r="L171" t="s">
        <v>20</v>
      </c>
    </row>
    <row r="172" spans="1:12" x14ac:dyDescent="0.25">
      <c r="A172">
        <v>101950</v>
      </c>
      <c r="B172" t="s">
        <v>418</v>
      </c>
      <c r="C172" t="s">
        <v>52</v>
      </c>
      <c r="D172" t="s">
        <v>419</v>
      </c>
      <c r="E172" t="s">
        <v>2746</v>
      </c>
      <c r="F172" t="s">
        <v>2616</v>
      </c>
      <c r="G172" t="s">
        <v>2614</v>
      </c>
      <c r="H172" t="s">
        <v>2623</v>
      </c>
      <c r="I172">
        <v>125</v>
      </c>
      <c r="J172">
        <v>371</v>
      </c>
      <c r="K172" t="s">
        <v>19</v>
      </c>
      <c r="L172" t="s">
        <v>2588</v>
      </c>
    </row>
    <row r="173" spans="1:12" x14ac:dyDescent="0.25">
      <c r="A173">
        <v>102050</v>
      </c>
      <c r="B173" t="s">
        <v>420</v>
      </c>
      <c r="D173" t="s">
        <v>421</v>
      </c>
      <c r="E173" t="s">
        <v>422</v>
      </c>
      <c r="F173" t="s">
        <v>50</v>
      </c>
      <c r="G173" t="s">
        <v>2625</v>
      </c>
      <c r="H173" t="s">
        <v>2587</v>
      </c>
      <c r="I173">
        <v>0</v>
      </c>
      <c r="J173">
        <v>418</v>
      </c>
      <c r="K173" t="s">
        <v>37</v>
      </c>
      <c r="L173" t="s">
        <v>20</v>
      </c>
    </row>
    <row r="174" spans="1:12" x14ac:dyDescent="0.25">
      <c r="A174">
        <v>100938</v>
      </c>
      <c r="B174" t="s">
        <v>269</v>
      </c>
      <c r="C174" t="s">
        <v>270</v>
      </c>
      <c r="D174" t="s">
        <v>423</v>
      </c>
      <c r="E174" t="s">
        <v>2747</v>
      </c>
      <c r="F174" t="s">
        <v>41</v>
      </c>
      <c r="G174" t="s">
        <v>2584</v>
      </c>
      <c r="H174" t="s">
        <v>2587</v>
      </c>
      <c r="I174">
        <v>0</v>
      </c>
      <c r="J174">
        <v>515</v>
      </c>
      <c r="K174" t="s">
        <v>56</v>
      </c>
      <c r="L174" t="s">
        <v>2588</v>
      </c>
    </row>
    <row r="175" spans="1:12" x14ac:dyDescent="0.25">
      <c r="A175">
        <v>100977</v>
      </c>
      <c r="B175" t="s">
        <v>51</v>
      </c>
      <c r="C175" t="s">
        <v>52</v>
      </c>
      <c r="D175" t="s">
        <v>190</v>
      </c>
      <c r="E175" t="s">
        <v>424</v>
      </c>
      <c r="F175" t="s">
        <v>2593</v>
      </c>
      <c r="G175" t="s">
        <v>2635</v>
      </c>
      <c r="H175" t="s">
        <v>18</v>
      </c>
      <c r="I175">
        <v>0</v>
      </c>
      <c r="J175">
        <v>567</v>
      </c>
      <c r="K175" t="s">
        <v>56</v>
      </c>
      <c r="L175" t="s">
        <v>20</v>
      </c>
    </row>
    <row r="176" spans="1:12" x14ac:dyDescent="0.25">
      <c r="A176">
        <v>101141</v>
      </c>
      <c r="B176" t="s">
        <v>425</v>
      </c>
      <c r="C176" t="s">
        <v>2730</v>
      </c>
      <c r="D176" t="s">
        <v>426</v>
      </c>
      <c r="E176" t="s">
        <v>2748</v>
      </c>
      <c r="F176" t="s">
        <v>2598</v>
      </c>
      <c r="G176" t="s">
        <v>2609</v>
      </c>
      <c r="H176" t="s">
        <v>18</v>
      </c>
      <c r="I176">
        <v>0</v>
      </c>
      <c r="J176">
        <v>720</v>
      </c>
      <c r="K176" t="s">
        <v>37</v>
      </c>
      <c r="L176" t="s">
        <v>2588</v>
      </c>
    </row>
    <row r="177" spans="1:12" x14ac:dyDescent="0.25">
      <c r="A177">
        <v>100565</v>
      </c>
      <c r="B177" t="s">
        <v>427</v>
      </c>
      <c r="C177" t="s">
        <v>244</v>
      </c>
      <c r="D177" t="s">
        <v>428</v>
      </c>
      <c r="E177" t="s">
        <v>2749</v>
      </c>
      <c r="F177" t="s">
        <v>2629</v>
      </c>
      <c r="G177" t="s">
        <v>2596</v>
      </c>
      <c r="H177" t="s">
        <v>2587</v>
      </c>
      <c r="I177">
        <v>0</v>
      </c>
      <c r="J177">
        <v>740</v>
      </c>
      <c r="K177" t="s">
        <v>37</v>
      </c>
      <c r="L177" t="s">
        <v>2582</v>
      </c>
    </row>
    <row r="178" spans="1:12" x14ac:dyDescent="0.25">
      <c r="A178">
        <v>100465</v>
      </c>
      <c r="B178" t="s">
        <v>429</v>
      </c>
      <c r="C178" t="s">
        <v>52</v>
      </c>
      <c r="D178" t="s">
        <v>430</v>
      </c>
      <c r="E178" t="s">
        <v>2750</v>
      </c>
      <c r="F178" t="s">
        <v>41</v>
      </c>
      <c r="G178" t="s">
        <v>31</v>
      </c>
      <c r="H178" t="s">
        <v>2587</v>
      </c>
      <c r="I178">
        <v>0</v>
      </c>
      <c r="J178">
        <v>568</v>
      </c>
      <c r="K178" t="s">
        <v>37</v>
      </c>
      <c r="L178" t="s">
        <v>26</v>
      </c>
    </row>
    <row r="179" spans="1:12" x14ac:dyDescent="0.25">
      <c r="A179">
        <v>100406</v>
      </c>
      <c r="B179" t="s">
        <v>431</v>
      </c>
      <c r="D179" t="s">
        <v>432</v>
      </c>
      <c r="E179" t="s">
        <v>2751</v>
      </c>
      <c r="F179" t="s">
        <v>2613</v>
      </c>
      <c r="G179" t="s">
        <v>2600</v>
      </c>
      <c r="H179" t="s">
        <v>2644</v>
      </c>
      <c r="I179">
        <v>0</v>
      </c>
      <c r="J179">
        <v>691</v>
      </c>
      <c r="K179" t="s">
        <v>56</v>
      </c>
      <c r="L179" t="s">
        <v>20</v>
      </c>
    </row>
    <row r="180" spans="1:12" x14ac:dyDescent="0.25">
      <c r="A180">
        <v>101933</v>
      </c>
      <c r="B180" t="s">
        <v>303</v>
      </c>
      <c r="C180" t="s">
        <v>187</v>
      </c>
      <c r="D180" t="s">
        <v>433</v>
      </c>
      <c r="E180" t="s">
        <v>2752</v>
      </c>
      <c r="F180" t="s">
        <v>2593</v>
      </c>
      <c r="G180" t="s">
        <v>2658</v>
      </c>
      <c r="H180" t="s">
        <v>25</v>
      </c>
      <c r="I180">
        <v>18</v>
      </c>
      <c r="J180">
        <v>800</v>
      </c>
      <c r="K180" t="s">
        <v>56</v>
      </c>
      <c r="L180" t="s">
        <v>20</v>
      </c>
    </row>
    <row r="181" spans="1:12" x14ac:dyDescent="0.25">
      <c r="A181">
        <v>100583</v>
      </c>
      <c r="B181" t="s">
        <v>225</v>
      </c>
      <c r="C181" t="s">
        <v>2649</v>
      </c>
      <c r="D181" t="s">
        <v>434</v>
      </c>
      <c r="E181" t="s">
        <v>435</v>
      </c>
      <c r="F181" t="s">
        <v>2604</v>
      </c>
      <c r="G181" t="s">
        <v>2611</v>
      </c>
      <c r="H181" t="s">
        <v>83</v>
      </c>
      <c r="I181">
        <v>0</v>
      </c>
      <c r="J181">
        <v>741</v>
      </c>
      <c r="K181" t="s">
        <v>45</v>
      </c>
      <c r="L181" t="s">
        <v>2588</v>
      </c>
    </row>
    <row r="182" spans="1:12" x14ac:dyDescent="0.25">
      <c r="A182">
        <v>100479</v>
      </c>
      <c r="B182" t="s">
        <v>352</v>
      </c>
      <c r="C182" t="s">
        <v>85</v>
      </c>
      <c r="D182" t="s">
        <v>436</v>
      </c>
      <c r="E182" t="s">
        <v>2753</v>
      </c>
      <c r="F182" t="s">
        <v>2579</v>
      </c>
      <c r="G182" t="s">
        <v>2611</v>
      </c>
      <c r="H182" t="s">
        <v>83</v>
      </c>
      <c r="I182">
        <v>0</v>
      </c>
      <c r="J182">
        <v>778</v>
      </c>
      <c r="K182" t="s">
        <v>56</v>
      </c>
      <c r="L182" t="s">
        <v>26</v>
      </c>
    </row>
    <row r="183" spans="1:12" x14ac:dyDescent="0.25">
      <c r="A183">
        <v>100393</v>
      </c>
      <c r="B183" t="s">
        <v>376</v>
      </c>
      <c r="C183" t="s">
        <v>22</v>
      </c>
      <c r="D183" t="s">
        <v>437</v>
      </c>
      <c r="E183" t="s">
        <v>2754</v>
      </c>
      <c r="F183" t="s">
        <v>2641</v>
      </c>
      <c r="G183" t="s">
        <v>2617</v>
      </c>
      <c r="H183" t="s">
        <v>2587</v>
      </c>
      <c r="I183">
        <v>0</v>
      </c>
      <c r="J183">
        <v>340</v>
      </c>
      <c r="K183" t="s">
        <v>37</v>
      </c>
      <c r="L183" t="s">
        <v>20</v>
      </c>
    </row>
    <row r="184" spans="1:12" x14ac:dyDescent="0.25">
      <c r="A184">
        <v>100753</v>
      </c>
      <c r="B184" t="s">
        <v>438</v>
      </c>
      <c r="C184" t="s">
        <v>95</v>
      </c>
      <c r="D184" t="s">
        <v>439</v>
      </c>
      <c r="E184" t="s">
        <v>2755</v>
      </c>
      <c r="F184" t="s">
        <v>2593</v>
      </c>
      <c r="G184" t="s">
        <v>60</v>
      </c>
      <c r="H184" t="s">
        <v>2587</v>
      </c>
      <c r="I184">
        <v>0</v>
      </c>
      <c r="J184">
        <v>858</v>
      </c>
      <c r="K184" t="s">
        <v>32</v>
      </c>
      <c r="L184" t="s">
        <v>2588</v>
      </c>
    </row>
    <row r="185" spans="1:12" x14ac:dyDescent="0.25">
      <c r="A185">
        <v>101864</v>
      </c>
      <c r="B185" t="s">
        <v>125</v>
      </c>
      <c r="C185" t="s">
        <v>126</v>
      </c>
      <c r="D185" t="s">
        <v>440</v>
      </c>
      <c r="E185" t="s">
        <v>441</v>
      </c>
      <c r="F185" t="s">
        <v>2627</v>
      </c>
      <c r="G185" t="s">
        <v>2614</v>
      </c>
      <c r="H185" t="s">
        <v>2620</v>
      </c>
      <c r="I185">
        <v>0</v>
      </c>
      <c r="J185">
        <v>461</v>
      </c>
      <c r="K185" t="s">
        <v>45</v>
      </c>
      <c r="L185" t="s">
        <v>26</v>
      </c>
    </row>
    <row r="186" spans="1:12" x14ac:dyDescent="0.25">
      <c r="A186">
        <v>101455</v>
      </c>
      <c r="B186" t="s">
        <v>174</v>
      </c>
      <c r="C186" t="s">
        <v>134</v>
      </c>
      <c r="D186" t="s">
        <v>442</v>
      </c>
      <c r="E186" t="s">
        <v>2756</v>
      </c>
      <c r="F186" t="s">
        <v>2641</v>
      </c>
      <c r="G186" t="s">
        <v>2633</v>
      </c>
      <c r="H186" t="s">
        <v>2581</v>
      </c>
      <c r="I186">
        <v>0</v>
      </c>
      <c r="J186">
        <v>554</v>
      </c>
      <c r="K186" t="s">
        <v>56</v>
      </c>
      <c r="L186" t="s">
        <v>26</v>
      </c>
    </row>
    <row r="187" spans="1:12" x14ac:dyDescent="0.25">
      <c r="A187">
        <v>100901</v>
      </c>
      <c r="B187" t="s">
        <v>443</v>
      </c>
      <c r="C187" t="s">
        <v>72</v>
      </c>
      <c r="D187" t="s">
        <v>66</v>
      </c>
      <c r="E187" t="s">
        <v>2757</v>
      </c>
      <c r="F187" t="s">
        <v>2643</v>
      </c>
      <c r="G187" t="s">
        <v>2633</v>
      </c>
      <c r="H187" t="s">
        <v>2620</v>
      </c>
      <c r="I187">
        <v>0</v>
      </c>
      <c r="J187">
        <v>309</v>
      </c>
      <c r="K187" t="s">
        <v>37</v>
      </c>
      <c r="L187" t="s">
        <v>26</v>
      </c>
    </row>
    <row r="188" spans="1:12" x14ac:dyDescent="0.25">
      <c r="A188">
        <v>101009</v>
      </c>
      <c r="B188" t="s">
        <v>444</v>
      </c>
      <c r="C188" t="s">
        <v>52</v>
      </c>
      <c r="D188" t="s">
        <v>445</v>
      </c>
      <c r="E188" t="s">
        <v>2758</v>
      </c>
      <c r="F188" t="s">
        <v>2641</v>
      </c>
      <c r="G188" t="s">
        <v>60</v>
      </c>
      <c r="H188" t="s">
        <v>18</v>
      </c>
      <c r="I188">
        <v>0</v>
      </c>
      <c r="J188">
        <v>688</v>
      </c>
      <c r="K188" t="s">
        <v>19</v>
      </c>
      <c r="L188" t="s">
        <v>2582</v>
      </c>
    </row>
    <row r="189" spans="1:12" x14ac:dyDescent="0.25">
      <c r="A189">
        <v>100533</v>
      </c>
      <c r="B189" t="s">
        <v>446</v>
      </c>
      <c r="C189" t="s">
        <v>168</v>
      </c>
      <c r="D189" t="s">
        <v>447</v>
      </c>
      <c r="E189" t="s">
        <v>448</v>
      </c>
      <c r="F189" t="s">
        <v>2646</v>
      </c>
      <c r="G189" t="s">
        <v>2609</v>
      </c>
      <c r="H189" t="s">
        <v>2618</v>
      </c>
      <c r="I189">
        <v>0</v>
      </c>
      <c r="J189">
        <v>515</v>
      </c>
      <c r="K189" t="s">
        <v>37</v>
      </c>
    </row>
    <row r="190" spans="1:12" x14ac:dyDescent="0.25">
      <c r="A190">
        <v>100915</v>
      </c>
      <c r="B190" t="s">
        <v>177</v>
      </c>
      <c r="C190" t="s">
        <v>85</v>
      </c>
      <c r="D190" t="s">
        <v>449</v>
      </c>
      <c r="E190" t="s">
        <v>2759</v>
      </c>
      <c r="F190" t="s">
        <v>50</v>
      </c>
      <c r="G190" t="s">
        <v>2631</v>
      </c>
      <c r="H190" t="s">
        <v>2587</v>
      </c>
      <c r="I190">
        <v>0</v>
      </c>
      <c r="J190">
        <v>375</v>
      </c>
      <c r="K190" t="s">
        <v>45</v>
      </c>
      <c r="L190" t="s">
        <v>20</v>
      </c>
    </row>
    <row r="191" spans="1:12" x14ac:dyDescent="0.25">
      <c r="A191">
        <v>100270</v>
      </c>
      <c r="B191" t="s">
        <v>450</v>
      </c>
      <c r="C191" t="s">
        <v>95</v>
      </c>
      <c r="D191" t="s">
        <v>421</v>
      </c>
      <c r="E191" t="s">
        <v>2760</v>
      </c>
      <c r="F191" t="s">
        <v>64</v>
      </c>
      <c r="G191" t="s">
        <v>2625</v>
      </c>
      <c r="H191" t="s">
        <v>2587</v>
      </c>
      <c r="I191">
        <v>0</v>
      </c>
      <c r="J191">
        <v>890</v>
      </c>
      <c r="K191" t="s">
        <v>45</v>
      </c>
      <c r="L191" t="s">
        <v>20</v>
      </c>
    </row>
    <row r="192" spans="1:12" x14ac:dyDescent="0.25">
      <c r="A192">
        <v>100091</v>
      </c>
      <c r="B192" t="s">
        <v>451</v>
      </c>
      <c r="C192" t="s">
        <v>103</v>
      </c>
      <c r="D192" t="s">
        <v>361</v>
      </c>
      <c r="E192" t="s">
        <v>452</v>
      </c>
      <c r="F192" t="s">
        <v>2590</v>
      </c>
      <c r="G192" t="s">
        <v>2682</v>
      </c>
      <c r="H192" t="s">
        <v>2620</v>
      </c>
      <c r="I192">
        <v>0</v>
      </c>
      <c r="J192">
        <v>418</v>
      </c>
      <c r="K192" t="s">
        <v>37</v>
      </c>
      <c r="L192" t="s">
        <v>20</v>
      </c>
    </row>
    <row r="193" spans="1:12" x14ac:dyDescent="0.25">
      <c r="A193">
        <v>100114</v>
      </c>
      <c r="B193" t="s">
        <v>358</v>
      </c>
      <c r="C193" t="s">
        <v>110</v>
      </c>
      <c r="D193" t="s">
        <v>453</v>
      </c>
      <c r="E193" t="s">
        <v>454</v>
      </c>
      <c r="F193" t="s">
        <v>2616</v>
      </c>
      <c r="G193" t="s">
        <v>55</v>
      </c>
      <c r="H193" t="s">
        <v>2620</v>
      </c>
      <c r="I193">
        <v>0</v>
      </c>
      <c r="J193">
        <v>481</v>
      </c>
      <c r="K193" t="s">
        <v>45</v>
      </c>
      <c r="L193" t="s">
        <v>26</v>
      </c>
    </row>
    <row r="194" spans="1:12" x14ac:dyDescent="0.25">
      <c r="A194">
        <v>101059</v>
      </c>
      <c r="B194" t="s">
        <v>444</v>
      </c>
      <c r="C194" t="s">
        <v>2680</v>
      </c>
      <c r="D194" t="s">
        <v>455</v>
      </c>
      <c r="E194" t="s">
        <v>456</v>
      </c>
      <c r="F194" t="s">
        <v>64</v>
      </c>
      <c r="G194" t="s">
        <v>2611</v>
      </c>
      <c r="H194" t="s">
        <v>2644</v>
      </c>
      <c r="I194">
        <v>0</v>
      </c>
      <c r="J194">
        <v>688</v>
      </c>
      <c r="K194" t="s">
        <v>37</v>
      </c>
      <c r="L194" t="s">
        <v>20</v>
      </c>
    </row>
    <row r="195" spans="1:12" x14ac:dyDescent="0.25">
      <c r="A195">
        <v>100116</v>
      </c>
      <c r="B195" t="s">
        <v>43</v>
      </c>
      <c r="C195" t="s">
        <v>22</v>
      </c>
      <c r="D195" t="s">
        <v>457</v>
      </c>
      <c r="E195" t="s">
        <v>2761</v>
      </c>
      <c r="F195" t="s">
        <v>50</v>
      </c>
      <c r="G195" t="s">
        <v>2617</v>
      </c>
      <c r="H195" t="s">
        <v>2644</v>
      </c>
      <c r="I195">
        <v>0</v>
      </c>
      <c r="J195">
        <v>396</v>
      </c>
      <c r="K195" t="s">
        <v>45</v>
      </c>
      <c r="L195" t="s">
        <v>20</v>
      </c>
    </row>
    <row r="196" spans="1:12" x14ac:dyDescent="0.25">
      <c r="A196">
        <v>101344</v>
      </c>
      <c r="B196" t="s">
        <v>138</v>
      </c>
      <c r="C196" t="s">
        <v>2699</v>
      </c>
      <c r="D196" t="s">
        <v>458</v>
      </c>
      <c r="E196" t="s">
        <v>459</v>
      </c>
      <c r="F196" t="s">
        <v>2640</v>
      </c>
      <c r="G196" t="s">
        <v>2609</v>
      </c>
      <c r="H196" t="s">
        <v>2620</v>
      </c>
      <c r="I196">
        <v>0</v>
      </c>
      <c r="J196">
        <v>623</v>
      </c>
      <c r="K196" t="s">
        <v>19</v>
      </c>
      <c r="L196" t="s">
        <v>20</v>
      </c>
    </row>
    <row r="197" spans="1:12" x14ac:dyDescent="0.25">
      <c r="A197">
        <v>101965</v>
      </c>
      <c r="B197" t="s">
        <v>292</v>
      </c>
      <c r="C197" t="s">
        <v>149</v>
      </c>
      <c r="D197" t="s">
        <v>353</v>
      </c>
      <c r="E197" t="s">
        <v>2762</v>
      </c>
      <c r="F197" t="s">
        <v>2593</v>
      </c>
      <c r="G197" t="s">
        <v>81</v>
      </c>
      <c r="H197" t="s">
        <v>2597</v>
      </c>
      <c r="I197">
        <v>22</v>
      </c>
      <c r="J197">
        <v>466</v>
      </c>
      <c r="K197" t="s">
        <v>37</v>
      </c>
      <c r="L197" t="s">
        <v>20</v>
      </c>
    </row>
    <row r="198" spans="1:12" x14ac:dyDescent="0.25">
      <c r="A198">
        <v>100973</v>
      </c>
      <c r="B198" t="s">
        <v>460</v>
      </c>
      <c r="D198" t="s">
        <v>461</v>
      </c>
      <c r="E198" t="s">
        <v>2763</v>
      </c>
      <c r="F198" t="s">
        <v>50</v>
      </c>
      <c r="G198" t="s">
        <v>55</v>
      </c>
      <c r="H198" t="s">
        <v>18</v>
      </c>
      <c r="I198">
        <v>0</v>
      </c>
      <c r="J198">
        <v>716</v>
      </c>
      <c r="K198" t="s">
        <v>32</v>
      </c>
      <c r="L198" t="s">
        <v>2588</v>
      </c>
    </row>
    <row r="199" spans="1:12" x14ac:dyDescent="0.25">
      <c r="A199">
        <v>101470</v>
      </c>
      <c r="B199" t="s">
        <v>462</v>
      </c>
      <c r="C199" t="s">
        <v>168</v>
      </c>
      <c r="E199" t="s">
        <v>2764</v>
      </c>
      <c r="F199" t="s">
        <v>2593</v>
      </c>
      <c r="G199" t="s">
        <v>31</v>
      </c>
      <c r="H199" t="s">
        <v>2581</v>
      </c>
      <c r="I199">
        <v>0</v>
      </c>
      <c r="J199">
        <v>716</v>
      </c>
      <c r="K199" t="s">
        <v>37</v>
      </c>
      <c r="L199" t="s">
        <v>26</v>
      </c>
    </row>
    <row r="200" spans="1:12" x14ac:dyDescent="0.25">
      <c r="A200">
        <v>100262</v>
      </c>
      <c r="B200" t="s">
        <v>463</v>
      </c>
      <c r="C200" t="s">
        <v>2634</v>
      </c>
      <c r="D200" t="s">
        <v>464</v>
      </c>
      <c r="E200" t="s">
        <v>465</v>
      </c>
      <c r="F200" t="s">
        <v>2640</v>
      </c>
      <c r="G200" t="s">
        <v>2614</v>
      </c>
      <c r="H200" t="s">
        <v>2620</v>
      </c>
      <c r="I200">
        <v>0</v>
      </c>
      <c r="J200">
        <v>765</v>
      </c>
      <c r="K200" t="s">
        <v>32</v>
      </c>
      <c r="L200" t="s">
        <v>2582</v>
      </c>
    </row>
    <row r="201" spans="1:12" x14ac:dyDescent="0.25">
      <c r="A201">
        <v>100137</v>
      </c>
      <c r="B201" t="s">
        <v>371</v>
      </c>
      <c r="C201" t="s">
        <v>52</v>
      </c>
      <c r="D201" t="s">
        <v>466</v>
      </c>
      <c r="F201" t="s">
        <v>2613</v>
      </c>
      <c r="G201" t="s">
        <v>81</v>
      </c>
      <c r="H201" t="s">
        <v>2581</v>
      </c>
      <c r="I201">
        <v>0</v>
      </c>
      <c r="J201">
        <v>339</v>
      </c>
      <c r="K201" t="s">
        <v>19</v>
      </c>
      <c r="L201" t="s">
        <v>2588</v>
      </c>
    </row>
    <row r="202" spans="1:12" x14ac:dyDescent="0.25">
      <c r="A202">
        <v>100793</v>
      </c>
      <c r="B202" t="s">
        <v>202</v>
      </c>
      <c r="C202" t="s">
        <v>2743</v>
      </c>
      <c r="D202" t="s">
        <v>467</v>
      </c>
      <c r="E202" t="s">
        <v>468</v>
      </c>
      <c r="F202" t="s">
        <v>2627</v>
      </c>
      <c r="G202" t="s">
        <v>81</v>
      </c>
      <c r="H202" t="s">
        <v>18</v>
      </c>
      <c r="I202">
        <v>0</v>
      </c>
      <c r="J202">
        <v>570</v>
      </c>
      <c r="K202" t="s">
        <v>37</v>
      </c>
      <c r="L202" t="s">
        <v>2582</v>
      </c>
    </row>
    <row r="203" spans="1:12" x14ac:dyDescent="0.25">
      <c r="A203">
        <v>101677</v>
      </c>
      <c r="B203" t="s">
        <v>79</v>
      </c>
      <c r="C203" t="s">
        <v>47</v>
      </c>
      <c r="D203" t="s">
        <v>469</v>
      </c>
      <c r="E203" t="s">
        <v>2765</v>
      </c>
      <c r="F203" t="s">
        <v>2604</v>
      </c>
      <c r="G203" t="s">
        <v>60</v>
      </c>
      <c r="H203" t="s">
        <v>18</v>
      </c>
      <c r="I203">
        <v>0</v>
      </c>
      <c r="J203">
        <v>585</v>
      </c>
      <c r="K203" t="s">
        <v>32</v>
      </c>
      <c r="L203" t="s">
        <v>26</v>
      </c>
    </row>
    <row r="204" spans="1:12" x14ac:dyDescent="0.25">
      <c r="A204">
        <v>100448</v>
      </c>
      <c r="B204" t="s">
        <v>470</v>
      </c>
      <c r="C204" t="s">
        <v>187</v>
      </c>
      <c r="D204" t="s">
        <v>248</v>
      </c>
      <c r="E204" t="s">
        <v>471</v>
      </c>
      <c r="F204" t="s">
        <v>2598</v>
      </c>
      <c r="G204" t="s">
        <v>2591</v>
      </c>
      <c r="H204" t="s">
        <v>2585</v>
      </c>
      <c r="I204">
        <v>26</v>
      </c>
      <c r="J204">
        <v>820</v>
      </c>
      <c r="K204" t="s">
        <v>45</v>
      </c>
      <c r="L204" t="s">
        <v>20</v>
      </c>
    </row>
    <row r="205" spans="1:12" x14ac:dyDescent="0.25">
      <c r="A205">
        <v>100357</v>
      </c>
      <c r="B205" t="s">
        <v>462</v>
      </c>
      <c r="C205" t="s">
        <v>168</v>
      </c>
      <c r="D205" t="s">
        <v>92</v>
      </c>
      <c r="E205" t="s">
        <v>472</v>
      </c>
      <c r="F205" t="s">
        <v>2640</v>
      </c>
      <c r="G205" t="s">
        <v>2631</v>
      </c>
      <c r="H205" t="s">
        <v>18</v>
      </c>
      <c r="I205">
        <v>0</v>
      </c>
      <c r="J205">
        <v>716</v>
      </c>
      <c r="K205" t="s">
        <v>19</v>
      </c>
    </row>
    <row r="206" spans="1:12" x14ac:dyDescent="0.25">
      <c r="A206">
        <v>101393</v>
      </c>
      <c r="B206" t="s">
        <v>177</v>
      </c>
      <c r="C206" t="s">
        <v>85</v>
      </c>
      <c r="D206" t="s">
        <v>473</v>
      </c>
      <c r="E206" t="s">
        <v>2766</v>
      </c>
      <c r="F206" t="s">
        <v>2579</v>
      </c>
      <c r="G206" t="s">
        <v>60</v>
      </c>
      <c r="H206" t="s">
        <v>2587</v>
      </c>
      <c r="I206">
        <v>0</v>
      </c>
      <c r="J206">
        <v>375</v>
      </c>
      <c r="K206" t="s">
        <v>45</v>
      </c>
      <c r="L206" t="s">
        <v>2582</v>
      </c>
    </row>
    <row r="207" spans="1:12" x14ac:dyDescent="0.25">
      <c r="A207">
        <v>100833</v>
      </c>
      <c r="B207" t="s">
        <v>474</v>
      </c>
      <c r="C207" t="s">
        <v>270</v>
      </c>
      <c r="D207" t="s">
        <v>475</v>
      </c>
      <c r="E207" t="s">
        <v>2767</v>
      </c>
      <c r="F207" t="s">
        <v>2629</v>
      </c>
      <c r="G207" t="s">
        <v>55</v>
      </c>
      <c r="H207" t="s">
        <v>83</v>
      </c>
      <c r="I207">
        <v>0</v>
      </c>
      <c r="J207">
        <v>483</v>
      </c>
      <c r="K207" t="s">
        <v>37</v>
      </c>
      <c r="L207" t="s">
        <v>2588</v>
      </c>
    </row>
    <row r="208" spans="1:12" x14ac:dyDescent="0.25">
      <c r="A208">
        <v>101438</v>
      </c>
      <c r="B208" t="s">
        <v>431</v>
      </c>
      <c r="C208" t="s">
        <v>28</v>
      </c>
      <c r="D208" t="s">
        <v>476</v>
      </c>
      <c r="E208" t="s">
        <v>477</v>
      </c>
      <c r="F208" t="s">
        <v>2598</v>
      </c>
      <c r="G208" t="s">
        <v>2602</v>
      </c>
      <c r="H208" t="s">
        <v>2587</v>
      </c>
      <c r="I208">
        <v>0</v>
      </c>
      <c r="J208">
        <v>691</v>
      </c>
      <c r="K208" t="s">
        <v>45</v>
      </c>
      <c r="L208" t="s">
        <v>2582</v>
      </c>
    </row>
    <row r="209" spans="1:12" x14ac:dyDescent="0.25">
      <c r="A209">
        <v>100109</v>
      </c>
      <c r="B209" t="s">
        <v>478</v>
      </c>
      <c r="C209" t="s">
        <v>218</v>
      </c>
      <c r="D209" t="s">
        <v>479</v>
      </c>
      <c r="E209" t="s">
        <v>480</v>
      </c>
      <c r="F209" t="s">
        <v>2640</v>
      </c>
      <c r="G209" t="s">
        <v>2609</v>
      </c>
      <c r="H209" t="s">
        <v>18</v>
      </c>
      <c r="I209">
        <v>0</v>
      </c>
      <c r="J209">
        <v>712</v>
      </c>
      <c r="K209" t="s">
        <v>56</v>
      </c>
      <c r="L209" t="s">
        <v>26</v>
      </c>
    </row>
    <row r="210" spans="1:12" x14ac:dyDescent="0.25">
      <c r="A210">
        <v>101917</v>
      </c>
      <c r="B210" t="s">
        <v>481</v>
      </c>
      <c r="C210" t="s">
        <v>168</v>
      </c>
      <c r="D210" t="s">
        <v>482</v>
      </c>
      <c r="E210" t="s">
        <v>483</v>
      </c>
      <c r="F210" t="s">
        <v>2646</v>
      </c>
      <c r="G210" t="s">
        <v>2600</v>
      </c>
      <c r="H210" t="s">
        <v>83</v>
      </c>
      <c r="I210">
        <v>0</v>
      </c>
      <c r="J210">
        <v>548</v>
      </c>
      <c r="K210" t="s">
        <v>32</v>
      </c>
      <c r="L210" t="s">
        <v>20</v>
      </c>
    </row>
    <row r="211" spans="1:12" x14ac:dyDescent="0.25">
      <c r="A211">
        <v>101521</v>
      </c>
      <c r="B211" t="s">
        <v>148</v>
      </c>
      <c r="C211" t="s">
        <v>149</v>
      </c>
      <c r="D211" t="s">
        <v>484</v>
      </c>
      <c r="E211" t="s">
        <v>2768</v>
      </c>
      <c r="F211" t="s">
        <v>2579</v>
      </c>
      <c r="G211" t="s">
        <v>2602</v>
      </c>
      <c r="H211" t="s">
        <v>18</v>
      </c>
      <c r="I211">
        <v>0</v>
      </c>
      <c r="J211">
        <v>876</v>
      </c>
      <c r="K211" t="s">
        <v>32</v>
      </c>
      <c r="L211" t="s">
        <v>26</v>
      </c>
    </row>
    <row r="212" spans="1:12" x14ac:dyDescent="0.25">
      <c r="A212">
        <v>100800</v>
      </c>
      <c r="B212" t="s">
        <v>179</v>
      </c>
      <c r="C212" t="s">
        <v>149</v>
      </c>
      <c r="D212" t="s">
        <v>485</v>
      </c>
      <c r="E212" t="s">
        <v>2769</v>
      </c>
      <c r="F212" t="s">
        <v>2590</v>
      </c>
      <c r="G212" t="s">
        <v>2635</v>
      </c>
      <c r="H212" t="s">
        <v>42</v>
      </c>
      <c r="I212">
        <v>177</v>
      </c>
      <c r="J212">
        <v>518</v>
      </c>
      <c r="K212" t="s">
        <v>37</v>
      </c>
      <c r="L212" t="s">
        <v>2582</v>
      </c>
    </row>
    <row r="213" spans="1:12" x14ac:dyDescent="0.25">
      <c r="A213">
        <v>101105</v>
      </c>
      <c r="B213" t="s">
        <v>196</v>
      </c>
      <c r="D213" t="s">
        <v>306</v>
      </c>
      <c r="E213" t="s">
        <v>486</v>
      </c>
      <c r="F213" t="s">
        <v>2590</v>
      </c>
      <c r="G213" t="s">
        <v>2584</v>
      </c>
      <c r="H213" t="s">
        <v>18</v>
      </c>
      <c r="I213">
        <v>0</v>
      </c>
      <c r="J213">
        <v>405</v>
      </c>
      <c r="K213" t="s">
        <v>19</v>
      </c>
      <c r="L213" t="s">
        <v>26</v>
      </c>
    </row>
    <row r="214" spans="1:12" x14ac:dyDescent="0.25">
      <c r="A214">
        <v>100849</v>
      </c>
      <c r="B214" t="s">
        <v>487</v>
      </c>
      <c r="C214" t="s">
        <v>22</v>
      </c>
      <c r="D214" t="s">
        <v>488</v>
      </c>
      <c r="E214" t="s">
        <v>2770</v>
      </c>
      <c r="F214" t="s">
        <v>2629</v>
      </c>
      <c r="G214" t="s">
        <v>2652</v>
      </c>
      <c r="H214" t="s">
        <v>18</v>
      </c>
      <c r="I214">
        <v>0</v>
      </c>
      <c r="J214">
        <v>647</v>
      </c>
      <c r="K214" t="s">
        <v>19</v>
      </c>
      <c r="L214" t="s">
        <v>20</v>
      </c>
    </row>
    <row r="215" spans="1:12" x14ac:dyDescent="0.25">
      <c r="A215">
        <v>101603</v>
      </c>
      <c r="B215" t="s">
        <v>155</v>
      </c>
      <c r="C215" t="s">
        <v>2649</v>
      </c>
      <c r="D215" t="s">
        <v>156</v>
      </c>
      <c r="E215" t="s">
        <v>2650</v>
      </c>
      <c r="F215" t="s">
        <v>2627</v>
      </c>
      <c r="G215" t="s">
        <v>2609</v>
      </c>
      <c r="H215" t="s">
        <v>2581</v>
      </c>
      <c r="I215">
        <v>0</v>
      </c>
      <c r="J215">
        <v>339</v>
      </c>
      <c r="L215" t="s">
        <v>20</v>
      </c>
    </row>
    <row r="216" spans="1:12" x14ac:dyDescent="0.25">
      <c r="A216">
        <v>100516</v>
      </c>
      <c r="B216" t="s">
        <v>489</v>
      </c>
      <c r="C216" t="s">
        <v>126</v>
      </c>
      <c r="D216" t="s">
        <v>490</v>
      </c>
      <c r="E216" t="s">
        <v>2771</v>
      </c>
      <c r="F216" t="s">
        <v>2593</v>
      </c>
      <c r="G216" t="s">
        <v>2611</v>
      </c>
      <c r="H216" t="s">
        <v>83</v>
      </c>
      <c r="I216">
        <v>0</v>
      </c>
      <c r="J216">
        <v>843</v>
      </c>
      <c r="K216" t="s">
        <v>19</v>
      </c>
      <c r="L216" t="s">
        <v>2588</v>
      </c>
    </row>
    <row r="217" spans="1:12" x14ac:dyDescent="0.25">
      <c r="A217">
        <v>100041</v>
      </c>
      <c r="B217" t="s">
        <v>196</v>
      </c>
      <c r="C217" t="s">
        <v>152</v>
      </c>
      <c r="D217" t="s">
        <v>491</v>
      </c>
      <c r="E217" t="s">
        <v>492</v>
      </c>
      <c r="F217" t="s">
        <v>2590</v>
      </c>
      <c r="G217" t="s">
        <v>2614</v>
      </c>
      <c r="H217" t="s">
        <v>2594</v>
      </c>
      <c r="I217">
        <v>47</v>
      </c>
      <c r="J217">
        <v>405</v>
      </c>
      <c r="K217" t="s">
        <v>56</v>
      </c>
      <c r="L217" t="s">
        <v>2588</v>
      </c>
    </row>
    <row r="218" spans="1:12" x14ac:dyDescent="0.25">
      <c r="A218">
        <v>100623</v>
      </c>
      <c r="B218" t="s">
        <v>493</v>
      </c>
      <c r="C218" t="s">
        <v>152</v>
      </c>
      <c r="D218" t="s">
        <v>494</v>
      </c>
      <c r="E218" t="s">
        <v>2772</v>
      </c>
      <c r="F218" t="s">
        <v>2608</v>
      </c>
      <c r="G218" t="s">
        <v>2580</v>
      </c>
      <c r="H218" t="s">
        <v>2587</v>
      </c>
      <c r="J218">
        <v>737</v>
      </c>
      <c r="K218" t="s">
        <v>37</v>
      </c>
      <c r="L218" t="s">
        <v>2582</v>
      </c>
    </row>
    <row r="219" spans="1:12" x14ac:dyDescent="0.25">
      <c r="A219">
        <v>101795</v>
      </c>
      <c r="B219" t="s">
        <v>157</v>
      </c>
      <c r="C219" t="s">
        <v>103</v>
      </c>
      <c r="D219" t="s">
        <v>335</v>
      </c>
      <c r="E219" t="s">
        <v>2773</v>
      </c>
      <c r="F219" t="s">
        <v>2627</v>
      </c>
      <c r="G219" t="s">
        <v>2591</v>
      </c>
      <c r="H219" t="s">
        <v>2587</v>
      </c>
      <c r="I219">
        <v>0</v>
      </c>
      <c r="J219">
        <v>897</v>
      </c>
      <c r="K219" t="s">
        <v>19</v>
      </c>
    </row>
    <row r="220" spans="1:12" x14ac:dyDescent="0.25">
      <c r="A220">
        <v>101825</v>
      </c>
      <c r="B220" t="s">
        <v>355</v>
      </c>
      <c r="C220" t="s">
        <v>244</v>
      </c>
      <c r="D220" t="s">
        <v>495</v>
      </c>
      <c r="E220" t="s">
        <v>496</v>
      </c>
      <c r="F220" t="s">
        <v>2593</v>
      </c>
      <c r="G220" t="s">
        <v>2600</v>
      </c>
      <c r="H220" t="s">
        <v>2581</v>
      </c>
      <c r="I220">
        <v>0</v>
      </c>
      <c r="J220">
        <v>746</v>
      </c>
      <c r="L220" t="s">
        <v>2588</v>
      </c>
    </row>
    <row r="221" spans="1:12" x14ac:dyDescent="0.25">
      <c r="A221">
        <v>101924</v>
      </c>
      <c r="B221" t="s">
        <v>497</v>
      </c>
      <c r="C221" t="s">
        <v>142</v>
      </c>
      <c r="D221" t="s">
        <v>498</v>
      </c>
      <c r="E221" t="s">
        <v>2774</v>
      </c>
      <c r="F221" t="s">
        <v>2604</v>
      </c>
      <c r="G221" t="s">
        <v>2602</v>
      </c>
      <c r="H221" t="s">
        <v>2620</v>
      </c>
      <c r="I221">
        <v>0</v>
      </c>
      <c r="J221">
        <v>465</v>
      </c>
      <c r="K221" t="s">
        <v>56</v>
      </c>
      <c r="L221" t="s">
        <v>20</v>
      </c>
    </row>
    <row r="222" spans="1:12" x14ac:dyDescent="0.25">
      <c r="A222">
        <v>100879</v>
      </c>
      <c r="B222" t="s">
        <v>94</v>
      </c>
      <c r="C222" t="s">
        <v>95</v>
      </c>
      <c r="D222" t="s">
        <v>499</v>
      </c>
      <c r="E222" t="s">
        <v>500</v>
      </c>
      <c r="F222" t="s">
        <v>2640</v>
      </c>
      <c r="G222" t="s">
        <v>2631</v>
      </c>
      <c r="H222" t="s">
        <v>18</v>
      </c>
      <c r="I222">
        <v>0</v>
      </c>
      <c r="J222">
        <v>360</v>
      </c>
      <c r="K222" t="s">
        <v>56</v>
      </c>
      <c r="L222" t="s">
        <v>26</v>
      </c>
    </row>
    <row r="223" spans="1:12" x14ac:dyDescent="0.25">
      <c r="A223">
        <v>100968</v>
      </c>
      <c r="B223" t="s">
        <v>138</v>
      </c>
      <c r="C223" t="s">
        <v>2699</v>
      </c>
      <c r="D223" t="s">
        <v>476</v>
      </c>
      <c r="E223" t="s">
        <v>501</v>
      </c>
      <c r="F223" t="s">
        <v>30</v>
      </c>
      <c r="G223" t="s">
        <v>2631</v>
      </c>
      <c r="H223" t="s">
        <v>2581</v>
      </c>
      <c r="I223">
        <v>0</v>
      </c>
      <c r="J223">
        <v>623</v>
      </c>
      <c r="K223" t="s">
        <v>19</v>
      </c>
      <c r="L223" t="s">
        <v>2588</v>
      </c>
    </row>
    <row r="224" spans="1:12" x14ac:dyDescent="0.25">
      <c r="A224">
        <v>101249</v>
      </c>
      <c r="B224" t="s">
        <v>174</v>
      </c>
      <c r="C224" t="s">
        <v>2664</v>
      </c>
      <c r="D224" t="s">
        <v>353</v>
      </c>
      <c r="E224" t="s">
        <v>2775</v>
      </c>
      <c r="F224" t="s">
        <v>2598</v>
      </c>
      <c r="G224" t="s">
        <v>2580</v>
      </c>
      <c r="H224" t="s">
        <v>2597</v>
      </c>
      <c r="I224">
        <v>10</v>
      </c>
      <c r="J224">
        <v>554</v>
      </c>
      <c r="K224" t="s">
        <v>37</v>
      </c>
      <c r="L224" t="s">
        <v>2582</v>
      </c>
    </row>
    <row r="225" spans="1:12" x14ac:dyDescent="0.25">
      <c r="A225">
        <v>102014</v>
      </c>
      <c r="B225" t="s">
        <v>157</v>
      </c>
      <c r="C225" t="s">
        <v>103</v>
      </c>
      <c r="D225" t="s">
        <v>308</v>
      </c>
      <c r="E225" t="s">
        <v>2776</v>
      </c>
      <c r="F225" t="s">
        <v>2627</v>
      </c>
      <c r="H225" t="s">
        <v>2620</v>
      </c>
      <c r="I225">
        <v>0</v>
      </c>
      <c r="J225">
        <v>897</v>
      </c>
      <c r="K225" t="s">
        <v>56</v>
      </c>
      <c r="L225" t="s">
        <v>2582</v>
      </c>
    </row>
    <row r="226" spans="1:12" x14ac:dyDescent="0.25">
      <c r="A226">
        <v>100265</v>
      </c>
      <c r="B226" t="s">
        <v>299</v>
      </c>
      <c r="C226" t="s">
        <v>2686</v>
      </c>
      <c r="D226" t="s">
        <v>502</v>
      </c>
      <c r="E226" t="s">
        <v>503</v>
      </c>
      <c r="F226" t="s">
        <v>2654</v>
      </c>
      <c r="G226" t="s">
        <v>2599</v>
      </c>
      <c r="H226" t="s">
        <v>2620</v>
      </c>
      <c r="I226">
        <v>0</v>
      </c>
      <c r="J226">
        <v>855</v>
      </c>
      <c r="K226" t="s">
        <v>19</v>
      </c>
    </row>
    <row r="227" spans="1:12" x14ac:dyDescent="0.25">
      <c r="A227">
        <v>100142</v>
      </c>
      <c r="B227" t="s">
        <v>504</v>
      </c>
      <c r="C227" t="s">
        <v>187</v>
      </c>
      <c r="D227" t="s">
        <v>505</v>
      </c>
      <c r="E227" t="s">
        <v>2777</v>
      </c>
      <c r="F227" t="s">
        <v>41</v>
      </c>
      <c r="G227" t="s">
        <v>60</v>
      </c>
      <c r="H227" t="s">
        <v>83</v>
      </c>
      <c r="I227">
        <v>0</v>
      </c>
      <c r="J227">
        <v>494</v>
      </c>
      <c r="K227" t="s">
        <v>56</v>
      </c>
      <c r="L227" t="s">
        <v>26</v>
      </c>
    </row>
    <row r="228" spans="1:12" x14ac:dyDescent="0.25">
      <c r="A228">
        <v>101875</v>
      </c>
      <c r="B228" t="s">
        <v>506</v>
      </c>
      <c r="C228" t="s">
        <v>58</v>
      </c>
      <c r="D228" t="s">
        <v>507</v>
      </c>
      <c r="E228" t="s">
        <v>2778</v>
      </c>
      <c r="F228" t="s">
        <v>50</v>
      </c>
      <c r="H228" t="s">
        <v>2620</v>
      </c>
      <c r="J228">
        <v>394</v>
      </c>
      <c r="K228" t="s">
        <v>56</v>
      </c>
      <c r="L228" t="s">
        <v>2588</v>
      </c>
    </row>
    <row r="229" spans="1:12" x14ac:dyDescent="0.25">
      <c r="A229">
        <v>101153</v>
      </c>
      <c r="B229" t="s">
        <v>329</v>
      </c>
      <c r="C229" t="s">
        <v>2691</v>
      </c>
      <c r="D229" t="s">
        <v>508</v>
      </c>
      <c r="E229" t="s">
        <v>509</v>
      </c>
      <c r="F229" t="s">
        <v>2646</v>
      </c>
      <c r="G229" t="s">
        <v>60</v>
      </c>
      <c r="H229" t="s">
        <v>25</v>
      </c>
      <c r="I229">
        <v>4</v>
      </c>
      <c r="J229">
        <v>328</v>
      </c>
      <c r="K229" t="s">
        <v>37</v>
      </c>
      <c r="L229" t="s">
        <v>20</v>
      </c>
    </row>
    <row r="230" spans="1:12" x14ac:dyDescent="0.25">
      <c r="A230">
        <v>102030</v>
      </c>
      <c r="B230" t="s">
        <v>510</v>
      </c>
      <c r="C230" t="s">
        <v>244</v>
      </c>
      <c r="D230" t="s">
        <v>511</v>
      </c>
      <c r="E230" t="s">
        <v>2779</v>
      </c>
      <c r="F230" t="s">
        <v>64</v>
      </c>
      <c r="G230" t="s">
        <v>2658</v>
      </c>
      <c r="H230" t="s">
        <v>25</v>
      </c>
      <c r="I230">
        <v>2</v>
      </c>
      <c r="J230">
        <v>411</v>
      </c>
      <c r="K230" t="s">
        <v>45</v>
      </c>
      <c r="L230" t="s">
        <v>2588</v>
      </c>
    </row>
    <row r="231" spans="1:12" x14ac:dyDescent="0.25">
      <c r="A231">
        <v>101953</v>
      </c>
      <c r="B231" t="s">
        <v>512</v>
      </c>
      <c r="C231" t="s">
        <v>152</v>
      </c>
      <c r="D231" t="s">
        <v>513</v>
      </c>
      <c r="E231" t="s">
        <v>514</v>
      </c>
      <c r="F231" t="s">
        <v>50</v>
      </c>
      <c r="G231" t="s">
        <v>2609</v>
      </c>
      <c r="H231" t="s">
        <v>2585</v>
      </c>
      <c r="I231">
        <v>2</v>
      </c>
      <c r="J231">
        <v>853</v>
      </c>
      <c r="K231" t="s">
        <v>45</v>
      </c>
    </row>
    <row r="232" spans="1:12" x14ac:dyDescent="0.25">
      <c r="A232">
        <v>102067</v>
      </c>
      <c r="B232" t="s">
        <v>515</v>
      </c>
      <c r="C232" t="s">
        <v>22</v>
      </c>
      <c r="D232" t="s">
        <v>516</v>
      </c>
      <c r="E232" t="s">
        <v>2780</v>
      </c>
      <c r="F232" t="s">
        <v>2646</v>
      </c>
      <c r="G232" t="s">
        <v>2617</v>
      </c>
      <c r="H232" t="s">
        <v>2581</v>
      </c>
      <c r="I232">
        <v>0</v>
      </c>
      <c r="J232">
        <v>826</v>
      </c>
      <c r="K232" t="s">
        <v>37</v>
      </c>
      <c r="L232" t="s">
        <v>2582</v>
      </c>
    </row>
    <row r="233" spans="1:12" x14ac:dyDescent="0.25">
      <c r="A233">
        <v>101846</v>
      </c>
      <c r="B233" t="s">
        <v>238</v>
      </c>
      <c r="C233" t="s">
        <v>47</v>
      </c>
      <c r="D233" t="s">
        <v>517</v>
      </c>
      <c r="E233" t="s">
        <v>2781</v>
      </c>
      <c r="F233" t="s">
        <v>2646</v>
      </c>
      <c r="G233" t="s">
        <v>2591</v>
      </c>
      <c r="H233" t="s">
        <v>2587</v>
      </c>
      <c r="I233">
        <v>0</v>
      </c>
      <c r="J233">
        <v>497</v>
      </c>
      <c r="K233" t="s">
        <v>37</v>
      </c>
      <c r="L233" t="s">
        <v>26</v>
      </c>
    </row>
    <row r="234" spans="1:12" x14ac:dyDescent="0.25">
      <c r="A234">
        <v>101233</v>
      </c>
      <c r="B234" t="s">
        <v>276</v>
      </c>
      <c r="C234" t="s">
        <v>52</v>
      </c>
      <c r="D234" t="s">
        <v>518</v>
      </c>
      <c r="E234" t="s">
        <v>519</v>
      </c>
      <c r="F234" t="s">
        <v>2627</v>
      </c>
      <c r="G234" t="s">
        <v>2611</v>
      </c>
      <c r="H234" t="s">
        <v>2585</v>
      </c>
      <c r="I234">
        <v>24</v>
      </c>
      <c r="J234">
        <v>638</v>
      </c>
      <c r="K234" t="s">
        <v>32</v>
      </c>
      <c r="L234" t="s">
        <v>2582</v>
      </c>
    </row>
    <row r="235" spans="1:12" x14ac:dyDescent="0.25">
      <c r="A235">
        <v>101311</v>
      </c>
      <c r="B235" t="s">
        <v>515</v>
      </c>
      <c r="C235" t="s">
        <v>22</v>
      </c>
      <c r="D235" t="s">
        <v>520</v>
      </c>
      <c r="E235" t="s">
        <v>521</v>
      </c>
      <c r="F235" t="s">
        <v>2598</v>
      </c>
      <c r="G235" t="s">
        <v>2584</v>
      </c>
      <c r="H235" t="s">
        <v>2585</v>
      </c>
      <c r="I235">
        <v>19</v>
      </c>
      <c r="J235">
        <v>826</v>
      </c>
      <c r="K235" t="s">
        <v>32</v>
      </c>
      <c r="L235" t="s">
        <v>26</v>
      </c>
    </row>
    <row r="236" spans="1:12" x14ac:dyDescent="0.25">
      <c r="A236">
        <v>101112</v>
      </c>
      <c r="B236" t="s">
        <v>347</v>
      </c>
      <c r="C236" t="s">
        <v>95</v>
      </c>
      <c r="D236" t="s">
        <v>473</v>
      </c>
      <c r="E236" t="s">
        <v>2782</v>
      </c>
      <c r="F236" t="s">
        <v>2613</v>
      </c>
      <c r="G236" t="s">
        <v>2614</v>
      </c>
      <c r="H236" t="s">
        <v>2620</v>
      </c>
      <c r="I236">
        <v>0</v>
      </c>
      <c r="J236">
        <v>699</v>
      </c>
      <c r="K236" t="s">
        <v>37</v>
      </c>
      <c r="L236" t="s">
        <v>2582</v>
      </c>
    </row>
    <row r="237" spans="1:12" x14ac:dyDescent="0.25">
      <c r="A237">
        <v>100911</v>
      </c>
      <c r="B237" t="s">
        <v>232</v>
      </c>
      <c r="C237" t="s">
        <v>152</v>
      </c>
      <c r="D237" t="s">
        <v>522</v>
      </c>
      <c r="E237" t="s">
        <v>523</v>
      </c>
      <c r="F237" t="s">
        <v>2641</v>
      </c>
      <c r="G237" t="s">
        <v>55</v>
      </c>
      <c r="H237" t="s">
        <v>2630</v>
      </c>
      <c r="I237">
        <v>15</v>
      </c>
      <c r="J237">
        <v>781</v>
      </c>
      <c r="K237" t="s">
        <v>19</v>
      </c>
      <c r="L237" t="s">
        <v>26</v>
      </c>
    </row>
    <row r="238" spans="1:12" x14ac:dyDescent="0.25">
      <c r="A238">
        <v>100417</v>
      </c>
      <c r="B238" t="s">
        <v>352</v>
      </c>
      <c r="C238" t="s">
        <v>85</v>
      </c>
      <c r="D238" t="s">
        <v>524</v>
      </c>
      <c r="E238" t="s">
        <v>2783</v>
      </c>
      <c r="F238" t="s">
        <v>2613</v>
      </c>
      <c r="G238" t="s">
        <v>2614</v>
      </c>
      <c r="H238" t="s">
        <v>2581</v>
      </c>
      <c r="I238">
        <v>0</v>
      </c>
      <c r="J238">
        <v>778</v>
      </c>
      <c r="K238" t="s">
        <v>45</v>
      </c>
      <c r="L238" t="s">
        <v>20</v>
      </c>
    </row>
    <row r="239" spans="1:12" x14ac:dyDescent="0.25">
      <c r="A239">
        <v>101506</v>
      </c>
      <c r="B239" t="s">
        <v>525</v>
      </c>
      <c r="C239" t="s">
        <v>58</v>
      </c>
      <c r="D239" t="s">
        <v>526</v>
      </c>
      <c r="E239" t="s">
        <v>527</v>
      </c>
      <c r="F239" t="s">
        <v>41</v>
      </c>
      <c r="G239" t="s">
        <v>2580</v>
      </c>
      <c r="H239" t="s">
        <v>83</v>
      </c>
      <c r="I239">
        <v>0</v>
      </c>
      <c r="J239">
        <v>501</v>
      </c>
      <c r="K239" t="s">
        <v>37</v>
      </c>
      <c r="L239" t="s">
        <v>20</v>
      </c>
    </row>
    <row r="240" spans="1:12" x14ac:dyDescent="0.25">
      <c r="A240">
        <v>101810</v>
      </c>
      <c r="B240" t="s">
        <v>528</v>
      </c>
      <c r="C240" t="s">
        <v>103</v>
      </c>
      <c r="D240" t="s">
        <v>529</v>
      </c>
      <c r="E240" t="s">
        <v>2784</v>
      </c>
      <c r="F240" t="s">
        <v>50</v>
      </c>
      <c r="H240" t="s">
        <v>2585</v>
      </c>
      <c r="I240">
        <v>2</v>
      </c>
      <c r="J240">
        <v>583</v>
      </c>
      <c r="K240" t="s">
        <v>45</v>
      </c>
      <c r="L240" t="s">
        <v>20</v>
      </c>
    </row>
    <row r="241" spans="1:12" x14ac:dyDescent="0.25">
      <c r="A241">
        <v>100996</v>
      </c>
      <c r="B241" t="s">
        <v>530</v>
      </c>
      <c r="C241" t="s">
        <v>142</v>
      </c>
      <c r="D241" t="s">
        <v>531</v>
      </c>
      <c r="E241" t="s">
        <v>532</v>
      </c>
      <c r="F241" t="s">
        <v>2593</v>
      </c>
      <c r="G241" t="s">
        <v>2599</v>
      </c>
      <c r="H241" t="s">
        <v>2620</v>
      </c>
      <c r="J241">
        <v>819</v>
      </c>
      <c r="K241" t="s">
        <v>37</v>
      </c>
      <c r="L241" t="s">
        <v>26</v>
      </c>
    </row>
    <row r="242" spans="1:12" x14ac:dyDescent="0.25">
      <c r="A242">
        <v>102186</v>
      </c>
      <c r="B242" t="s">
        <v>51</v>
      </c>
      <c r="C242" t="s">
        <v>52</v>
      </c>
      <c r="D242" t="s">
        <v>533</v>
      </c>
      <c r="E242" t="s">
        <v>2785</v>
      </c>
      <c r="F242" t="s">
        <v>2593</v>
      </c>
      <c r="G242" t="s">
        <v>2625</v>
      </c>
      <c r="H242" t="s">
        <v>18</v>
      </c>
      <c r="I242">
        <v>0</v>
      </c>
      <c r="J242">
        <v>567</v>
      </c>
      <c r="K242" t="s">
        <v>19</v>
      </c>
      <c r="L242" t="s">
        <v>20</v>
      </c>
    </row>
    <row r="243" spans="1:12" x14ac:dyDescent="0.25">
      <c r="A243">
        <v>101794</v>
      </c>
      <c r="B243" t="s">
        <v>534</v>
      </c>
      <c r="C243" t="s">
        <v>39</v>
      </c>
      <c r="D243" t="s">
        <v>535</v>
      </c>
      <c r="E243" t="s">
        <v>536</v>
      </c>
      <c r="F243" t="s">
        <v>2583</v>
      </c>
      <c r="G243" t="s">
        <v>2652</v>
      </c>
      <c r="H243" t="s">
        <v>18</v>
      </c>
      <c r="I243">
        <v>0</v>
      </c>
      <c r="J243">
        <v>592</v>
      </c>
      <c r="K243" t="s">
        <v>37</v>
      </c>
      <c r="L243" t="s">
        <v>26</v>
      </c>
    </row>
    <row r="244" spans="1:12" x14ac:dyDescent="0.25">
      <c r="A244">
        <v>101342</v>
      </c>
      <c r="B244" t="s">
        <v>537</v>
      </c>
      <c r="C244" t="s">
        <v>187</v>
      </c>
      <c r="D244" t="s">
        <v>538</v>
      </c>
      <c r="E244" t="s">
        <v>539</v>
      </c>
      <c r="F244" t="s">
        <v>50</v>
      </c>
      <c r="G244" t="s">
        <v>2584</v>
      </c>
      <c r="H244" t="s">
        <v>2630</v>
      </c>
      <c r="I244">
        <v>25</v>
      </c>
      <c r="J244">
        <v>874</v>
      </c>
      <c r="K244" t="s">
        <v>37</v>
      </c>
      <c r="L244" t="s">
        <v>26</v>
      </c>
    </row>
    <row r="245" spans="1:12" x14ac:dyDescent="0.25">
      <c r="A245">
        <v>101698</v>
      </c>
      <c r="B245" t="s">
        <v>540</v>
      </c>
      <c r="C245" t="s">
        <v>2786</v>
      </c>
      <c r="D245" t="s">
        <v>541</v>
      </c>
      <c r="E245" t="s">
        <v>2787</v>
      </c>
      <c r="F245" t="s">
        <v>2646</v>
      </c>
      <c r="G245" t="s">
        <v>2600</v>
      </c>
      <c r="H245" t="s">
        <v>2585</v>
      </c>
      <c r="I245">
        <v>27</v>
      </c>
      <c r="J245">
        <v>487</v>
      </c>
      <c r="K245" t="s">
        <v>32</v>
      </c>
      <c r="L245" t="s">
        <v>2582</v>
      </c>
    </row>
    <row r="246" spans="1:12" x14ac:dyDescent="0.25">
      <c r="A246">
        <v>100016</v>
      </c>
      <c r="B246" t="s">
        <v>230</v>
      </c>
      <c r="C246" t="s">
        <v>95</v>
      </c>
      <c r="D246" t="s">
        <v>542</v>
      </c>
      <c r="E246" t="s">
        <v>543</v>
      </c>
      <c r="F246" t="s">
        <v>30</v>
      </c>
      <c r="G246" t="s">
        <v>2611</v>
      </c>
      <c r="H246" t="s">
        <v>18</v>
      </c>
      <c r="I246">
        <v>0</v>
      </c>
      <c r="J246">
        <v>818</v>
      </c>
      <c r="K246" t="s">
        <v>37</v>
      </c>
      <c r="L246" t="s">
        <v>2588</v>
      </c>
    </row>
    <row r="247" spans="1:12" x14ac:dyDescent="0.25">
      <c r="A247">
        <v>100168</v>
      </c>
      <c r="B247" t="s">
        <v>236</v>
      </c>
      <c r="C247" t="s">
        <v>47</v>
      </c>
      <c r="D247" t="s">
        <v>544</v>
      </c>
      <c r="E247" t="s">
        <v>2788</v>
      </c>
      <c r="F247" t="s">
        <v>2593</v>
      </c>
      <c r="G247" t="s">
        <v>2599</v>
      </c>
      <c r="H247" t="s">
        <v>2581</v>
      </c>
      <c r="I247">
        <v>0</v>
      </c>
      <c r="J247">
        <v>797</v>
      </c>
      <c r="K247" t="s">
        <v>56</v>
      </c>
      <c r="L247" t="s">
        <v>2588</v>
      </c>
    </row>
    <row r="248" spans="1:12" x14ac:dyDescent="0.25">
      <c r="A248">
        <v>101090</v>
      </c>
      <c r="B248" t="s">
        <v>545</v>
      </c>
      <c r="C248" t="s">
        <v>126</v>
      </c>
      <c r="D248" t="s">
        <v>546</v>
      </c>
      <c r="E248" t="s">
        <v>2789</v>
      </c>
      <c r="F248" t="s">
        <v>2654</v>
      </c>
      <c r="G248" t="s">
        <v>2596</v>
      </c>
      <c r="H248" t="s">
        <v>2594</v>
      </c>
      <c r="I248">
        <v>36</v>
      </c>
      <c r="J248">
        <v>494</v>
      </c>
      <c r="K248" t="s">
        <v>45</v>
      </c>
      <c r="L248" t="s">
        <v>2588</v>
      </c>
    </row>
    <row r="249" spans="1:12" x14ac:dyDescent="0.25">
      <c r="A249">
        <v>101550</v>
      </c>
      <c r="B249" t="s">
        <v>230</v>
      </c>
      <c r="C249" t="s">
        <v>95</v>
      </c>
      <c r="D249" t="s">
        <v>547</v>
      </c>
      <c r="E249" t="s">
        <v>2790</v>
      </c>
      <c r="F249" t="s">
        <v>50</v>
      </c>
      <c r="G249" t="s">
        <v>2652</v>
      </c>
      <c r="H249" t="s">
        <v>2597</v>
      </c>
      <c r="I249">
        <v>10</v>
      </c>
      <c r="J249">
        <v>818</v>
      </c>
      <c r="K249" t="s">
        <v>19</v>
      </c>
      <c r="L249" t="s">
        <v>2588</v>
      </c>
    </row>
    <row r="250" spans="1:12" x14ac:dyDescent="0.25">
      <c r="A250">
        <v>100698</v>
      </c>
      <c r="B250" t="s">
        <v>292</v>
      </c>
      <c r="C250" t="s">
        <v>149</v>
      </c>
      <c r="D250" t="s">
        <v>522</v>
      </c>
      <c r="E250" t="s">
        <v>548</v>
      </c>
      <c r="F250" t="s">
        <v>2598</v>
      </c>
      <c r="G250" t="s">
        <v>2591</v>
      </c>
      <c r="H250" t="s">
        <v>2587</v>
      </c>
      <c r="I250">
        <v>0</v>
      </c>
      <c r="J250">
        <v>466</v>
      </c>
      <c r="K250" t="s">
        <v>45</v>
      </c>
      <c r="L250" t="s">
        <v>2588</v>
      </c>
    </row>
    <row r="251" spans="1:12" x14ac:dyDescent="0.25">
      <c r="A251">
        <v>101957</v>
      </c>
      <c r="B251" t="s">
        <v>367</v>
      </c>
      <c r="C251" t="s">
        <v>103</v>
      </c>
      <c r="D251" t="s">
        <v>549</v>
      </c>
      <c r="E251" t="s">
        <v>2791</v>
      </c>
      <c r="F251" t="s">
        <v>2643</v>
      </c>
      <c r="G251" t="s">
        <v>2611</v>
      </c>
      <c r="H251" t="s">
        <v>2587</v>
      </c>
      <c r="I251">
        <v>0</v>
      </c>
      <c r="J251">
        <v>621</v>
      </c>
      <c r="K251" t="s">
        <v>32</v>
      </c>
      <c r="L251" t="s">
        <v>2588</v>
      </c>
    </row>
    <row r="252" spans="1:12" x14ac:dyDescent="0.25">
      <c r="A252">
        <v>100524</v>
      </c>
      <c r="B252" t="s">
        <v>38</v>
      </c>
      <c r="C252" t="s">
        <v>2792</v>
      </c>
      <c r="D252" t="s">
        <v>550</v>
      </c>
      <c r="E252" t="s">
        <v>2793</v>
      </c>
      <c r="F252" t="s">
        <v>2579</v>
      </c>
      <c r="G252" t="s">
        <v>2633</v>
      </c>
      <c r="H252" t="s">
        <v>18</v>
      </c>
      <c r="I252">
        <v>0</v>
      </c>
      <c r="J252">
        <v>533</v>
      </c>
      <c r="K252" t="s">
        <v>45</v>
      </c>
      <c r="L252" t="s">
        <v>20</v>
      </c>
    </row>
    <row r="253" spans="1:12" x14ac:dyDescent="0.25">
      <c r="A253">
        <v>101909</v>
      </c>
      <c r="B253" t="s">
        <v>151</v>
      </c>
      <c r="C253" t="s">
        <v>152</v>
      </c>
      <c r="D253" t="s">
        <v>551</v>
      </c>
      <c r="E253" t="s">
        <v>552</v>
      </c>
      <c r="F253" t="s">
        <v>2616</v>
      </c>
      <c r="G253" t="s">
        <v>81</v>
      </c>
      <c r="H253" t="s">
        <v>2581</v>
      </c>
      <c r="I253">
        <v>0</v>
      </c>
      <c r="J253">
        <v>534</v>
      </c>
      <c r="K253" t="s">
        <v>45</v>
      </c>
      <c r="L253" t="s">
        <v>2588</v>
      </c>
    </row>
    <row r="254" spans="1:12" x14ac:dyDescent="0.25">
      <c r="A254">
        <v>100273</v>
      </c>
      <c r="B254" t="s">
        <v>553</v>
      </c>
      <c r="C254" t="s">
        <v>72</v>
      </c>
      <c r="D254" t="s">
        <v>554</v>
      </c>
      <c r="E254" t="s">
        <v>555</v>
      </c>
      <c r="F254" t="s">
        <v>30</v>
      </c>
      <c r="G254" t="s">
        <v>2596</v>
      </c>
      <c r="H254" t="s">
        <v>2585</v>
      </c>
      <c r="I254">
        <v>29</v>
      </c>
      <c r="J254">
        <v>638</v>
      </c>
      <c r="K254" t="s">
        <v>37</v>
      </c>
      <c r="L254" t="s">
        <v>26</v>
      </c>
    </row>
    <row r="255" spans="1:12" x14ac:dyDescent="0.25">
      <c r="A255">
        <v>101503</v>
      </c>
      <c r="B255" t="s">
        <v>174</v>
      </c>
      <c r="C255" t="s">
        <v>134</v>
      </c>
      <c r="D255" t="s">
        <v>482</v>
      </c>
      <c r="E255" t="s">
        <v>2794</v>
      </c>
      <c r="F255" t="s">
        <v>41</v>
      </c>
      <c r="G255" t="s">
        <v>2580</v>
      </c>
      <c r="H255" t="s">
        <v>18</v>
      </c>
      <c r="I255">
        <v>0</v>
      </c>
      <c r="J255">
        <v>554</v>
      </c>
      <c r="K255" t="s">
        <v>45</v>
      </c>
      <c r="L255" t="s">
        <v>26</v>
      </c>
    </row>
    <row r="256" spans="1:12" x14ac:dyDescent="0.25">
      <c r="A256">
        <v>101329</v>
      </c>
      <c r="B256" t="s">
        <v>425</v>
      </c>
      <c r="C256" t="s">
        <v>149</v>
      </c>
      <c r="D256" t="s">
        <v>556</v>
      </c>
      <c r="E256" t="s">
        <v>2795</v>
      </c>
      <c r="F256" t="s">
        <v>2646</v>
      </c>
      <c r="G256" t="s">
        <v>60</v>
      </c>
      <c r="H256" t="s">
        <v>2587</v>
      </c>
      <c r="I256">
        <v>0</v>
      </c>
      <c r="J256">
        <v>720</v>
      </c>
      <c r="K256" t="s">
        <v>19</v>
      </c>
      <c r="L256" t="s">
        <v>26</v>
      </c>
    </row>
    <row r="257" spans="1:12" x14ac:dyDescent="0.25">
      <c r="A257">
        <v>101051</v>
      </c>
      <c r="B257" t="s">
        <v>99</v>
      </c>
      <c r="C257" t="s">
        <v>100</v>
      </c>
      <c r="D257" t="s">
        <v>557</v>
      </c>
      <c r="E257" t="s">
        <v>2796</v>
      </c>
      <c r="F257" t="s">
        <v>2643</v>
      </c>
      <c r="G257" t="s">
        <v>2607</v>
      </c>
      <c r="H257" t="s">
        <v>2644</v>
      </c>
      <c r="I257">
        <v>0</v>
      </c>
      <c r="J257">
        <v>414</v>
      </c>
      <c r="K257" t="s">
        <v>45</v>
      </c>
      <c r="L257" t="s">
        <v>20</v>
      </c>
    </row>
    <row r="258" spans="1:12" x14ac:dyDescent="0.25">
      <c r="A258">
        <v>101785</v>
      </c>
      <c r="B258" t="s">
        <v>558</v>
      </c>
      <c r="C258" t="s">
        <v>218</v>
      </c>
      <c r="D258" t="s">
        <v>559</v>
      </c>
      <c r="E258" t="s">
        <v>2797</v>
      </c>
      <c r="F258" t="s">
        <v>2627</v>
      </c>
      <c r="G258" t="s">
        <v>60</v>
      </c>
      <c r="H258" t="s">
        <v>2644</v>
      </c>
      <c r="I258">
        <v>0</v>
      </c>
      <c r="J258">
        <v>784</v>
      </c>
      <c r="K258" t="s">
        <v>45</v>
      </c>
      <c r="L258" t="s">
        <v>20</v>
      </c>
    </row>
    <row r="259" spans="1:12" x14ac:dyDescent="0.25">
      <c r="A259">
        <v>101368</v>
      </c>
      <c r="B259" t="s">
        <v>91</v>
      </c>
      <c r="C259" t="s">
        <v>58</v>
      </c>
      <c r="E259" t="s">
        <v>2798</v>
      </c>
      <c r="F259" t="s">
        <v>2640</v>
      </c>
      <c r="G259" t="s">
        <v>2596</v>
      </c>
      <c r="H259" t="s">
        <v>2618</v>
      </c>
      <c r="I259">
        <v>0</v>
      </c>
      <c r="J259">
        <v>769</v>
      </c>
      <c r="K259" t="s">
        <v>37</v>
      </c>
      <c r="L259" t="s">
        <v>26</v>
      </c>
    </row>
    <row r="260" spans="1:12" x14ac:dyDescent="0.25">
      <c r="A260">
        <v>101053</v>
      </c>
      <c r="B260" t="s">
        <v>560</v>
      </c>
      <c r="C260" t="s">
        <v>39</v>
      </c>
      <c r="D260" t="s">
        <v>561</v>
      </c>
      <c r="E260" t="s">
        <v>562</v>
      </c>
      <c r="F260" t="s">
        <v>50</v>
      </c>
      <c r="G260" t="s">
        <v>60</v>
      </c>
      <c r="H260" t="s">
        <v>2587</v>
      </c>
      <c r="I260">
        <v>0</v>
      </c>
      <c r="J260">
        <v>890</v>
      </c>
      <c r="K260" t="s">
        <v>37</v>
      </c>
      <c r="L260" t="s">
        <v>26</v>
      </c>
    </row>
    <row r="261" spans="1:12" x14ac:dyDescent="0.25">
      <c r="A261">
        <v>102101</v>
      </c>
      <c r="B261" t="s">
        <v>563</v>
      </c>
      <c r="C261" t="s">
        <v>58</v>
      </c>
      <c r="D261" t="s">
        <v>564</v>
      </c>
      <c r="E261" t="s">
        <v>565</v>
      </c>
      <c r="F261" t="s">
        <v>2590</v>
      </c>
      <c r="G261" t="s">
        <v>2602</v>
      </c>
      <c r="H261" t="s">
        <v>2581</v>
      </c>
      <c r="I261">
        <v>0</v>
      </c>
      <c r="J261">
        <v>893</v>
      </c>
      <c r="K261" t="s">
        <v>32</v>
      </c>
      <c r="L261" t="s">
        <v>2588</v>
      </c>
    </row>
    <row r="262" spans="1:12" x14ac:dyDescent="0.25">
      <c r="A262">
        <v>101078</v>
      </c>
      <c r="B262" t="s">
        <v>446</v>
      </c>
      <c r="C262" t="s">
        <v>2655</v>
      </c>
      <c r="D262" t="s">
        <v>508</v>
      </c>
      <c r="E262" t="s">
        <v>566</v>
      </c>
      <c r="F262" t="s">
        <v>64</v>
      </c>
      <c r="H262" t="s">
        <v>2597</v>
      </c>
      <c r="I262">
        <v>1</v>
      </c>
      <c r="J262">
        <v>515</v>
      </c>
      <c r="K262" t="s">
        <v>45</v>
      </c>
      <c r="L262" t="s">
        <v>26</v>
      </c>
    </row>
    <row r="263" spans="1:12" x14ac:dyDescent="0.25">
      <c r="A263">
        <v>101195</v>
      </c>
      <c r="B263" t="s">
        <v>213</v>
      </c>
      <c r="C263" t="s">
        <v>58</v>
      </c>
      <c r="D263" t="s">
        <v>567</v>
      </c>
      <c r="E263" t="s">
        <v>568</v>
      </c>
      <c r="F263" t="s">
        <v>2641</v>
      </c>
      <c r="G263" t="s">
        <v>2617</v>
      </c>
      <c r="H263" t="s">
        <v>2623</v>
      </c>
      <c r="I263">
        <v>60</v>
      </c>
      <c r="J263">
        <v>324</v>
      </c>
      <c r="K263" t="s">
        <v>37</v>
      </c>
      <c r="L263" t="s">
        <v>2582</v>
      </c>
    </row>
    <row r="264" spans="1:12" x14ac:dyDescent="0.25">
      <c r="A264">
        <v>100501</v>
      </c>
      <c r="B264" t="s">
        <v>537</v>
      </c>
      <c r="C264" t="s">
        <v>187</v>
      </c>
      <c r="D264" t="s">
        <v>569</v>
      </c>
      <c r="E264" t="s">
        <v>2799</v>
      </c>
      <c r="F264" t="s">
        <v>2608</v>
      </c>
      <c r="G264" t="s">
        <v>81</v>
      </c>
      <c r="H264" t="s">
        <v>2644</v>
      </c>
      <c r="I264">
        <v>0</v>
      </c>
      <c r="J264">
        <v>874</v>
      </c>
      <c r="K264" t="s">
        <v>56</v>
      </c>
      <c r="L264" t="s">
        <v>20</v>
      </c>
    </row>
    <row r="265" spans="1:12" x14ac:dyDescent="0.25">
      <c r="A265">
        <v>100402</v>
      </c>
      <c r="B265" t="s">
        <v>570</v>
      </c>
      <c r="C265" t="s">
        <v>39</v>
      </c>
      <c r="D265" t="s">
        <v>571</v>
      </c>
      <c r="E265" t="s">
        <v>2800</v>
      </c>
      <c r="F265" t="s">
        <v>2608</v>
      </c>
      <c r="G265" t="s">
        <v>2631</v>
      </c>
      <c r="H265" t="s">
        <v>2620</v>
      </c>
      <c r="I265">
        <v>0</v>
      </c>
      <c r="J265">
        <v>371</v>
      </c>
      <c r="K265" t="s">
        <v>37</v>
      </c>
      <c r="L265" t="s">
        <v>2582</v>
      </c>
    </row>
    <row r="266" spans="1:12" x14ac:dyDescent="0.25">
      <c r="A266">
        <v>101702</v>
      </c>
      <c r="B266" t="s">
        <v>355</v>
      </c>
      <c r="C266" t="s">
        <v>244</v>
      </c>
      <c r="D266" t="s">
        <v>258</v>
      </c>
      <c r="E266" t="s">
        <v>2801</v>
      </c>
      <c r="F266" t="s">
        <v>2613</v>
      </c>
      <c r="G266" t="s">
        <v>2607</v>
      </c>
      <c r="H266" t="s">
        <v>18</v>
      </c>
      <c r="I266">
        <v>0</v>
      </c>
      <c r="J266">
        <v>746</v>
      </c>
      <c r="K266" t="s">
        <v>56</v>
      </c>
      <c r="L266" t="s">
        <v>2582</v>
      </c>
    </row>
    <row r="267" spans="1:12" x14ac:dyDescent="0.25">
      <c r="A267">
        <v>100952</v>
      </c>
      <c r="B267" t="s">
        <v>481</v>
      </c>
      <c r="C267" t="s">
        <v>168</v>
      </c>
      <c r="D267" t="s">
        <v>572</v>
      </c>
      <c r="E267" t="s">
        <v>2802</v>
      </c>
      <c r="F267" t="s">
        <v>2641</v>
      </c>
      <c r="G267" t="s">
        <v>2591</v>
      </c>
      <c r="H267" t="s">
        <v>2585</v>
      </c>
      <c r="I267">
        <v>27</v>
      </c>
      <c r="J267">
        <v>548</v>
      </c>
      <c r="K267" t="s">
        <v>56</v>
      </c>
      <c r="L267" t="s">
        <v>20</v>
      </c>
    </row>
    <row r="268" spans="1:12" x14ac:dyDescent="0.25">
      <c r="A268">
        <v>102134</v>
      </c>
      <c r="B268" t="s">
        <v>530</v>
      </c>
      <c r="C268" t="s">
        <v>2649</v>
      </c>
      <c r="D268" t="s">
        <v>573</v>
      </c>
      <c r="E268" t="s">
        <v>2803</v>
      </c>
      <c r="F268" t="s">
        <v>2598</v>
      </c>
      <c r="G268" t="s">
        <v>2682</v>
      </c>
      <c r="H268" t="s">
        <v>2618</v>
      </c>
      <c r="I268">
        <v>0</v>
      </c>
      <c r="J268">
        <v>819</v>
      </c>
      <c r="K268" t="s">
        <v>45</v>
      </c>
      <c r="L268" t="s">
        <v>20</v>
      </c>
    </row>
    <row r="269" spans="1:12" x14ac:dyDescent="0.25">
      <c r="A269">
        <v>100455</v>
      </c>
      <c r="B269" t="s">
        <v>504</v>
      </c>
      <c r="C269" t="s">
        <v>2706</v>
      </c>
      <c r="D269" t="s">
        <v>574</v>
      </c>
      <c r="E269" t="s">
        <v>2804</v>
      </c>
      <c r="F269" t="s">
        <v>2627</v>
      </c>
      <c r="G269" t="s">
        <v>2600</v>
      </c>
      <c r="H269" t="s">
        <v>18</v>
      </c>
      <c r="I269">
        <v>0</v>
      </c>
      <c r="J269">
        <v>494</v>
      </c>
      <c r="K269" t="s">
        <v>19</v>
      </c>
      <c r="L269" t="s">
        <v>2582</v>
      </c>
    </row>
    <row r="270" spans="1:12" x14ac:dyDescent="0.25">
      <c r="A270">
        <v>101768</v>
      </c>
      <c r="B270" t="s">
        <v>148</v>
      </c>
      <c r="C270" t="s">
        <v>149</v>
      </c>
      <c r="D270" t="s">
        <v>226</v>
      </c>
      <c r="E270" t="s">
        <v>575</v>
      </c>
      <c r="F270" t="s">
        <v>2616</v>
      </c>
      <c r="G270" t="s">
        <v>2580</v>
      </c>
      <c r="H270" t="s">
        <v>2620</v>
      </c>
      <c r="I270">
        <v>0</v>
      </c>
      <c r="J270">
        <v>876</v>
      </c>
      <c r="K270" t="s">
        <v>32</v>
      </c>
      <c r="L270" t="s">
        <v>2588</v>
      </c>
    </row>
    <row r="271" spans="1:12" x14ac:dyDescent="0.25">
      <c r="A271">
        <v>100940</v>
      </c>
      <c r="B271" t="s">
        <v>576</v>
      </c>
      <c r="C271" t="s">
        <v>22</v>
      </c>
      <c r="D271" t="s">
        <v>577</v>
      </c>
      <c r="E271" t="s">
        <v>578</v>
      </c>
      <c r="F271" t="s">
        <v>2613</v>
      </c>
      <c r="G271" t="s">
        <v>2599</v>
      </c>
      <c r="H271" t="s">
        <v>2587</v>
      </c>
      <c r="I271">
        <v>0</v>
      </c>
      <c r="J271">
        <v>418</v>
      </c>
      <c r="K271" t="s">
        <v>19</v>
      </c>
      <c r="L271" t="s">
        <v>2582</v>
      </c>
    </row>
    <row r="272" spans="1:12" x14ac:dyDescent="0.25">
      <c r="A272">
        <v>101254</v>
      </c>
      <c r="B272" t="s">
        <v>200</v>
      </c>
      <c r="C272" t="s">
        <v>142</v>
      </c>
      <c r="D272" t="s">
        <v>579</v>
      </c>
      <c r="E272" t="s">
        <v>2805</v>
      </c>
      <c r="F272" t="s">
        <v>2646</v>
      </c>
      <c r="G272" t="s">
        <v>2600</v>
      </c>
      <c r="H272" t="s">
        <v>2587</v>
      </c>
      <c r="I272">
        <v>0</v>
      </c>
      <c r="J272">
        <v>784</v>
      </c>
      <c r="K272" t="s">
        <v>37</v>
      </c>
      <c r="L272" t="s">
        <v>2582</v>
      </c>
    </row>
    <row r="273" spans="1:12" x14ac:dyDescent="0.25">
      <c r="A273">
        <v>101267</v>
      </c>
      <c r="B273" t="s">
        <v>75</v>
      </c>
      <c r="D273" t="s">
        <v>580</v>
      </c>
      <c r="E273" t="s">
        <v>2806</v>
      </c>
      <c r="F273" t="s">
        <v>2641</v>
      </c>
      <c r="G273" t="s">
        <v>2599</v>
      </c>
      <c r="H273" t="s">
        <v>2620</v>
      </c>
      <c r="I273">
        <v>0</v>
      </c>
      <c r="J273">
        <v>554</v>
      </c>
      <c r="K273" t="s">
        <v>37</v>
      </c>
      <c r="L273" t="s">
        <v>2582</v>
      </c>
    </row>
    <row r="274" spans="1:12" x14ac:dyDescent="0.25">
      <c r="A274">
        <v>101238</v>
      </c>
      <c r="B274" t="s">
        <v>581</v>
      </c>
      <c r="C274" t="s">
        <v>103</v>
      </c>
      <c r="D274" t="s">
        <v>582</v>
      </c>
      <c r="E274" t="s">
        <v>583</v>
      </c>
      <c r="F274" t="s">
        <v>2604</v>
      </c>
      <c r="G274" t="s">
        <v>2631</v>
      </c>
      <c r="H274" t="s">
        <v>2620</v>
      </c>
      <c r="I274">
        <v>0</v>
      </c>
      <c r="J274">
        <v>435</v>
      </c>
      <c r="K274" t="s">
        <v>19</v>
      </c>
      <c r="L274" t="s">
        <v>26</v>
      </c>
    </row>
    <row r="275" spans="1:12" x14ac:dyDescent="0.25">
      <c r="A275">
        <v>101463</v>
      </c>
      <c r="B275" t="s">
        <v>278</v>
      </c>
      <c r="C275" t="s">
        <v>62</v>
      </c>
      <c r="D275" t="s">
        <v>584</v>
      </c>
      <c r="E275" t="s">
        <v>2807</v>
      </c>
      <c r="F275" t="s">
        <v>30</v>
      </c>
      <c r="G275" t="s">
        <v>2635</v>
      </c>
      <c r="H275" t="s">
        <v>2594</v>
      </c>
      <c r="I275">
        <v>158</v>
      </c>
      <c r="J275">
        <v>713</v>
      </c>
      <c r="K275" t="s">
        <v>32</v>
      </c>
      <c r="L275" t="s">
        <v>20</v>
      </c>
    </row>
    <row r="276" spans="1:12" x14ac:dyDescent="0.25">
      <c r="A276">
        <v>100520</v>
      </c>
      <c r="B276" t="s">
        <v>585</v>
      </c>
      <c r="C276" t="s">
        <v>270</v>
      </c>
      <c r="D276" t="s">
        <v>586</v>
      </c>
      <c r="E276" t="s">
        <v>587</v>
      </c>
      <c r="F276" t="s">
        <v>41</v>
      </c>
      <c r="G276" t="s">
        <v>2591</v>
      </c>
      <c r="H276" t="s">
        <v>2581</v>
      </c>
      <c r="I276">
        <v>0</v>
      </c>
      <c r="J276">
        <v>814</v>
      </c>
      <c r="K276" t="s">
        <v>45</v>
      </c>
      <c r="L276" t="s">
        <v>20</v>
      </c>
    </row>
    <row r="277" spans="1:12" x14ac:dyDescent="0.25">
      <c r="A277">
        <v>100850</v>
      </c>
      <c r="B277" t="s">
        <v>443</v>
      </c>
      <c r="C277" t="s">
        <v>72</v>
      </c>
      <c r="D277" t="s">
        <v>588</v>
      </c>
      <c r="E277" t="s">
        <v>589</v>
      </c>
      <c r="F277" t="s">
        <v>41</v>
      </c>
      <c r="G277" t="s">
        <v>2635</v>
      </c>
      <c r="H277" t="s">
        <v>2581</v>
      </c>
      <c r="I277">
        <v>0</v>
      </c>
      <c r="J277">
        <v>309</v>
      </c>
      <c r="K277" t="s">
        <v>37</v>
      </c>
      <c r="L277" t="s">
        <v>2582</v>
      </c>
    </row>
    <row r="278" spans="1:12" x14ac:dyDescent="0.25">
      <c r="A278">
        <v>100799</v>
      </c>
      <c r="B278" t="s">
        <v>194</v>
      </c>
      <c r="C278" t="s">
        <v>47</v>
      </c>
      <c r="D278" t="s">
        <v>590</v>
      </c>
      <c r="E278" t="s">
        <v>591</v>
      </c>
      <c r="F278" t="s">
        <v>2640</v>
      </c>
      <c r="G278" t="s">
        <v>2631</v>
      </c>
      <c r="H278" t="s">
        <v>2630</v>
      </c>
      <c r="I278">
        <v>19</v>
      </c>
      <c r="J278">
        <v>308</v>
      </c>
      <c r="K278" t="s">
        <v>19</v>
      </c>
      <c r="L278" t="s">
        <v>2582</v>
      </c>
    </row>
    <row r="279" spans="1:12" x14ac:dyDescent="0.25">
      <c r="A279">
        <v>101066</v>
      </c>
      <c r="B279" t="s">
        <v>592</v>
      </c>
      <c r="C279" t="s">
        <v>47</v>
      </c>
      <c r="D279" t="s">
        <v>593</v>
      </c>
      <c r="E279" t="s">
        <v>2808</v>
      </c>
      <c r="F279" t="s">
        <v>2613</v>
      </c>
      <c r="G279" t="s">
        <v>55</v>
      </c>
      <c r="H279" t="s">
        <v>2587</v>
      </c>
      <c r="I279">
        <v>0</v>
      </c>
      <c r="J279">
        <v>332</v>
      </c>
      <c r="K279" t="s">
        <v>37</v>
      </c>
      <c r="L279" t="s">
        <v>26</v>
      </c>
    </row>
    <row r="280" spans="1:12" x14ac:dyDescent="0.25">
      <c r="A280">
        <v>101312</v>
      </c>
      <c r="B280" t="s">
        <v>563</v>
      </c>
      <c r="C280" t="s">
        <v>58</v>
      </c>
      <c r="D280" t="s">
        <v>594</v>
      </c>
      <c r="E280" t="s">
        <v>2809</v>
      </c>
      <c r="F280" t="s">
        <v>2646</v>
      </c>
      <c r="G280" t="s">
        <v>2658</v>
      </c>
      <c r="H280" t="s">
        <v>2587</v>
      </c>
      <c r="I280">
        <v>0</v>
      </c>
      <c r="J280">
        <v>893</v>
      </c>
      <c r="K280" t="s">
        <v>45</v>
      </c>
      <c r="L280" t="s">
        <v>20</v>
      </c>
    </row>
    <row r="281" spans="1:12" x14ac:dyDescent="0.25">
      <c r="A281">
        <v>101946</v>
      </c>
      <c r="B281" t="s">
        <v>595</v>
      </c>
      <c r="C281" t="s">
        <v>22</v>
      </c>
      <c r="D281" t="s">
        <v>484</v>
      </c>
      <c r="E281" t="s">
        <v>2810</v>
      </c>
      <c r="F281" t="s">
        <v>2629</v>
      </c>
      <c r="G281" t="s">
        <v>2584</v>
      </c>
      <c r="H281" t="s">
        <v>2623</v>
      </c>
      <c r="I281">
        <v>101</v>
      </c>
      <c r="J281">
        <v>372</v>
      </c>
      <c r="K281" t="s">
        <v>19</v>
      </c>
      <c r="L281" t="s">
        <v>26</v>
      </c>
    </row>
    <row r="282" spans="1:12" x14ac:dyDescent="0.25">
      <c r="A282">
        <v>101628</v>
      </c>
      <c r="B282" t="s">
        <v>596</v>
      </c>
      <c r="C282" t="s">
        <v>22</v>
      </c>
      <c r="D282" t="s">
        <v>597</v>
      </c>
      <c r="E282" t="s">
        <v>598</v>
      </c>
      <c r="F282" t="s">
        <v>2616</v>
      </c>
      <c r="G282" t="s">
        <v>2591</v>
      </c>
      <c r="H282" t="s">
        <v>2585</v>
      </c>
      <c r="I282">
        <v>14</v>
      </c>
      <c r="J282">
        <v>603</v>
      </c>
      <c r="K282" t="s">
        <v>45</v>
      </c>
      <c r="L282" t="s">
        <v>2588</v>
      </c>
    </row>
    <row r="283" spans="1:12" x14ac:dyDescent="0.25">
      <c r="A283">
        <v>101539</v>
      </c>
      <c r="B283" t="s">
        <v>599</v>
      </c>
      <c r="C283" t="s">
        <v>52</v>
      </c>
      <c r="D283" t="s">
        <v>600</v>
      </c>
      <c r="E283" t="s">
        <v>2811</v>
      </c>
      <c r="F283" t="s">
        <v>64</v>
      </c>
      <c r="G283" t="s">
        <v>2580</v>
      </c>
      <c r="H283" t="s">
        <v>2581</v>
      </c>
      <c r="I283">
        <v>0</v>
      </c>
      <c r="J283">
        <v>552</v>
      </c>
      <c r="K283" t="s">
        <v>37</v>
      </c>
      <c r="L283" t="s">
        <v>2588</v>
      </c>
    </row>
    <row r="284" spans="1:12" x14ac:dyDescent="0.25">
      <c r="A284">
        <v>101514</v>
      </c>
      <c r="B284" t="s">
        <v>601</v>
      </c>
      <c r="C284" t="s">
        <v>100</v>
      </c>
      <c r="D284" t="s">
        <v>602</v>
      </c>
      <c r="E284" t="s">
        <v>2812</v>
      </c>
      <c r="F284" t="s">
        <v>2643</v>
      </c>
      <c r="G284" t="s">
        <v>2633</v>
      </c>
      <c r="H284" t="s">
        <v>2587</v>
      </c>
      <c r="J284">
        <v>849</v>
      </c>
      <c r="K284" t="s">
        <v>32</v>
      </c>
    </row>
    <row r="285" spans="1:12" x14ac:dyDescent="0.25">
      <c r="A285">
        <v>100694</v>
      </c>
      <c r="B285" t="s">
        <v>303</v>
      </c>
      <c r="C285" t="s">
        <v>187</v>
      </c>
      <c r="D285" t="s">
        <v>434</v>
      </c>
      <c r="E285" t="s">
        <v>603</v>
      </c>
      <c r="F285" t="s">
        <v>41</v>
      </c>
      <c r="G285" t="s">
        <v>55</v>
      </c>
      <c r="H285" t="s">
        <v>2581</v>
      </c>
      <c r="I285">
        <v>0</v>
      </c>
      <c r="J285">
        <v>800</v>
      </c>
      <c r="K285" t="s">
        <v>32</v>
      </c>
      <c r="L285" t="s">
        <v>26</v>
      </c>
    </row>
    <row r="286" spans="1:12" x14ac:dyDescent="0.25">
      <c r="A286">
        <v>100112</v>
      </c>
      <c r="B286" t="s">
        <v>420</v>
      </c>
      <c r="D286" t="s">
        <v>604</v>
      </c>
      <c r="E286" t="s">
        <v>605</v>
      </c>
      <c r="F286" t="s">
        <v>64</v>
      </c>
      <c r="G286" t="s">
        <v>2580</v>
      </c>
      <c r="H286" t="s">
        <v>18</v>
      </c>
      <c r="I286">
        <v>0</v>
      </c>
      <c r="J286">
        <v>418</v>
      </c>
      <c r="K286" t="s">
        <v>45</v>
      </c>
      <c r="L286" t="s">
        <v>2588</v>
      </c>
    </row>
    <row r="287" spans="1:12" x14ac:dyDescent="0.25">
      <c r="A287">
        <v>100681</v>
      </c>
      <c r="B287" t="s">
        <v>266</v>
      </c>
      <c r="C287" t="s">
        <v>122</v>
      </c>
      <c r="D287" t="s">
        <v>231</v>
      </c>
      <c r="E287" t="s">
        <v>606</v>
      </c>
      <c r="F287" t="s">
        <v>2583</v>
      </c>
      <c r="G287" t="s">
        <v>2591</v>
      </c>
      <c r="H287" t="s">
        <v>2620</v>
      </c>
      <c r="I287">
        <v>0</v>
      </c>
      <c r="J287">
        <v>504</v>
      </c>
      <c r="K287" t="s">
        <v>37</v>
      </c>
      <c r="L287" t="s">
        <v>20</v>
      </c>
    </row>
    <row r="288" spans="1:12" x14ac:dyDescent="0.25">
      <c r="A288">
        <v>101707</v>
      </c>
      <c r="B288" t="s">
        <v>607</v>
      </c>
      <c r="C288" t="s">
        <v>134</v>
      </c>
      <c r="D288" t="s">
        <v>608</v>
      </c>
      <c r="E288" t="s">
        <v>609</v>
      </c>
      <c r="F288" t="s">
        <v>2643</v>
      </c>
      <c r="G288" t="s">
        <v>2617</v>
      </c>
      <c r="H288" t="s">
        <v>2597</v>
      </c>
      <c r="I288">
        <v>28</v>
      </c>
      <c r="J288">
        <v>458</v>
      </c>
      <c r="K288" t="s">
        <v>19</v>
      </c>
      <c r="L288" t="s">
        <v>20</v>
      </c>
    </row>
    <row r="289" spans="1:12" x14ac:dyDescent="0.25">
      <c r="A289">
        <v>100300</v>
      </c>
      <c r="B289" t="s">
        <v>610</v>
      </c>
      <c r="C289" t="s">
        <v>126</v>
      </c>
      <c r="D289" t="s">
        <v>611</v>
      </c>
      <c r="E289" t="s">
        <v>2813</v>
      </c>
      <c r="F289" t="s">
        <v>2579</v>
      </c>
      <c r="G289" t="s">
        <v>2617</v>
      </c>
      <c r="H289" t="s">
        <v>18</v>
      </c>
      <c r="I289">
        <v>0</v>
      </c>
      <c r="J289">
        <v>315</v>
      </c>
      <c r="K289" t="s">
        <v>45</v>
      </c>
      <c r="L289" t="s">
        <v>2588</v>
      </c>
    </row>
    <row r="290" spans="1:12" x14ac:dyDescent="0.25">
      <c r="A290">
        <v>100792</v>
      </c>
      <c r="B290" t="s">
        <v>125</v>
      </c>
      <c r="C290" t="s">
        <v>126</v>
      </c>
      <c r="D290" t="s">
        <v>612</v>
      </c>
      <c r="E290" t="s">
        <v>2814</v>
      </c>
      <c r="F290" t="s">
        <v>2641</v>
      </c>
      <c r="G290" t="s">
        <v>2658</v>
      </c>
      <c r="H290" t="s">
        <v>2644</v>
      </c>
      <c r="I290">
        <v>0</v>
      </c>
      <c r="J290">
        <v>461</v>
      </c>
      <c r="K290" t="s">
        <v>32</v>
      </c>
      <c r="L290" t="s">
        <v>2582</v>
      </c>
    </row>
    <row r="291" spans="1:12" x14ac:dyDescent="0.25">
      <c r="A291">
        <v>100763</v>
      </c>
      <c r="B291" t="s">
        <v>27</v>
      </c>
      <c r="C291" t="s">
        <v>28</v>
      </c>
      <c r="D291" t="s">
        <v>613</v>
      </c>
      <c r="E291" t="s">
        <v>614</v>
      </c>
      <c r="F291" t="s">
        <v>50</v>
      </c>
      <c r="G291" t="s">
        <v>2611</v>
      </c>
      <c r="H291" t="s">
        <v>2581</v>
      </c>
      <c r="I291">
        <v>0</v>
      </c>
      <c r="J291">
        <v>849</v>
      </c>
      <c r="K291" t="s">
        <v>56</v>
      </c>
      <c r="L291" t="s">
        <v>2588</v>
      </c>
    </row>
    <row r="292" spans="1:12" x14ac:dyDescent="0.25">
      <c r="A292">
        <v>101426</v>
      </c>
      <c r="B292" t="s">
        <v>200</v>
      </c>
      <c r="C292" t="s">
        <v>142</v>
      </c>
      <c r="D292" t="s">
        <v>615</v>
      </c>
      <c r="E292" t="s">
        <v>2815</v>
      </c>
      <c r="F292" t="s">
        <v>2616</v>
      </c>
      <c r="G292" t="s">
        <v>2625</v>
      </c>
      <c r="H292" t="s">
        <v>2644</v>
      </c>
      <c r="J292">
        <v>784</v>
      </c>
      <c r="K292" t="s">
        <v>56</v>
      </c>
      <c r="L292" t="s">
        <v>20</v>
      </c>
    </row>
    <row r="293" spans="1:12" x14ac:dyDescent="0.25">
      <c r="A293">
        <v>101452</v>
      </c>
      <c r="B293" t="s">
        <v>616</v>
      </c>
      <c r="C293" t="s">
        <v>95</v>
      </c>
      <c r="D293" t="s">
        <v>617</v>
      </c>
      <c r="E293" t="s">
        <v>2816</v>
      </c>
      <c r="F293" t="s">
        <v>2613</v>
      </c>
      <c r="G293" t="s">
        <v>2607</v>
      </c>
      <c r="H293" t="s">
        <v>2618</v>
      </c>
      <c r="I293">
        <v>0</v>
      </c>
      <c r="J293">
        <v>898</v>
      </c>
      <c r="K293" t="s">
        <v>19</v>
      </c>
      <c r="L293" t="s">
        <v>2582</v>
      </c>
    </row>
    <row r="294" spans="1:12" x14ac:dyDescent="0.25">
      <c r="A294">
        <v>100729</v>
      </c>
      <c r="B294" t="s">
        <v>596</v>
      </c>
      <c r="C294" t="s">
        <v>2686</v>
      </c>
      <c r="D294" t="s">
        <v>618</v>
      </c>
      <c r="E294" t="s">
        <v>2817</v>
      </c>
      <c r="F294" t="s">
        <v>2579</v>
      </c>
      <c r="G294" t="s">
        <v>2611</v>
      </c>
      <c r="H294" t="s">
        <v>18</v>
      </c>
      <c r="I294">
        <v>0</v>
      </c>
      <c r="J294">
        <v>603</v>
      </c>
      <c r="K294" t="s">
        <v>45</v>
      </c>
      <c r="L294" t="s">
        <v>26</v>
      </c>
    </row>
    <row r="295" spans="1:12" x14ac:dyDescent="0.25">
      <c r="A295">
        <v>102151</v>
      </c>
      <c r="B295" t="s">
        <v>619</v>
      </c>
      <c r="C295" t="s">
        <v>2818</v>
      </c>
      <c r="D295" t="s">
        <v>620</v>
      </c>
      <c r="F295" t="s">
        <v>2627</v>
      </c>
      <c r="H295" t="s">
        <v>83</v>
      </c>
      <c r="I295">
        <v>0</v>
      </c>
      <c r="J295">
        <v>351</v>
      </c>
      <c r="K295" t="s">
        <v>45</v>
      </c>
      <c r="L295" t="s">
        <v>20</v>
      </c>
    </row>
    <row r="296" spans="1:12" x14ac:dyDescent="0.25">
      <c r="A296">
        <v>100312</v>
      </c>
      <c r="B296" t="s">
        <v>621</v>
      </c>
      <c r="C296" t="s">
        <v>72</v>
      </c>
      <c r="D296" t="s">
        <v>622</v>
      </c>
      <c r="E296" t="s">
        <v>623</v>
      </c>
      <c r="F296" t="s">
        <v>2604</v>
      </c>
      <c r="G296" t="s">
        <v>2633</v>
      </c>
      <c r="H296" t="s">
        <v>2587</v>
      </c>
      <c r="I296">
        <v>0</v>
      </c>
      <c r="J296">
        <v>377</v>
      </c>
      <c r="K296" t="s">
        <v>45</v>
      </c>
      <c r="L296" t="s">
        <v>2582</v>
      </c>
    </row>
    <row r="297" spans="1:12" x14ac:dyDescent="0.25">
      <c r="A297">
        <v>101202</v>
      </c>
      <c r="B297" t="s">
        <v>621</v>
      </c>
      <c r="C297" t="s">
        <v>72</v>
      </c>
      <c r="D297" t="s">
        <v>624</v>
      </c>
      <c r="E297" t="s">
        <v>2819</v>
      </c>
      <c r="F297" t="s">
        <v>2608</v>
      </c>
      <c r="G297" t="s">
        <v>31</v>
      </c>
      <c r="H297" t="s">
        <v>2581</v>
      </c>
      <c r="I297">
        <v>0</v>
      </c>
      <c r="J297">
        <v>377</v>
      </c>
      <c r="K297" t="s">
        <v>32</v>
      </c>
      <c r="L297" t="s">
        <v>2588</v>
      </c>
    </row>
    <row r="298" spans="1:12" x14ac:dyDescent="0.25">
      <c r="A298">
        <v>100594</v>
      </c>
      <c r="B298" t="s">
        <v>418</v>
      </c>
      <c r="C298" t="s">
        <v>52</v>
      </c>
      <c r="E298" t="s">
        <v>2820</v>
      </c>
      <c r="F298" t="s">
        <v>2640</v>
      </c>
      <c r="G298" t="s">
        <v>2633</v>
      </c>
      <c r="H298" t="s">
        <v>2623</v>
      </c>
      <c r="I298">
        <v>34</v>
      </c>
      <c r="J298">
        <v>371</v>
      </c>
      <c r="K298" t="s">
        <v>45</v>
      </c>
      <c r="L298" t="s">
        <v>2588</v>
      </c>
    </row>
    <row r="299" spans="1:12" x14ac:dyDescent="0.25">
      <c r="A299">
        <v>101255</v>
      </c>
      <c r="B299" t="s">
        <v>625</v>
      </c>
      <c r="C299" t="s">
        <v>152</v>
      </c>
      <c r="D299" t="s">
        <v>626</v>
      </c>
      <c r="E299" t="s">
        <v>627</v>
      </c>
      <c r="F299" t="s">
        <v>2627</v>
      </c>
      <c r="G299" t="s">
        <v>81</v>
      </c>
      <c r="H299" t="s">
        <v>2587</v>
      </c>
      <c r="I299">
        <v>0</v>
      </c>
      <c r="J299">
        <v>678</v>
      </c>
      <c r="K299" t="s">
        <v>37</v>
      </c>
      <c r="L299" t="s">
        <v>26</v>
      </c>
    </row>
    <row r="300" spans="1:12" x14ac:dyDescent="0.25">
      <c r="A300">
        <v>100374</v>
      </c>
      <c r="B300" t="s">
        <v>628</v>
      </c>
      <c r="C300" t="s">
        <v>47</v>
      </c>
      <c r="D300" t="s">
        <v>629</v>
      </c>
      <c r="E300" t="s">
        <v>2821</v>
      </c>
      <c r="F300" t="s">
        <v>2579</v>
      </c>
      <c r="G300" t="s">
        <v>2635</v>
      </c>
      <c r="H300" t="s">
        <v>42</v>
      </c>
      <c r="I300">
        <v>47</v>
      </c>
      <c r="J300">
        <v>852</v>
      </c>
      <c r="L300" t="s">
        <v>20</v>
      </c>
    </row>
    <row r="301" spans="1:12" x14ac:dyDescent="0.25">
      <c r="A301">
        <v>100922</v>
      </c>
      <c r="B301" t="s">
        <v>222</v>
      </c>
      <c r="C301" t="s">
        <v>100</v>
      </c>
      <c r="D301" t="s">
        <v>630</v>
      </c>
      <c r="E301" t="s">
        <v>2822</v>
      </c>
      <c r="F301" t="s">
        <v>2598</v>
      </c>
      <c r="G301" t="s">
        <v>2591</v>
      </c>
      <c r="H301" t="s">
        <v>2618</v>
      </c>
      <c r="I301">
        <v>0</v>
      </c>
      <c r="J301">
        <v>585</v>
      </c>
      <c r="K301" t="s">
        <v>45</v>
      </c>
      <c r="L301" t="s">
        <v>2588</v>
      </c>
    </row>
    <row r="302" spans="1:12" x14ac:dyDescent="0.25">
      <c r="A302">
        <v>100051</v>
      </c>
      <c r="B302" t="s">
        <v>631</v>
      </c>
      <c r="C302" t="s">
        <v>13</v>
      </c>
      <c r="D302" t="s">
        <v>205</v>
      </c>
      <c r="E302" t="s">
        <v>2823</v>
      </c>
      <c r="F302" t="s">
        <v>2613</v>
      </c>
      <c r="G302" t="s">
        <v>2611</v>
      </c>
      <c r="H302" t="s">
        <v>2585</v>
      </c>
      <c r="I302">
        <v>28</v>
      </c>
      <c r="J302">
        <v>544</v>
      </c>
      <c r="K302" t="s">
        <v>37</v>
      </c>
      <c r="L302" t="s">
        <v>2582</v>
      </c>
    </row>
    <row r="303" spans="1:12" x14ac:dyDescent="0.25">
      <c r="A303">
        <v>100745</v>
      </c>
      <c r="B303" t="s">
        <v>34</v>
      </c>
      <c r="C303" t="s">
        <v>13</v>
      </c>
      <c r="D303" t="s">
        <v>632</v>
      </c>
      <c r="E303" t="s">
        <v>2824</v>
      </c>
      <c r="F303" t="s">
        <v>41</v>
      </c>
      <c r="G303" t="s">
        <v>2652</v>
      </c>
      <c r="H303" t="s">
        <v>2587</v>
      </c>
      <c r="I303">
        <v>0</v>
      </c>
      <c r="J303">
        <v>672</v>
      </c>
      <c r="K303" t="s">
        <v>45</v>
      </c>
      <c r="L303" t="s">
        <v>26</v>
      </c>
    </row>
    <row r="304" spans="1:12" x14ac:dyDescent="0.25">
      <c r="A304">
        <v>100318</v>
      </c>
      <c r="B304" t="s">
        <v>225</v>
      </c>
      <c r="C304" t="s">
        <v>142</v>
      </c>
      <c r="D304" t="s">
        <v>633</v>
      </c>
      <c r="E304" t="s">
        <v>2825</v>
      </c>
      <c r="F304" t="s">
        <v>2613</v>
      </c>
      <c r="G304" t="s">
        <v>2584</v>
      </c>
      <c r="H304" t="s">
        <v>2594</v>
      </c>
      <c r="I304">
        <v>136</v>
      </c>
      <c r="J304">
        <v>741</v>
      </c>
      <c r="K304" t="s">
        <v>19</v>
      </c>
      <c r="L304" t="s">
        <v>2588</v>
      </c>
    </row>
    <row r="305" spans="1:12" x14ac:dyDescent="0.25">
      <c r="A305">
        <v>100708</v>
      </c>
      <c r="B305" t="s">
        <v>446</v>
      </c>
      <c r="C305" t="s">
        <v>2655</v>
      </c>
      <c r="D305" t="s">
        <v>634</v>
      </c>
      <c r="E305" t="s">
        <v>635</v>
      </c>
      <c r="F305" t="s">
        <v>2604</v>
      </c>
      <c r="G305" t="s">
        <v>2617</v>
      </c>
      <c r="H305" t="s">
        <v>42</v>
      </c>
      <c r="I305">
        <v>73</v>
      </c>
      <c r="J305">
        <v>515</v>
      </c>
      <c r="K305" t="s">
        <v>37</v>
      </c>
      <c r="L305" t="s">
        <v>26</v>
      </c>
    </row>
    <row r="306" spans="1:12" x14ac:dyDescent="0.25">
      <c r="A306">
        <v>100495</v>
      </c>
      <c r="B306" t="s">
        <v>636</v>
      </c>
      <c r="C306" t="s">
        <v>244</v>
      </c>
      <c r="D306" t="s">
        <v>637</v>
      </c>
      <c r="E306" t="s">
        <v>638</v>
      </c>
      <c r="F306" t="s">
        <v>41</v>
      </c>
      <c r="G306" t="s">
        <v>2617</v>
      </c>
      <c r="H306" t="s">
        <v>2581</v>
      </c>
      <c r="I306">
        <v>0</v>
      </c>
      <c r="J306">
        <v>303</v>
      </c>
      <c r="L306" t="s">
        <v>26</v>
      </c>
    </row>
    <row r="307" spans="1:12" x14ac:dyDescent="0.25">
      <c r="A307">
        <v>101600</v>
      </c>
      <c r="B307" t="s">
        <v>12</v>
      </c>
      <c r="C307" t="s">
        <v>13</v>
      </c>
      <c r="D307" t="s">
        <v>639</v>
      </c>
      <c r="E307" t="s">
        <v>640</v>
      </c>
      <c r="F307" t="s">
        <v>64</v>
      </c>
      <c r="G307" t="s">
        <v>60</v>
      </c>
      <c r="H307" t="s">
        <v>2587</v>
      </c>
      <c r="I307">
        <v>0</v>
      </c>
      <c r="J307">
        <v>753</v>
      </c>
      <c r="K307" t="s">
        <v>19</v>
      </c>
    </row>
    <row r="308" spans="1:12" x14ac:dyDescent="0.25">
      <c r="A308">
        <v>101854</v>
      </c>
      <c r="B308" t="s">
        <v>84</v>
      </c>
      <c r="C308" t="s">
        <v>85</v>
      </c>
      <c r="D308" t="s">
        <v>641</v>
      </c>
      <c r="E308" t="s">
        <v>2826</v>
      </c>
      <c r="F308" t="s">
        <v>2583</v>
      </c>
      <c r="G308" t="s">
        <v>2652</v>
      </c>
      <c r="H308" t="s">
        <v>2587</v>
      </c>
      <c r="I308">
        <v>0</v>
      </c>
      <c r="J308">
        <v>400</v>
      </c>
      <c r="K308" t="s">
        <v>19</v>
      </c>
      <c r="L308" t="s">
        <v>2588</v>
      </c>
    </row>
    <row r="309" spans="1:12" x14ac:dyDescent="0.25">
      <c r="A309">
        <v>101159</v>
      </c>
      <c r="B309" t="s">
        <v>325</v>
      </c>
      <c r="C309" t="s">
        <v>2634</v>
      </c>
      <c r="D309" t="s">
        <v>642</v>
      </c>
      <c r="E309" t="s">
        <v>643</v>
      </c>
      <c r="F309" t="s">
        <v>2593</v>
      </c>
      <c r="G309" t="s">
        <v>2602</v>
      </c>
      <c r="H309" t="s">
        <v>2581</v>
      </c>
      <c r="I309">
        <v>0</v>
      </c>
      <c r="J309">
        <v>570</v>
      </c>
      <c r="K309" t="s">
        <v>32</v>
      </c>
      <c r="L309" t="s">
        <v>20</v>
      </c>
    </row>
    <row r="310" spans="1:12" x14ac:dyDescent="0.25">
      <c r="A310">
        <v>100739</v>
      </c>
      <c r="B310" t="s">
        <v>215</v>
      </c>
      <c r="C310" t="s">
        <v>126</v>
      </c>
      <c r="D310" t="s">
        <v>644</v>
      </c>
      <c r="E310" t="s">
        <v>645</v>
      </c>
      <c r="F310" t="s">
        <v>2627</v>
      </c>
      <c r="G310" t="s">
        <v>2600</v>
      </c>
      <c r="H310" t="s">
        <v>2620</v>
      </c>
      <c r="I310">
        <v>0</v>
      </c>
      <c r="J310">
        <v>395</v>
      </c>
      <c r="K310" t="s">
        <v>56</v>
      </c>
      <c r="L310" t="s">
        <v>2582</v>
      </c>
    </row>
    <row r="311" spans="1:12" x14ac:dyDescent="0.25">
      <c r="A311">
        <v>100034</v>
      </c>
      <c r="B311" t="s">
        <v>215</v>
      </c>
      <c r="C311" t="s">
        <v>126</v>
      </c>
      <c r="D311" t="s">
        <v>508</v>
      </c>
      <c r="E311" t="s">
        <v>2827</v>
      </c>
      <c r="F311" t="s">
        <v>2629</v>
      </c>
      <c r="G311" t="s">
        <v>55</v>
      </c>
      <c r="H311" t="s">
        <v>2594</v>
      </c>
      <c r="I311">
        <v>93</v>
      </c>
      <c r="J311">
        <v>395</v>
      </c>
      <c r="K311" t="s">
        <v>37</v>
      </c>
      <c r="L311" t="s">
        <v>26</v>
      </c>
    </row>
    <row r="312" spans="1:12" x14ac:dyDescent="0.25">
      <c r="A312">
        <v>102062</v>
      </c>
      <c r="B312" t="s">
        <v>102</v>
      </c>
      <c r="C312" t="s">
        <v>103</v>
      </c>
      <c r="D312" t="s">
        <v>646</v>
      </c>
      <c r="E312" t="s">
        <v>2828</v>
      </c>
      <c r="F312" t="s">
        <v>2604</v>
      </c>
      <c r="G312" t="s">
        <v>60</v>
      </c>
      <c r="H312" t="s">
        <v>2587</v>
      </c>
      <c r="I312">
        <v>0</v>
      </c>
      <c r="J312">
        <v>733</v>
      </c>
      <c r="K312" t="s">
        <v>37</v>
      </c>
      <c r="L312" t="s">
        <v>2588</v>
      </c>
    </row>
    <row r="313" spans="1:12" x14ac:dyDescent="0.25">
      <c r="A313">
        <v>101072</v>
      </c>
      <c r="B313" t="s">
        <v>276</v>
      </c>
      <c r="C313" t="s">
        <v>52</v>
      </c>
      <c r="D313" t="s">
        <v>647</v>
      </c>
      <c r="E313" t="s">
        <v>648</v>
      </c>
      <c r="F313" t="s">
        <v>50</v>
      </c>
      <c r="G313" t="s">
        <v>2682</v>
      </c>
      <c r="H313" t="s">
        <v>18</v>
      </c>
      <c r="I313">
        <v>0</v>
      </c>
      <c r="J313">
        <v>638</v>
      </c>
      <c r="K313" t="s">
        <v>56</v>
      </c>
      <c r="L313" t="s">
        <v>26</v>
      </c>
    </row>
    <row r="314" spans="1:12" x14ac:dyDescent="0.25">
      <c r="A314">
        <v>100737</v>
      </c>
      <c r="B314" t="s">
        <v>202</v>
      </c>
      <c r="C314" t="s">
        <v>95</v>
      </c>
      <c r="D314" t="s">
        <v>649</v>
      </c>
      <c r="E314" t="s">
        <v>650</v>
      </c>
      <c r="F314" t="s">
        <v>2598</v>
      </c>
      <c r="G314" t="s">
        <v>2584</v>
      </c>
      <c r="H314" t="s">
        <v>2587</v>
      </c>
      <c r="I314">
        <v>0</v>
      </c>
      <c r="J314">
        <v>570</v>
      </c>
      <c r="K314" t="s">
        <v>19</v>
      </c>
      <c r="L314" t="s">
        <v>26</v>
      </c>
    </row>
    <row r="315" spans="1:12" x14ac:dyDescent="0.25">
      <c r="A315">
        <v>101611</v>
      </c>
      <c r="B315" t="s">
        <v>222</v>
      </c>
      <c r="C315" t="s">
        <v>100</v>
      </c>
      <c r="D315" t="s">
        <v>651</v>
      </c>
      <c r="E315" t="s">
        <v>2829</v>
      </c>
      <c r="F315" t="s">
        <v>2629</v>
      </c>
      <c r="G315" t="s">
        <v>2607</v>
      </c>
      <c r="H315" t="s">
        <v>83</v>
      </c>
      <c r="I315">
        <v>0</v>
      </c>
      <c r="J315">
        <v>585</v>
      </c>
      <c r="K315" t="s">
        <v>45</v>
      </c>
    </row>
    <row r="316" spans="1:12" x14ac:dyDescent="0.25">
      <c r="A316">
        <v>100324</v>
      </c>
      <c r="B316" t="s">
        <v>528</v>
      </c>
      <c r="C316" t="s">
        <v>103</v>
      </c>
      <c r="D316" t="s">
        <v>652</v>
      </c>
      <c r="F316" t="s">
        <v>2641</v>
      </c>
      <c r="G316" t="s">
        <v>2602</v>
      </c>
      <c r="H316" t="s">
        <v>25</v>
      </c>
      <c r="I316">
        <v>1</v>
      </c>
      <c r="J316">
        <v>583</v>
      </c>
      <c r="K316" t="s">
        <v>32</v>
      </c>
      <c r="L316" t="s">
        <v>2582</v>
      </c>
    </row>
    <row r="317" spans="1:12" x14ac:dyDescent="0.25">
      <c r="A317">
        <v>102152</v>
      </c>
      <c r="B317" t="s">
        <v>418</v>
      </c>
      <c r="C317" t="s">
        <v>52</v>
      </c>
      <c r="D317" t="s">
        <v>653</v>
      </c>
      <c r="E317" t="s">
        <v>654</v>
      </c>
      <c r="F317" t="s">
        <v>2583</v>
      </c>
      <c r="G317" t="s">
        <v>2602</v>
      </c>
      <c r="H317" t="s">
        <v>83</v>
      </c>
      <c r="I317">
        <v>0</v>
      </c>
      <c r="J317">
        <v>371</v>
      </c>
      <c r="K317" t="s">
        <v>32</v>
      </c>
      <c r="L317" t="s">
        <v>26</v>
      </c>
    </row>
    <row r="318" spans="1:12" x14ac:dyDescent="0.25">
      <c r="A318">
        <v>100962</v>
      </c>
      <c r="B318" t="s">
        <v>222</v>
      </c>
      <c r="C318" t="s">
        <v>100</v>
      </c>
      <c r="D318" t="s">
        <v>655</v>
      </c>
      <c r="E318" t="s">
        <v>2830</v>
      </c>
      <c r="F318" t="s">
        <v>2629</v>
      </c>
      <c r="G318" t="s">
        <v>2682</v>
      </c>
      <c r="H318" t="s">
        <v>2644</v>
      </c>
      <c r="J318">
        <v>585</v>
      </c>
      <c r="K318" t="s">
        <v>32</v>
      </c>
      <c r="L318" t="s">
        <v>20</v>
      </c>
    </row>
    <row r="319" spans="1:12" x14ac:dyDescent="0.25">
      <c r="A319">
        <v>100997</v>
      </c>
      <c r="B319" t="s">
        <v>198</v>
      </c>
      <c r="C319" t="s">
        <v>134</v>
      </c>
      <c r="D319" t="s">
        <v>153</v>
      </c>
      <c r="E319" t="s">
        <v>656</v>
      </c>
      <c r="F319" t="s">
        <v>2598</v>
      </c>
      <c r="G319" t="s">
        <v>2599</v>
      </c>
      <c r="H319" t="s">
        <v>42</v>
      </c>
      <c r="I319">
        <v>63</v>
      </c>
      <c r="J319">
        <v>555</v>
      </c>
      <c r="K319" t="s">
        <v>56</v>
      </c>
      <c r="L319" t="s">
        <v>2582</v>
      </c>
    </row>
    <row r="320" spans="1:12" x14ac:dyDescent="0.25">
      <c r="A320">
        <v>100330</v>
      </c>
      <c r="B320" t="s">
        <v>657</v>
      </c>
      <c r="C320" t="s">
        <v>52</v>
      </c>
      <c r="D320" t="s">
        <v>658</v>
      </c>
      <c r="E320" t="s">
        <v>659</v>
      </c>
      <c r="F320" t="s">
        <v>2579</v>
      </c>
      <c r="G320" t="s">
        <v>2611</v>
      </c>
      <c r="H320" t="s">
        <v>2620</v>
      </c>
      <c r="I320">
        <v>0</v>
      </c>
      <c r="J320">
        <v>518</v>
      </c>
      <c r="K320" t="s">
        <v>37</v>
      </c>
      <c r="L320" t="s">
        <v>2582</v>
      </c>
    </row>
    <row r="321" spans="1:12" x14ac:dyDescent="0.25">
      <c r="A321">
        <v>100738</v>
      </c>
      <c r="B321" t="s">
        <v>364</v>
      </c>
      <c r="C321" t="s">
        <v>103</v>
      </c>
      <c r="D321" t="s">
        <v>660</v>
      </c>
      <c r="E321" t="s">
        <v>2831</v>
      </c>
      <c r="F321" t="s">
        <v>2613</v>
      </c>
      <c r="G321" t="s">
        <v>2599</v>
      </c>
      <c r="H321" t="s">
        <v>2620</v>
      </c>
      <c r="J321">
        <v>351</v>
      </c>
      <c r="K321" t="s">
        <v>19</v>
      </c>
      <c r="L321" t="s">
        <v>2582</v>
      </c>
    </row>
    <row r="322" spans="1:12" x14ac:dyDescent="0.25">
      <c r="A322">
        <v>100283</v>
      </c>
      <c r="B322" t="s">
        <v>202</v>
      </c>
      <c r="C322" t="s">
        <v>95</v>
      </c>
      <c r="D322" t="s">
        <v>661</v>
      </c>
      <c r="E322" t="s">
        <v>662</v>
      </c>
      <c r="F322" t="s">
        <v>2590</v>
      </c>
      <c r="G322" t="s">
        <v>31</v>
      </c>
      <c r="H322" t="s">
        <v>2581</v>
      </c>
      <c r="I322">
        <v>0</v>
      </c>
      <c r="J322">
        <v>570</v>
      </c>
      <c r="K322" t="s">
        <v>32</v>
      </c>
      <c r="L322" t="s">
        <v>2582</v>
      </c>
    </row>
    <row r="323" spans="1:12" x14ac:dyDescent="0.25">
      <c r="A323">
        <v>101684</v>
      </c>
      <c r="B323" t="s">
        <v>176</v>
      </c>
      <c r="C323" t="s">
        <v>58</v>
      </c>
      <c r="D323" t="s">
        <v>663</v>
      </c>
      <c r="E323" t="s">
        <v>2832</v>
      </c>
      <c r="F323" t="s">
        <v>2648</v>
      </c>
      <c r="G323" t="s">
        <v>2609</v>
      </c>
      <c r="H323" t="s">
        <v>2581</v>
      </c>
      <c r="I323">
        <v>0</v>
      </c>
      <c r="J323">
        <v>528</v>
      </c>
      <c r="K323" t="s">
        <v>37</v>
      </c>
      <c r="L323" t="s">
        <v>20</v>
      </c>
    </row>
    <row r="324" spans="1:12" x14ac:dyDescent="0.25">
      <c r="A324">
        <v>101144</v>
      </c>
      <c r="B324" t="s">
        <v>307</v>
      </c>
      <c r="C324" t="s">
        <v>58</v>
      </c>
      <c r="D324" t="s">
        <v>295</v>
      </c>
      <c r="E324" t="s">
        <v>2833</v>
      </c>
      <c r="F324" t="s">
        <v>2616</v>
      </c>
      <c r="G324" t="s">
        <v>2682</v>
      </c>
      <c r="H324" t="s">
        <v>2587</v>
      </c>
      <c r="I324">
        <v>0</v>
      </c>
      <c r="J324">
        <v>616</v>
      </c>
      <c r="K324" t="s">
        <v>32</v>
      </c>
      <c r="L324" t="s">
        <v>20</v>
      </c>
    </row>
    <row r="325" spans="1:12" x14ac:dyDescent="0.25">
      <c r="A325">
        <v>100003</v>
      </c>
      <c r="B325" t="s">
        <v>177</v>
      </c>
      <c r="D325" t="s">
        <v>664</v>
      </c>
      <c r="E325" t="s">
        <v>2834</v>
      </c>
      <c r="F325" t="s">
        <v>2641</v>
      </c>
      <c r="G325" t="s">
        <v>2602</v>
      </c>
      <c r="H325" t="s">
        <v>2587</v>
      </c>
      <c r="I325">
        <v>0</v>
      </c>
      <c r="J325">
        <v>375</v>
      </c>
      <c r="K325" t="s">
        <v>56</v>
      </c>
      <c r="L325" t="s">
        <v>20</v>
      </c>
    </row>
    <row r="326" spans="1:12" x14ac:dyDescent="0.25">
      <c r="A326">
        <v>100597</v>
      </c>
      <c r="B326" t="s">
        <v>307</v>
      </c>
      <c r="C326" t="s">
        <v>58</v>
      </c>
      <c r="D326" t="s">
        <v>665</v>
      </c>
      <c r="E326" t="s">
        <v>2835</v>
      </c>
      <c r="F326" t="s">
        <v>2648</v>
      </c>
      <c r="G326" t="s">
        <v>2600</v>
      </c>
      <c r="H326" t="s">
        <v>2644</v>
      </c>
      <c r="I326">
        <v>0</v>
      </c>
      <c r="J326">
        <v>616</v>
      </c>
      <c r="K326" t="s">
        <v>19</v>
      </c>
      <c r="L326" t="s">
        <v>2588</v>
      </c>
    </row>
    <row r="327" spans="1:12" x14ac:dyDescent="0.25">
      <c r="A327">
        <v>102188</v>
      </c>
      <c r="B327" t="s">
        <v>145</v>
      </c>
      <c r="C327" t="s">
        <v>52</v>
      </c>
      <c r="D327" t="s">
        <v>666</v>
      </c>
      <c r="E327" t="s">
        <v>2836</v>
      </c>
      <c r="F327" t="s">
        <v>64</v>
      </c>
      <c r="G327" t="s">
        <v>2611</v>
      </c>
      <c r="H327" t="s">
        <v>2620</v>
      </c>
      <c r="I327">
        <v>0</v>
      </c>
      <c r="J327">
        <v>435</v>
      </c>
      <c r="K327" t="s">
        <v>45</v>
      </c>
    </row>
    <row r="328" spans="1:12" x14ac:dyDescent="0.25">
      <c r="A328">
        <v>102037</v>
      </c>
      <c r="B328" t="s">
        <v>667</v>
      </c>
      <c r="C328" t="s">
        <v>122</v>
      </c>
      <c r="D328" t="s">
        <v>668</v>
      </c>
      <c r="E328" t="s">
        <v>669</v>
      </c>
      <c r="F328" t="s">
        <v>2593</v>
      </c>
      <c r="G328" t="s">
        <v>2625</v>
      </c>
      <c r="H328" t="s">
        <v>42</v>
      </c>
      <c r="I328">
        <v>106</v>
      </c>
      <c r="J328">
        <v>896</v>
      </c>
      <c r="K328" t="s">
        <v>56</v>
      </c>
      <c r="L328" t="s">
        <v>2588</v>
      </c>
    </row>
    <row r="329" spans="1:12" x14ac:dyDescent="0.25">
      <c r="A329">
        <v>101983</v>
      </c>
      <c r="B329" t="s">
        <v>238</v>
      </c>
      <c r="C329" t="s">
        <v>47</v>
      </c>
      <c r="D329" t="s">
        <v>670</v>
      </c>
      <c r="E329" t="s">
        <v>2837</v>
      </c>
      <c r="F329" t="s">
        <v>2590</v>
      </c>
      <c r="G329" t="s">
        <v>2607</v>
      </c>
      <c r="H329" t="s">
        <v>2644</v>
      </c>
      <c r="I329">
        <v>0</v>
      </c>
      <c r="J329">
        <v>497</v>
      </c>
      <c r="K329" t="s">
        <v>56</v>
      </c>
      <c r="L329" t="s">
        <v>2582</v>
      </c>
    </row>
    <row r="330" spans="1:12" x14ac:dyDescent="0.25">
      <c r="A330">
        <v>100984</v>
      </c>
      <c r="B330" t="s">
        <v>671</v>
      </c>
      <c r="C330" t="s">
        <v>122</v>
      </c>
      <c r="D330" t="s">
        <v>672</v>
      </c>
      <c r="E330" t="s">
        <v>2838</v>
      </c>
      <c r="F330" t="s">
        <v>2648</v>
      </c>
      <c r="G330" t="s">
        <v>2617</v>
      </c>
      <c r="H330" t="s">
        <v>2587</v>
      </c>
      <c r="I330">
        <v>0</v>
      </c>
      <c r="J330">
        <v>302</v>
      </c>
      <c r="K330" t="s">
        <v>56</v>
      </c>
      <c r="L330" t="s">
        <v>20</v>
      </c>
    </row>
    <row r="331" spans="1:12" x14ac:dyDescent="0.25">
      <c r="A331">
        <v>100883</v>
      </c>
      <c r="B331" t="s">
        <v>489</v>
      </c>
      <c r="D331" t="s">
        <v>673</v>
      </c>
      <c r="E331" t="s">
        <v>674</v>
      </c>
      <c r="F331" t="s">
        <v>2613</v>
      </c>
      <c r="G331" t="s">
        <v>55</v>
      </c>
      <c r="H331" t="s">
        <v>2620</v>
      </c>
      <c r="I331">
        <v>0</v>
      </c>
      <c r="J331">
        <v>843</v>
      </c>
      <c r="K331" t="s">
        <v>45</v>
      </c>
      <c r="L331" t="s">
        <v>2588</v>
      </c>
    </row>
    <row r="332" spans="1:12" x14ac:dyDescent="0.25">
      <c r="A332">
        <v>100847</v>
      </c>
      <c r="B332" t="s">
        <v>129</v>
      </c>
      <c r="C332" t="s">
        <v>2786</v>
      </c>
      <c r="D332" t="s">
        <v>675</v>
      </c>
      <c r="E332" t="s">
        <v>676</v>
      </c>
      <c r="F332" t="s">
        <v>64</v>
      </c>
      <c r="G332" t="s">
        <v>2599</v>
      </c>
      <c r="H332" t="s">
        <v>83</v>
      </c>
      <c r="I332">
        <v>0</v>
      </c>
      <c r="J332">
        <v>336</v>
      </c>
      <c r="K332" t="s">
        <v>19</v>
      </c>
      <c r="L332" t="s">
        <v>20</v>
      </c>
    </row>
    <row r="333" spans="1:12" x14ac:dyDescent="0.25">
      <c r="A333">
        <v>101711</v>
      </c>
      <c r="B333" t="s">
        <v>102</v>
      </c>
      <c r="C333" t="s">
        <v>103</v>
      </c>
      <c r="D333" t="s">
        <v>677</v>
      </c>
      <c r="E333" t="s">
        <v>2839</v>
      </c>
      <c r="F333" t="s">
        <v>2583</v>
      </c>
      <c r="G333" t="s">
        <v>81</v>
      </c>
      <c r="H333" t="s">
        <v>2587</v>
      </c>
      <c r="I333">
        <v>0</v>
      </c>
      <c r="J333">
        <v>733</v>
      </c>
      <c r="K333" t="s">
        <v>37</v>
      </c>
      <c r="L333" t="s">
        <v>2588</v>
      </c>
    </row>
    <row r="334" spans="1:12" x14ac:dyDescent="0.25">
      <c r="A334">
        <v>100437</v>
      </c>
      <c r="B334" t="s">
        <v>678</v>
      </c>
      <c r="C334" t="s">
        <v>270</v>
      </c>
      <c r="D334" t="s">
        <v>679</v>
      </c>
      <c r="F334" t="s">
        <v>2593</v>
      </c>
      <c r="G334" t="s">
        <v>2609</v>
      </c>
      <c r="H334" t="s">
        <v>2597</v>
      </c>
      <c r="I334">
        <v>21</v>
      </c>
      <c r="J334">
        <v>883</v>
      </c>
      <c r="K334" t="s">
        <v>56</v>
      </c>
      <c r="L334" t="s">
        <v>26</v>
      </c>
    </row>
    <row r="335" spans="1:12" x14ac:dyDescent="0.25">
      <c r="A335">
        <v>101087</v>
      </c>
      <c r="B335" t="s">
        <v>438</v>
      </c>
      <c r="C335" t="s">
        <v>95</v>
      </c>
      <c r="D335" t="s">
        <v>680</v>
      </c>
      <c r="E335" t="s">
        <v>681</v>
      </c>
      <c r="F335" t="s">
        <v>2640</v>
      </c>
      <c r="G335" t="s">
        <v>2633</v>
      </c>
      <c r="H335" t="s">
        <v>42</v>
      </c>
      <c r="I335">
        <v>31</v>
      </c>
      <c r="J335">
        <v>858</v>
      </c>
      <c r="K335" t="s">
        <v>37</v>
      </c>
      <c r="L335" t="s">
        <v>20</v>
      </c>
    </row>
    <row r="336" spans="1:12" x14ac:dyDescent="0.25">
      <c r="A336">
        <v>101708</v>
      </c>
      <c r="B336" t="s">
        <v>682</v>
      </c>
      <c r="C336" t="s">
        <v>152</v>
      </c>
      <c r="D336" t="s">
        <v>683</v>
      </c>
      <c r="E336" t="s">
        <v>2840</v>
      </c>
      <c r="F336" t="s">
        <v>64</v>
      </c>
      <c r="G336" t="s">
        <v>2600</v>
      </c>
      <c r="H336" t="s">
        <v>2623</v>
      </c>
      <c r="I336">
        <v>75</v>
      </c>
      <c r="J336">
        <v>863</v>
      </c>
      <c r="K336" t="s">
        <v>32</v>
      </c>
      <c r="L336" t="s">
        <v>20</v>
      </c>
    </row>
    <row r="337" spans="1:12" x14ac:dyDescent="0.25">
      <c r="A337">
        <v>101589</v>
      </c>
      <c r="B337" t="s">
        <v>684</v>
      </c>
      <c r="C337" t="s">
        <v>149</v>
      </c>
      <c r="D337" t="s">
        <v>685</v>
      </c>
      <c r="E337" t="s">
        <v>686</v>
      </c>
      <c r="F337" t="s">
        <v>41</v>
      </c>
      <c r="G337" t="s">
        <v>2617</v>
      </c>
      <c r="H337" t="s">
        <v>18</v>
      </c>
      <c r="I337">
        <v>0</v>
      </c>
      <c r="J337">
        <v>494</v>
      </c>
      <c r="K337" t="s">
        <v>56</v>
      </c>
      <c r="L337" t="s">
        <v>26</v>
      </c>
    </row>
    <row r="338" spans="1:12" x14ac:dyDescent="0.25">
      <c r="A338">
        <v>102042</v>
      </c>
      <c r="B338" t="s">
        <v>84</v>
      </c>
      <c r="C338" t="s">
        <v>85</v>
      </c>
      <c r="D338" t="s">
        <v>687</v>
      </c>
      <c r="E338" t="s">
        <v>2841</v>
      </c>
      <c r="F338" t="s">
        <v>2641</v>
      </c>
      <c r="G338" t="s">
        <v>2609</v>
      </c>
      <c r="H338" t="s">
        <v>2594</v>
      </c>
      <c r="I338">
        <v>126</v>
      </c>
      <c r="J338">
        <v>400</v>
      </c>
      <c r="K338" t="s">
        <v>56</v>
      </c>
      <c r="L338" t="s">
        <v>2582</v>
      </c>
    </row>
    <row r="339" spans="1:12" x14ac:dyDescent="0.25">
      <c r="A339">
        <v>100758</v>
      </c>
      <c r="B339" t="s">
        <v>515</v>
      </c>
      <c r="C339" t="s">
        <v>22</v>
      </c>
      <c r="D339" t="s">
        <v>688</v>
      </c>
      <c r="E339" t="s">
        <v>689</v>
      </c>
      <c r="F339" t="s">
        <v>2604</v>
      </c>
      <c r="G339" t="s">
        <v>2600</v>
      </c>
      <c r="H339" t="s">
        <v>2587</v>
      </c>
      <c r="I339">
        <v>0</v>
      </c>
      <c r="J339">
        <v>826</v>
      </c>
      <c r="K339" t="s">
        <v>37</v>
      </c>
      <c r="L339" t="s">
        <v>2582</v>
      </c>
    </row>
    <row r="340" spans="1:12" x14ac:dyDescent="0.25">
      <c r="A340">
        <v>101440</v>
      </c>
      <c r="B340" t="s">
        <v>438</v>
      </c>
      <c r="C340" t="s">
        <v>2743</v>
      </c>
      <c r="D340" t="s">
        <v>690</v>
      </c>
      <c r="E340" t="s">
        <v>691</v>
      </c>
      <c r="F340" t="s">
        <v>2613</v>
      </c>
      <c r="G340" t="s">
        <v>2599</v>
      </c>
      <c r="H340" t="s">
        <v>2630</v>
      </c>
      <c r="I340">
        <v>2</v>
      </c>
      <c r="J340">
        <v>858</v>
      </c>
      <c r="K340" t="s">
        <v>19</v>
      </c>
      <c r="L340" t="s">
        <v>26</v>
      </c>
    </row>
    <row r="341" spans="1:12" x14ac:dyDescent="0.25">
      <c r="A341">
        <v>100687</v>
      </c>
      <c r="B341" t="s">
        <v>210</v>
      </c>
      <c r="C341" t="s">
        <v>95</v>
      </c>
      <c r="D341" t="s">
        <v>692</v>
      </c>
      <c r="E341" t="s">
        <v>693</v>
      </c>
      <c r="F341" t="s">
        <v>2593</v>
      </c>
      <c r="G341" t="s">
        <v>2617</v>
      </c>
      <c r="H341" t="s">
        <v>25</v>
      </c>
      <c r="I341">
        <v>12</v>
      </c>
      <c r="J341">
        <v>369</v>
      </c>
      <c r="L341" t="s">
        <v>20</v>
      </c>
    </row>
    <row r="342" spans="1:12" x14ac:dyDescent="0.25">
      <c r="A342">
        <v>100106</v>
      </c>
      <c r="B342" t="s">
        <v>460</v>
      </c>
      <c r="C342" t="s">
        <v>95</v>
      </c>
      <c r="D342" t="s">
        <v>694</v>
      </c>
      <c r="E342" t="s">
        <v>695</v>
      </c>
      <c r="F342" t="s">
        <v>2627</v>
      </c>
      <c r="G342" t="s">
        <v>2614</v>
      </c>
      <c r="H342" t="s">
        <v>25</v>
      </c>
      <c r="I342">
        <v>17</v>
      </c>
      <c r="J342">
        <v>716</v>
      </c>
      <c r="K342" t="s">
        <v>32</v>
      </c>
      <c r="L342" t="s">
        <v>2582</v>
      </c>
    </row>
    <row r="343" spans="1:12" x14ac:dyDescent="0.25">
      <c r="A343">
        <v>100469</v>
      </c>
      <c r="B343" t="s">
        <v>303</v>
      </c>
      <c r="C343" t="s">
        <v>187</v>
      </c>
      <c r="D343" t="s">
        <v>696</v>
      </c>
      <c r="E343" t="s">
        <v>2842</v>
      </c>
      <c r="F343" t="s">
        <v>2640</v>
      </c>
      <c r="G343" t="s">
        <v>2600</v>
      </c>
      <c r="H343" t="s">
        <v>2585</v>
      </c>
      <c r="I343">
        <v>21</v>
      </c>
      <c r="J343">
        <v>800</v>
      </c>
      <c r="K343" t="s">
        <v>32</v>
      </c>
      <c r="L343" t="s">
        <v>26</v>
      </c>
    </row>
    <row r="344" spans="1:12" x14ac:dyDescent="0.25">
      <c r="A344">
        <v>100154</v>
      </c>
      <c r="B344" t="s">
        <v>215</v>
      </c>
      <c r="C344" t="s">
        <v>126</v>
      </c>
      <c r="D344" t="s">
        <v>697</v>
      </c>
      <c r="E344" t="s">
        <v>2843</v>
      </c>
      <c r="F344" t="s">
        <v>2593</v>
      </c>
      <c r="G344" t="s">
        <v>2631</v>
      </c>
      <c r="H344" t="s">
        <v>2581</v>
      </c>
      <c r="I344">
        <v>0</v>
      </c>
      <c r="J344">
        <v>395</v>
      </c>
      <c r="K344" t="s">
        <v>37</v>
      </c>
      <c r="L344" t="s">
        <v>2588</v>
      </c>
    </row>
    <row r="345" spans="1:12" x14ac:dyDescent="0.25">
      <c r="A345">
        <v>101499</v>
      </c>
      <c r="B345" t="s">
        <v>220</v>
      </c>
      <c r="C345" t="s">
        <v>152</v>
      </c>
      <c r="D345" t="s">
        <v>698</v>
      </c>
      <c r="E345" t="s">
        <v>2844</v>
      </c>
      <c r="F345" t="s">
        <v>2654</v>
      </c>
      <c r="G345" t="s">
        <v>2611</v>
      </c>
      <c r="H345" t="s">
        <v>18</v>
      </c>
      <c r="I345">
        <v>0</v>
      </c>
      <c r="J345">
        <v>710</v>
      </c>
      <c r="K345" t="s">
        <v>32</v>
      </c>
      <c r="L345" t="s">
        <v>2582</v>
      </c>
    </row>
    <row r="346" spans="1:12" x14ac:dyDescent="0.25">
      <c r="A346">
        <v>101363</v>
      </c>
      <c r="B346" t="s">
        <v>251</v>
      </c>
      <c r="C346" t="s">
        <v>72</v>
      </c>
      <c r="D346" t="s">
        <v>699</v>
      </c>
      <c r="E346" t="s">
        <v>2845</v>
      </c>
      <c r="F346" t="s">
        <v>2646</v>
      </c>
      <c r="G346" t="s">
        <v>2584</v>
      </c>
      <c r="H346" t="s">
        <v>42</v>
      </c>
      <c r="I346">
        <v>103</v>
      </c>
      <c r="J346">
        <v>673</v>
      </c>
      <c r="K346" t="s">
        <v>32</v>
      </c>
      <c r="L346" t="s">
        <v>2582</v>
      </c>
    </row>
    <row r="347" spans="1:12" x14ac:dyDescent="0.25">
      <c r="A347">
        <v>101348</v>
      </c>
      <c r="B347" t="s">
        <v>184</v>
      </c>
      <c r="C347" t="s">
        <v>62</v>
      </c>
      <c r="D347" t="s">
        <v>700</v>
      </c>
      <c r="E347" t="s">
        <v>701</v>
      </c>
      <c r="F347" t="s">
        <v>2613</v>
      </c>
      <c r="G347" t="s">
        <v>2614</v>
      </c>
      <c r="H347" t="s">
        <v>2581</v>
      </c>
      <c r="I347">
        <v>0</v>
      </c>
      <c r="J347">
        <v>571</v>
      </c>
      <c r="K347" t="s">
        <v>37</v>
      </c>
      <c r="L347" t="s">
        <v>26</v>
      </c>
    </row>
    <row r="348" spans="1:12" x14ac:dyDescent="0.25">
      <c r="A348">
        <v>101873</v>
      </c>
      <c r="B348" t="s">
        <v>217</v>
      </c>
      <c r="C348" t="s">
        <v>218</v>
      </c>
      <c r="D348" t="s">
        <v>702</v>
      </c>
      <c r="E348" t="s">
        <v>2846</v>
      </c>
      <c r="F348" t="s">
        <v>2593</v>
      </c>
      <c r="G348" t="s">
        <v>2584</v>
      </c>
      <c r="H348" t="s">
        <v>18</v>
      </c>
      <c r="I348">
        <v>0</v>
      </c>
      <c r="J348">
        <v>894</v>
      </c>
      <c r="K348" t="s">
        <v>45</v>
      </c>
      <c r="L348" t="s">
        <v>26</v>
      </c>
    </row>
    <row r="349" spans="1:12" x14ac:dyDescent="0.25">
      <c r="A349">
        <v>100254</v>
      </c>
      <c r="B349" t="s">
        <v>703</v>
      </c>
      <c r="C349" t="s">
        <v>2680</v>
      </c>
      <c r="D349" t="s">
        <v>704</v>
      </c>
      <c r="E349" t="s">
        <v>705</v>
      </c>
      <c r="F349" t="s">
        <v>41</v>
      </c>
      <c r="G349" t="s">
        <v>2682</v>
      </c>
      <c r="H349" t="s">
        <v>83</v>
      </c>
      <c r="I349">
        <v>0</v>
      </c>
      <c r="J349">
        <v>609</v>
      </c>
      <c r="K349" t="s">
        <v>56</v>
      </c>
      <c r="L349" t="s">
        <v>26</v>
      </c>
    </row>
    <row r="350" spans="1:12" x14ac:dyDescent="0.25">
      <c r="A350">
        <v>101036</v>
      </c>
      <c r="B350" t="s">
        <v>706</v>
      </c>
      <c r="C350" t="s">
        <v>72</v>
      </c>
      <c r="D350" t="s">
        <v>707</v>
      </c>
      <c r="E350" t="s">
        <v>2847</v>
      </c>
      <c r="F350" t="s">
        <v>2590</v>
      </c>
      <c r="G350" t="s">
        <v>2599</v>
      </c>
      <c r="H350" t="s">
        <v>2587</v>
      </c>
      <c r="I350">
        <v>0</v>
      </c>
      <c r="J350">
        <v>382</v>
      </c>
      <c r="K350" t="s">
        <v>37</v>
      </c>
      <c r="L350" t="s">
        <v>2588</v>
      </c>
    </row>
    <row r="352" spans="1:12" x14ac:dyDescent="0.25">
      <c r="A352">
        <v>100669</v>
      </c>
      <c r="B352" t="s">
        <v>27</v>
      </c>
      <c r="C352" t="s">
        <v>28</v>
      </c>
      <c r="D352" t="s">
        <v>380</v>
      </c>
      <c r="E352" t="s">
        <v>2848</v>
      </c>
      <c r="F352" t="s">
        <v>2654</v>
      </c>
      <c r="G352" t="s">
        <v>2625</v>
      </c>
      <c r="H352" t="s">
        <v>2585</v>
      </c>
      <c r="I352">
        <v>9</v>
      </c>
      <c r="J352">
        <v>849</v>
      </c>
      <c r="K352" t="s">
        <v>37</v>
      </c>
      <c r="L352" t="s">
        <v>26</v>
      </c>
    </row>
    <row r="353" spans="1:12" x14ac:dyDescent="0.25">
      <c r="A353">
        <v>100655</v>
      </c>
      <c r="B353" t="s">
        <v>708</v>
      </c>
      <c r="C353" t="s">
        <v>270</v>
      </c>
      <c r="D353" t="s">
        <v>383</v>
      </c>
      <c r="E353" t="s">
        <v>2849</v>
      </c>
      <c r="F353" t="s">
        <v>2608</v>
      </c>
      <c r="G353" t="s">
        <v>2682</v>
      </c>
      <c r="H353" t="s">
        <v>18</v>
      </c>
      <c r="I353">
        <v>0</v>
      </c>
      <c r="J353">
        <v>451</v>
      </c>
      <c r="K353" t="s">
        <v>45</v>
      </c>
      <c r="L353" t="s">
        <v>20</v>
      </c>
    </row>
    <row r="354" spans="1:12" x14ac:dyDescent="0.25">
      <c r="A354">
        <v>100258</v>
      </c>
      <c r="B354" t="s">
        <v>282</v>
      </c>
      <c r="C354" t="s">
        <v>152</v>
      </c>
      <c r="D354" t="s">
        <v>709</v>
      </c>
      <c r="E354" t="s">
        <v>2850</v>
      </c>
      <c r="F354" t="s">
        <v>41</v>
      </c>
      <c r="G354" t="s">
        <v>60</v>
      </c>
      <c r="H354" t="s">
        <v>2644</v>
      </c>
      <c r="I354">
        <v>0</v>
      </c>
      <c r="J354">
        <v>301</v>
      </c>
      <c r="K354" t="s">
        <v>45</v>
      </c>
      <c r="L354" t="s">
        <v>2588</v>
      </c>
    </row>
    <row r="355" spans="1:12" x14ac:dyDescent="0.25">
      <c r="A355">
        <v>100246</v>
      </c>
      <c r="B355" t="s">
        <v>170</v>
      </c>
      <c r="C355" t="s">
        <v>85</v>
      </c>
      <c r="D355" t="s">
        <v>710</v>
      </c>
      <c r="E355" t="s">
        <v>2851</v>
      </c>
      <c r="F355" t="s">
        <v>64</v>
      </c>
      <c r="G355" t="s">
        <v>2652</v>
      </c>
      <c r="H355" t="s">
        <v>2620</v>
      </c>
      <c r="I355">
        <v>0</v>
      </c>
      <c r="J355">
        <v>869</v>
      </c>
      <c r="K355" t="s">
        <v>19</v>
      </c>
      <c r="L355" t="s">
        <v>20</v>
      </c>
    </row>
    <row r="356" spans="1:12" x14ac:dyDescent="0.25">
      <c r="A356">
        <v>100767</v>
      </c>
      <c r="B356" t="s">
        <v>504</v>
      </c>
      <c r="C356" t="s">
        <v>187</v>
      </c>
      <c r="D356" t="s">
        <v>711</v>
      </c>
      <c r="E356" t="s">
        <v>2852</v>
      </c>
      <c r="F356" t="s">
        <v>2648</v>
      </c>
      <c r="G356" t="s">
        <v>2658</v>
      </c>
      <c r="H356" t="s">
        <v>2620</v>
      </c>
      <c r="I356">
        <v>0</v>
      </c>
      <c r="J356">
        <v>494</v>
      </c>
      <c r="K356" t="s">
        <v>37</v>
      </c>
      <c r="L356" t="s">
        <v>20</v>
      </c>
    </row>
    <row r="357" spans="1:12" x14ac:dyDescent="0.25">
      <c r="A357">
        <v>102043</v>
      </c>
      <c r="B357" t="s">
        <v>91</v>
      </c>
      <c r="C357" t="s">
        <v>58</v>
      </c>
      <c r="D357" t="s">
        <v>712</v>
      </c>
      <c r="E357" t="s">
        <v>2853</v>
      </c>
      <c r="F357" t="s">
        <v>2641</v>
      </c>
      <c r="G357" t="s">
        <v>2633</v>
      </c>
      <c r="H357" t="s">
        <v>2587</v>
      </c>
      <c r="I357">
        <v>0</v>
      </c>
      <c r="J357">
        <v>769</v>
      </c>
      <c r="K357" t="s">
        <v>45</v>
      </c>
      <c r="L357" t="s">
        <v>2582</v>
      </c>
    </row>
    <row r="358" spans="1:12" x14ac:dyDescent="0.25">
      <c r="A358">
        <v>101659</v>
      </c>
      <c r="B358" t="s">
        <v>294</v>
      </c>
      <c r="C358" t="s">
        <v>100</v>
      </c>
      <c r="D358" t="s">
        <v>713</v>
      </c>
      <c r="E358" t="s">
        <v>714</v>
      </c>
      <c r="F358" t="s">
        <v>64</v>
      </c>
      <c r="G358" t="s">
        <v>2614</v>
      </c>
      <c r="H358" t="s">
        <v>83</v>
      </c>
      <c r="I358">
        <v>0</v>
      </c>
      <c r="J358">
        <v>377</v>
      </c>
      <c r="K358" t="s">
        <v>37</v>
      </c>
      <c r="L358" t="s">
        <v>26</v>
      </c>
    </row>
    <row r="359" spans="1:12" x14ac:dyDescent="0.25">
      <c r="A359">
        <v>100931</v>
      </c>
      <c r="B359" t="s">
        <v>558</v>
      </c>
      <c r="C359" t="s">
        <v>218</v>
      </c>
      <c r="D359" t="s">
        <v>715</v>
      </c>
      <c r="E359" t="s">
        <v>2854</v>
      </c>
      <c r="F359" t="s">
        <v>2643</v>
      </c>
      <c r="G359" t="s">
        <v>2609</v>
      </c>
      <c r="H359" t="s">
        <v>2581</v>
      </c>
      <c r="I359">
        <v>0</v>
      </c>
      <c r="J359">
        <v>784</v>
      </c>
      <c r="K359" t="s">
        <v>32</v>
      </c>
      <c r="L359" t="s">
        <v>20</v>
      </c>
    </row>
    <row r="360" spans="1:12" x14ac:dyDescent="0.25">
      <c r="A360">
        <v>100542</v>
      </c>
      <c r="B360" t="s">
        <v>136</v>
      </c>
      <c r="C360" t="s">
        <v>58</v>
      </c>
      <c r="D360" t="s">
        <v>716</v>
      </c>
      <c r="E360" t="s">
        <v>2855</v>
      </c>
      <c r="F360" t="s">
        <v>30</v>
      </c>
      <c r="G360" t="s">
        <v>2635</v>
      </c>
      <c r="H360" t="s">
        <v>18</v>
      </c>
      <c r="I360">
        <v>0</v>
      </c>
      <c r="J360">
        <v>540</v>
      </c>
      <c r="K360" t="s">
        <v>19</v>
      </c>
      <c r="L360" t="s">
        <v>26</v>
      </c>
    </row>
    <row r="361" spans="1:12" x14ac:dyDescent="0.25">
      <c r="A361">
        <v>101319</v>
      </c>
      <c r="B361" t="s">
        <v>12</v>
      </c>
      <c r="C361" t="s">
        <v>2786</v>
      </c>
      <c r="D361" t="s">
        <v>683</v>
      </c>
      <c r="E361" t="s">
        <v>2856</v>
      </c>
      <c r="F361" t="s">
        <v>2641</v>
      </c>
      <c r="G361" t="s">
        <v>2609</v>
      </c>
      <c r="H361" t="s">
        <v>18</v>
      </c>
      <c r="I361">
        <v>0</v>
      </c>
      <c r="J361">
        <v>753</v>
      </c>
      <c r="K361" t="s">
        <v>32</v>
      </c>
      <c r="L361" t="s">
        <v>26</v>
      </c>
    </row>
    <row r="362" spans="1:12" x14ac:dyDescent="0.25">
      <c r="A362">
        <v>101969</v>
      </c>
      <c r="B362" t="s">
        <v>657</v>
      </c>
      <c r="C362" t="s">
        <v>52</v>
      </c>
      <c r="D362" t="s">
        <v>717</v>
      </c>
      <c r="E362" t="s">
        <v>718</v>
      </c>
      <c r="F362" t="s">
        <v>2613</v>
      </c>
      <c r="G362" t="s">
        <v>2602</v>
      </c>
      <c r="H362" t="s">
        <v>2630</v>
      </c>
      <c r="I362">
        <v>25</v>
      </c>
      <c r="J362">
        <v>518</v>
      </c>
      <c r="K362" t="s">
        <v>45</v>
      </c>
      <c r="L362" t="s">
        <v>26</v>
      </c>
    </row>
    <row r="363" spans="1:12" x14ac:dyDescent="0.25">
      <c r="A363">
        <v>101422</v>
      </c>
      <c r="B363" t="s">
        <v>719</v>
      </c>
      <c r="C363" t="s">
        <v>22</v>
      </c>
      <c r="D363" t="s">
        <v>698</v>
      </c>
      <c r="E363" t="s">
        <v>2857</v>
      </c>
      <c r="F363" t="s">
        <v>50</v>
      </c>
      <c r="G363" t="s">
        <v>2596</v>
      </c>
      <c r="H363" t="s">
        <v>2623</v>
      </c>
      <c r="I363">
        <v>34</v>
      </c>
      <c r="J363">
        <v>461</v>
      </c>
      <c r="K363" t="s">
        <v>19</v>
      </c>
      <c r="L363" t="s">
        <v>26</v>
      </c>
    </row>
    <row r="364" spans="1:12" x14ac:dyDescent="0.25">
      <c r="A364">
        <v>100874</v>
      </c>
      <c r="B364" t="s">
        <v>34</v>
      </c>
      <c r="C364" t="s">
        <v>13</v>
      </c>
      <c r="D364" t="s">
        <v>720</v>
      </c>
      <c r="E364" t="s">
        <v>2858</v>
      </c>
      <c r="F364" t="s">
        <v>2627</v>
      </c>
      <c r="G364" t="s">
        <v>2607</v>
      </c>
      <c r="H364" t="s">
        <v>25</v>
      </c>
      <c r="I364">
        <v>28</v>
      </c>
      <c r="J364">
        <v>672</v>
      </c>
      <c r="K364" t="s">
        <v>19</v>
      </c>
      <c r="L364" t="s">
        <v>2588</v>
      </c>
    </row>
    <row r="365" spans="1:12" x14ac:dyDescent="0.25">
      <c r="A365">
        <v>100017</v>
      </c>
      <c r="B365" t="s">
        <v>68</v>
      </c>
      <c r="C365" t="s">
        <v>52</v>
      </c>
      <c r="E365" t="s">
        <v>721</v>
      </c>
      <c r="F365" t="s">
        <v>2579</v>
      </c>
      <c r="G365" t="s">
        <v>31</v>
      </c>
      <c r="H365" t="s">
        <v>2587</v>
      </c>
      <c r="I365">
        <v>0</v>
      </c>
      <c r="J365">
        <v>309</v>
      </c>
      <c r="K365" t="s">
        <v>45</v>
      </c>
      <c r="L365" t="s">
        <v>26</v>
      </c>
    </row>
    <row r="366" spans="1:12" x14ac:dyDescent="0.25">
      <c r="A366">
        <v>102129</v>
      </c>
      <c r="B366" t="s">
        <v>299</v>
      </c>
      <c r="C366" t="s">
        <v>2686</v>
      </c>
      <c r="D366" t="s">
        <v>722</v>
      </c>
      <c r="E366" t="s">
        <v>723</v>
      </c>
      <c r="F366" t="s">
        <v>30</v>
      </c>
      <c r="G366" t="s">
        <v>2580</v>
      </c>
      <c r="H366" t="s">
        <v>83</v>
      </c>
      <c r="I366">
        <v>0</v>
      </c>
      <c r="J366">
        <v>855</v>
      </c>
      <c r="K366" t="s">
        <v>19</v>
      </c>
      <c r="L366" t="s">
        <v>2582</v>
      </c>
    </row>
    <row r="367" spans="1:12" x14ac:dyDescent="0.25">
      <c r="A367">
        <v>101418</v>
      </c>
      <c r="B367" t="s">
        <v>241</v>
      </c>
      <c r="C367" t="s">
        <v>58</v>
      </c>
      <c r="D367" t="s">
        <v>724</v>
      </c>
      <c r="E367" t="s">
        <v>2859</v>
      </c>
      <c r="F367" t="s">
        <v>50</v>
      </c>
      <c r="G367" t="s">
        <v>2631</v>
      </c>
      <c r="H367" t="s">
        <v>18</v>
      </c>
      <c r="I367">
        <v>0</v>
      </c>
      <c r="J367">
        <v>468</v>
      </c>
      <c r="K367" t="s">
        <v>32</v>
      </c>
      <c r="L367" t="s">
        <v>26</v>
      </c>
    </row>
    <row r="368" spans="1:12" x14ac:dyDescent="0.25">
      <c r="A368">
        <v>100147</v>
      </c>
      <c r="B368" t="s">
        <v>113</v>
      </c>
      <c r="C368" t="s">
        <v>95</v>
      </c>
      <c r="D368" t="s">
        <v>725</v>
      </c>
      <c r="E368" t="s">
        <v>726</v>
      </c>
      <c r="F368" t="s">
        <v>30</v>
      </c>
      <c r="G368" t="s">
        <v>2584</v>
      </c>
      <c r="H368" t="s">
        <v>83</v>
      </c>
      <c r="I368">
        <v>0</v>
      </c>
      <c r="J368">
        <v>657</v>
      </c>
      <c r="K368" t="s">
        <v>37</v>
      </c>
      <c r="L368" t="s">
        <v>2588</v>
      </c>
    </row>
    <row r="369" spans="1:12" x14ac:dyDescent="0.25">
      <c r="A369">
        <v>101843</v>
      </c>
      <c r="B369" t="s">
        <v>497</v>
      </c>
      <c r="C369" t="s">
        <v>142</v>
      </c>
      <c r="D369" t="s">
        <v>727</v>
      </c>
      <c r="E369" t="s">
        <v>2860</v>
      </c>
      <c r="F369" t="s">
        <v>41</v>
      </c>
      <c r="G369" t="s">
        <v>2625</v>
      </c>
      <c r="H369" t="s">
        <v>2594</v>
      </c>
      <c r="I369">
        <v>107</v>
      </c>
      <c r="J369">
        <v>465</v>
      </c>
      <c r="K369" t="s">
        <v>37</v>
      </c>
      <c r="L369" t="s">
        <v>26</v>
      </c>
    </row>
    <row r="370" spans="1:12" x14ac:dyDescent="0.25">
      <c r="A370">
        <v>100504</v>
      </c>
      <c r="B370" t="s">
        <v>728</v>
      </c>
      <c r="C370" t="s">
        <v>85</v>
      </c>
      <c r="D370" t="s">
        <v>729</v>
      </c>
      <c r="E370" t="s">
        <v>730</v>
      </c>
      <c r="F370" t="s">
        <v>2646</v>
      </c>
      <c r="G370" t="s">
        <v>2635</v>
      </c>
      <c r="H370" t="s">
        <v>83</v>
      </c>
      <c r="I370">
        <v>0</v>
      </c>
      <c r="J370">
        <v>653</v>
      </c>
      <c r="K370" t="s">
        <v>19</v>
      </c>
      <c r="L370" t="s">
        <v>2588</v>
      </c>
    </row>
    <row r="371" spans="1:12" x14ac:dyDescent="0.25">
      <c r="A371">
        <v>101314</v>
      </c>
      <c r="B371" t="s">
        <v>376</v>
      </c>
      <c r="C371" t="s">
        <v>22</v>
      </c>
      <c r="D371" t="s">
        <v>731</v>
      </c>
      <c r="E371" t="s">
        <v>2861</v>
      </c>
      <c r="F371" t="s">
        <v>2648</v>
      </c>
      <c r="G371" t="s">
        <v>2633</v>
      </c>
      <c r="H371" t="s">
        <v>2581</v>
      </c>
      <c r="I371">
        <v>0</v>
      </c>
      <c r="J371">
        <v>340</v>
      </c>
      <c r="K371" t="s">
        <v>37</v>
      </c>
      <c r="L371" t="s">
        <v>2588</v>
      </c>
    </row>
    <row r="372" spans="1:12" x14ac:dyDescent="0.25">
      <c r="A372">
        <v>100954</v>
      </c>
      <c r="B372" t="s">
        <v>71</v>
      </c>
      <c r="C372" t="s">
        <v>72</v>
      </c>
      <c r="D372" t="s">
        <v>732</v>
      </c>
      <c r="E372" t="s">
        <v>2862</v>
      </c>
      <c r="F372" t="s">
        <v>2643</v>
      </c>
      <c r="G372" t="s">
        <v>2658</v>
      </c>
      <c r="H372" t="s">
        <v>2644</v>
      </c>
      <c r="I372">
        <v>0</v>
      </c>
      <c r="J372">
        <v>841</v>
      </c>
      <c r="K372" t="s">
        <v>37</v>
      </c>
      <c r="L372" t="s">
        <v>2588</v>
      </c>
    </row>
    <row r="373" spans="1:12" x14ac:dyDescent="0.25">
      <c r="A373">
        <v>101916</v>
      </c>
      <c r="B373" t="s">
        <v>462</v>
      </c>
      <c r="C373" t="s">
        <v>168</v>
      </c>
      <c r="D373" t="s">
        <v>733</v>
      </c>
      <c r="E373" t="s">
        <v>2863</v>
      </c>
      <c r="F373" t="s">
        <v>2627</v>
      </c>
      <c r="G373" t="s">
        <v>55</v>
      </c>
      <c r="H373" t="s">
        <v>18</v>
      </c>
      <c r="I373">
        <v>0</v>
      </c>
      <c r="J373">
        <v>716</v>
      </c>
      <c r="L373" t="s">
        <v>20</v>
      </c>
    </row>
    <row r="374" spans="1:12" x14ac:dyDescent="0.25">
      <c r="A374">
        <v>100641</v>
      </c>
      <c r="B374" t="s">
        <v>734</v>
      </c>
      <c r="C374" t="s">
        <v>218</v>
      </c>
      <c r="D374" t="s">
        <v>735</v>
      </c>
      <c r="E374" t="s">
        <v>736</v>
      </c>
      <c r="F374" t="s">
        <v>2583</v>
      </c>
      <c r="G374" t="s">
        <v>2625</v>
      </c>
      <c r="H374" t="s">
        <v>2594</v>
      </c>
      <c r="I374">
        <v>155</v>
      </c>
      <c r="J374">
        <v>865</v>
      </c>
      <c r="K374" t="s">
        <v>32</v>
      </c>
      <c r="L374" t="s">
        <v>2582</v>
      </c>
    </row>
    <row r="375" spans="1:12" x14ac:dyDescent="0.25">
      <c r="A375">
        <v>101247</v>
      </c>
      <c r="B375" t="s">
        <v>276</v>
      </c>
      <c r="C375" t="s">
        <v>52</v>
      </c>
      <c r="D375" t="s">
        <v>737</v>
      </c>
      <c r="E375" t="s">
        <v>2864</v>
      </c>
      <c r="F375" t="s">
        <v>2590</v>
      </c>
      <c r="G375" t="s">
        <v>2591</v>
      </c>
      <c r="H375" t="s">
        <v>2644</v>
      </c>
      <c r="I375">
        <v>0</v>
      </c>
      <c r="J375">
        <v>638</v>
      </c>
      <c r="K375" t="s">
        <v>19</v>
      </c>
      <c r="L375" t="s">
        <v>26</v>
      </c>
    </row>
    <row r="376" spans="1:12" x14ac:dyDescent="0.25">
      <c r="A376">
        <v>100021</v>
      </c>
      <c r="B376" t="s">
        <v>738</v>
      </c>
      <c r="C376" t="s">
        <v>100</v>
      </c>
      <c r="D376" t="s">
        <v>739</v>
      </c>
      <c r="E376" t="s">
        <v>2865</v>
      </c>
      <c r="F376" t="s">
        <v>2590</v>
      </c>
      <c r="G376" t="s">
        <v>2652</v>
      </c>
      <c r="H376" t="s">
        <v>2644</v>
      </c>
      <c r="I376">
        <v>0</v>
      </c>
      <c r="J376">
        <v>585</v>
      </c>
      <c r="K376" t="s">
        <v>45</v>
      </c>
      <c r="L376" t="s">
        <v>20</v>
      </c>
    </row>
    <row r="377" spans="1:12" x14ac:dyDescent="0.25">
      <c r="A377">
        <v>102193</v>
      </c>
      <c r="B377" t="s">
        <v>212</v>
      </c>
      <c r="C377" t="s">
        <v>95</v>
      </c>
      <c r="D377" t="s">
        <v>740</v>
      </c>
      <c r="E377" t="s">
        <v>2866</v>
      </c>
      <c r="F377" t="s">
        <v>50</v>
      </c>
      <c r="G377" t="s">
        <v>2607</v>
      </c>
      <c r="H377" t="s">
        <v>2587</v>
      </c>
      <c r="I377">
        <v>0</v>
      </c>
      <c r="J377">
        <v>662</v>
      </c>
      <c r="K377" t="s">
        <v>37</v>
      </c>
      <c r="L377" t="s">
        <v>26</v>
      </c>
    </row>
    <row r="378" spans="1:12" x14ac:dyDescent="0.25">
      <c r="A378">
        <v>100750</v>
      </c>
      <c r="B378" t="s">
        <v>728</v>
      </c>
      <c r="C378" t="s">
        <v>85</v>
      </c>
      <c r="D378" t="s">
        <v>330</v>
      </c>
      <c r="E378" t="s">
        <v>741</v>
      </c>
      <c r="F378" t="s">
        <v>2629</v>
      </c>
      <c r="G378" t="s">
        <v>2635</v>
      </c>
      <c r="H378" t="s">
        <v>18</v>
      </c>
      <c r="I378">
        <v>0</v>
      </c>
      <c r="J378">
        <v>653</v>
      </c>
      <c r="K378" t="s">
        <v>45</v>
      </c>
      <c r="L378" t="s">
        <v>20</v>
      </c>
    </row>
    <row r="379" spans="1:12" x14ac:dyDescent="0.25">
      <c r="A379">
        <v>101641</v>
      </c>
      <c r="B379" t="s">
        <v>220</v>
      </c>
      <c r="C379" t="s">
        <v>152</v>
      </c>
      <c r="D379" t="s">
        <v>273</v>
      </c>
      <c r="E379" t="s">
        <v>2867</v>
      </c>
      <c r="F379" t="s">
        <v>2627</v>
      </c>
      <c r="G379" t="s">
        <v>2599</v>
      </c>
      <c r="H379" t="s">
        <v>42</v>
      </c>
      <c r="I379">
        <v>140</v>
      </c>
      <c r="J379">
        <v>710</v>
      </c>
      <c r="K379" t="s">
        <v>45</v>
      </c>
      <c r="L379" t="s">
        <v>2582</v>
      </c>
    </row>
    <row r="380" spans="1:12" x14ac:dyDescent="0.25">
      <c r="A380">
        <v>100007</v>
      </c>
      <c r="B380" t="s">
        <v>742</v>
      </c>
      <c r="C380" t="s">
        <v>100</v>
      </c>
      <c r="D380" t="s">
        <v>743</v>
      </c>
      <c r="E380" t="s">
        <v>2868</v>
      </c>
      <c r="F380" t="s">
        <v>2640</v>
      </c>
      <c r="G380" t="s">
        <v>81</v>
      </c>
      <c r="H380" t="s">
        <v>2581</v>
      </c>
      <c r="I380">
        <v>0</v>
      </c>
      <c r="J380">
        <v>571</v>
      </c>
      <c r="K380" t="s">
        <v>56</v>
      </c>
      <c r="L380" t="s">
        <v>2582</v>
      </c>
    </row>
    <row r="381" spans="1:12" x14ac:dyDescent="0.25">
      <c r="A381">
        <v>100274</v>
      </c>
      <c r="B381" t="s">
        <v>585</v>
      </c>
      <c r="C381" t="s">
        <v>270</v>
      </c>
      <c r="D381" t="s">
        <v>744</v>
      </c>
      <c r="E381" t="s">
        <v>745</v>
      </c>
      <c r="F381" t="s">
        <v>30</v>
      </c>
      <c r="G381" t="s">
        <v>2584</v>
      </c>
      <c r="H381" t="s">
        <v>18</v>
      </c>
      <c r="I381">
        <v>0</v>
      </c>
      <c r="J381">
        <v>814</v>
      </c>
      <c r="K381" t="s">
        <v>37</v>
      </c>
      <c r="L381" t="s">
        <v>2588</v>
      </c>
    </row>
    <row r="382" spans="1:12" x14ac:dyDescent="0.25">
      <c r="A382">
        <v>101380</v>
      </c>
      <c r="B382" t="s">
        <v>360</v>
      </c>
      <c r="C382" t="s">
        <v>149</v>
      </c>
      <c r="D382" t="s">
        <v>746</v>
      </c>
      <c r="E382" t="s">
        <v>747</v>
      </c>
      <c r="F382" t="s">
        <v>2646</v>
      </c>
      <c r="G382" t="s">
        <v>2652</v>
      </c>
      <c r="H382" t="s">
        <v>2587</v>
      </c>
      <c r="I382">
        <v>0</v>
      </c>
      <c r="J382">
        <v>621</v>
      </c>
      <c r="K382" t="s">
        <v>56</v>
      </c>
      <c r="L382" t="s">
        <v>26</v>
      </c>
    </row>
    <row r="383" spans="1:12" x14ac:dyDescent="0.25">
      <c r="A383">
        <v>100857</v>
      </c>
      <c r="B383" t="s">
        <v>515</v>
      </c>
      <c r="C383" t="s">
        <v>22</v>
      </c>
      <c r="D383" t="s">
        <v>748</v>
      </c>
      <c r="E383" t="s">
        <v>749</v>
      </c>
      <c r="F383" t="s">
        <v>2641</v>
      </c>
      <c r="G383" t="s">
        <v>2591</v>
      </c>
      <c r="H383" t="s">
        <v>2581</v>
      </c>
      <c r="I383">
        <v>0</v>
      </c>
      <c r="J383">
        <v>826</v>
      </c>
      <c r="K383" t="s">
        <v>45</v>
      </c>
      <c r="L383" t="s">
        <v>2588</v>
      </c>
    </row>
    <row r="384" spans="1:12" x14ac:dyDescent="0.25">
      <c r="A384">
        <v>100672</v>
      </c>
      <c r="B384" t="s">
        <v>750</v>
      </c>
      <c r="C384" t="s">
        <v>52</v>
      </c>
      <c r="D384" t="s">
        <v>690</v>
      </c>
      <c r="E384" t="s">
        <v>2869</v>
      </c>
      <c r="F384" t="s">
        <v>41</v>
      </c>
      <c r="G384" t="s">
        <v>2614</v>
      </c>
      <c r="H384" t="s">
        <v>2594</v>
      </c>
      <c r="I384">
        <v>94</v>
      </c>
      <c r="J384">
        <v>856</v>
      </c>
      <c r="K384" t="s">
        <v>37</v>
      </c>
      <c r="L384" t="s">
        <v>2588</v>
      </c>
    </row>
    <row r="385" spans="1:12" x14ac:dyDescent="0.25">
      <c r="A385">
        <v>100260</v>
      </c>
      <c r="B385" t="s">
        <v>87</v>
      </c>
      <c r="C385" t="s">
        <v>47</v>
      </c>
      <c r="D385" t="s">
        <v>751</v>
      </c>
      <c r="E385" t="s">
        <v>2870</v>
      </c>
      <c r="F385" t="s">
        <v>2629</v>
      </c>
      <c r="G385" t="s">
        <v>2633</v>
      </c>
      <c r="H385" t="s">
        <v>25</v>
      </c>
      <c r="I385">
        <v>25</v>
      </c>
      <c r="J385">
        <v>892</v>
      </c>
      <c r="K385" t="s">
        <v>19</v>
      </c>
      <c r="L385" t="s">
        <v>2582</v>
      </c>
    </row>
    <row r="386" spans="1:12" x14ac:dyDescent="0.25">
      <c r="A386">
        <v>100954</v>
      </c>
      <c r="B386" t="s">
        <v>71</v>
      </c>
      <c r="C386" t="s">
        <v>72</v>
      </c>
      <c r="D386" t="s">
        <v>732</v>
      </c>
      <c r="E386" t="s">
        <v>2862</v>
      </c>
      <c r="F386" t="s">
        <v>2643</v>
      </c>
      <c r="G386" t="s">
        <v>2658</v>
      </c>
      <c r="H386" t="s">
        <v>2644</v>
      </c>
      <c r="I386">
        <v>0</v>
      </c>
      <c r="J386">
        <v>841</v>
      </c>
      <c r="K386" t="s">
        <v>37</v>
      </c>
      <c r="L386" t="s">
        <v>2588</v>
      </c>
    </row>
    <row r="387" spans="1:12" x14ac:dyDescent="0.25">
      <c r="A387">
        <v>101640</v>
      </c>
      <c r="B387" t="s">
        <v>303</v>
      </c>
      <c r="C387" t="s">
        <v>187</v>
      </c>
      <c r="D387" t="s">
        <v>752</v>
      </c>
      <c r="E387" t="s">
        <v>2871</v>
      </c>
      <c r="F387" t="s">
        <v>41</v>
      </c>
      <c r="G387" t="s">
        <v>2607</v>
      </c>
      <c r="H387" t="s">
        <v>2587</v>
      </c>
      <c r="I387">
        <v>0</v>
      </c>
      <c r="J387">
        <v>800</v>
      </c>
      <c r="K387" t="s">
        <v>19</v>
      </c>
      <c r="L387" t="s">
        <v>2582</v>
      </c>
    </row>
    <row r="388" spans="1:12" x14ac:dyDescent="0.25">
      <c r="A388">
        <v>100232</v>
      </c>
      <c r="B388" t="s">
        <v>601</v>
      </c>
      <c r="C388" t="s">
        <v>100</v>
      </c>
      <c r="D388" t="s">
        <v>135</v>
      </c>
      <c r="E388" t="s">
        <v>2872</v>
      </c>
      <c r="F388" t="s">
        <v>2593</v>
      </c>
      <c r="G388" t="s">
        <v>2614</v>
      </c>
      <c r="H388" t="s">
        <v>2587</v>
      </c>
      <c r="I388">
        <v>0</v>
      </c>
      <c r="J388">
        <v>849</v>
      </c>
      <c r="K388" t="s">
        <v>32</v>
      </c>
      <c r="L388" t="s">
        <v>26</v>
      </c>
    </row>
    <row r="389" spans="1:12" x14ac:dyDescent="0.25">
      <c r="A389">
        <v>102176</v>
      </c>
      <c r="B389" t="s">
        <v>429</v>
      </c>
      <c r="C389" t="s">
        <v>52</v>
      </c>
      <c r="D389" t="s">
        <v>753</v>
      </c>
      <c r="E389" t="s">
        <v>754</v>
      </c>
      <c r="F389" t="s">
        <v>2593</v>
      </c>
      <c r="H389" t="s">
        <v>18</v>
      </c>
      <c r="I389">
        <v>0</v>
      </c>
      <c r="J389">
        <v>568</v>
      </c>
      <c r="K389" t="s">
        <v>45</v>
      </c>
      <c r="L389" t="s">
        <v>26</v>
      </c>
    </row>
    <row r="390" spans="1:12" x14ac:dyDescent="0.25">
      <c r="A390">
        <v>100963</v>
      </c>
      <c r="B390" t="s">
        <v>75</v>
      </c>
      <c r="C390" t="s">
        <v>39</v>
      </c>
      <c r="D390" t="s">
        <v>421</v>
      </c>
      <c r="E390" t="s">
        <v>2873</v>
      </c>
      <c r="F390" t="s">
        <v>2608</v>
      </c>
      <c r="G390" t="s">
        <v>31</v>
      </c>
      <c r="H390" t="s">
        <v>83</v>
      </c>
      <c r="I390">
        <v>0</v>
      </c>
      <c r="J390">
        <v>554</v>
      </c>
      <c r="K390" t="s">
        <v>45</v>
      </c>
      <c r="L390" t="s">
        <v>26</v>
      </c>
    </row>
    <row r="391" spans="1:12" x14ac:dyDescent="0.25">
      <c r="A391">
        <v>101901</v>
      </c>
      <c r="B391" t="s">
        <v>581</v>
      </c>
      <c r="C391" t="s">
        <v>2667</v>
      </c>
      <c r="D391" t="s">
        <v>755</v>
      </c>
      <c r="E391" t="s">
        <v>2874</v>
      </c>
      <c r="F391" t="s">
        <v>2627</v>
      </c>
      <c r="G391" t="s">
        <v>2614</v>
      </c>
      <c r="H391" t="s">
        <v>2618</v>
      </c>
      <c r="I391">
        <v>0</v>
      </c>
      <c r="J391">
        <v>435</v>
      </c>
      <c r="K391" t="s">
        <v>45</v>
      </c>
      <c r="L391" t="s">
        <v>20</v>
      </c>
    </row>
    <row r="392" spans="1:12" x14ac:dyDescent="0.25">
      <c r="A392">
        <v>101939</v>
      </c>
      <c r="B392" t="s">
        <v>255</v>
      </c>
      <c r="C392" t="s">
        <v>2680</v>
      </c>
      <c r="D392" t="s">
        <v>756</v>
      </c>
      <c r="E392" t="s">
        <v>2875</v>
      </c>
      <c r="F392" t="s">
        <v>2627</v>
      </c>
      <c r="G392" t="s">
        <v>2611</v>
      </c>
      <c r="H392" t="s">
        <v>2620</v>
      </c>
      <c r="I392">
        <v>0</v>
      </c>
      <c r="J392">
        <v>639</v>
      </c>
      <c r="K392" t="s">
        <v>45</v>
      </c>
      <c r="L392" t="s">
        <v>20</v>
      </c>
    </row>
    <row r="393" spans="1:12" x14ac:dyDescent="0.25">
      <c r="A393">
        <v>100539</v>
      </c>
      <c r="B393" t="s">
        <v>280</v>
      </c>
      <c r="C393" t="s">
        <v>187</v>
      </c>
      <c r="D393" t="s">
        <v>757</v>
      </c>
      <c r="E393" t="s">
        <v>758</v>
      </c>
      <c r="F393" t="s">
        <v>2613</v>
      </c>
      <c r="G393" t="s">
        <v>2580</v>
      </c>
      <c r="H393" t="s">
        <v>2587</v>
      </c>
      <c r="I393">
        <v>0</v>
      </c>
      <c r="J393">
        <v>621</v>
      </c>
      <c r="K393" t="s">
        <v>19</v>
      </c>
      <c r="L393" t="s">
        <v>2582</v>
      </c>
    </row>
    <row r="394" spans="1:12" x14ac:dyDescent="0.25">
      <c r="A394">
        <v>100671</v>
      </c>
      <c r="B394" t="s">
        <v>340</v>
      </c>
      <c r="C394" t="s">
        <v>100</v>
      </c>
      <c r="D394" t="s">
        <v>759</v>
      </c>
      <c r="E394" t="s">
        <v>760</v>
      </c>
      <c r="F394" t="s">
        <v>2598</v>
      </c>
      <c r="G394" t="s">
        <v>2635</v>
      </c>
      <c r="H394" t="s">
        <v>2581</v>
      </c>
      <c r="I394">
        <v>0</v>
      </c>
      <c r="J394">
        <v>705</v>
      </c>
      <c r="K394" t="s">
        <v>32</v>
      </c>
      <c r="L394" t="s">
        <v>26</v>
      </c>
    </row>
    <row r="395" spans="1:12" x14ac:dyDescent="0.25">
      <c r="A395">
        <v>100164</v>
      </c>
      <c r="B395" t="s">
        <v>297</v>
      </c>
      <c r="C395" t="s">
        <v>72</v>
      </c>
      <c r="D395" t="s">
        <v>761</v>
      </c>
      <c r="E395" t="s">
        <v>762</v>
      </c>
      <c r="F395" t="s">
        <v>2590</v>
      </c>
      <c r="G395" t="s">
        <v>60</v>
      </c>
      <c r="H395" t="s">
        <v>2618</v>
      </c>
      <c r="J395">
        <v>878</v>
      </c>
      <c r="K395" t="s">
        <v>45</v>
      </c>
      <c r="L395" t="s">
        <v>2582</v>
      </c>
    </row>
    <row r="396" spans="1:12" x14ac:dyDescent="0.25">
      <c r="A396">
        <v>100272</v>
      </c>
      <c r="B396" t="s">
        <v>342</v>
      </c>
      <c r="C396" t="s">
        <v>110</v>
      </c>
      <c r="D396" t="s">
        <v>457</v>
      </c>
      <c r="E396" t="s">
        <v>763</v>
      </c>
      <c r="F396" t="s">
        <v>2616</v>
      </c>
      <c r="G396" t="s">
        <v>31</v>
      </c>
      <c r="H396" t="s">
        <v>2587</v>
      </c>
      <c r="I396">
        <v>0</v>
      </c>
      <c r="J396">
        <v>659</v>
      </c>
      <c r="K396" t="s">
        <v>19</v>
      </c>
      <c r="L396" t="s">
        <v>20</v>
      </c>
    </row>
    <row r="397" spans="1:12" x14ac:dyDescent="0.25">
      <c r="A397">
        <v>100064</v>
      </c>
      <c r="B397" t="s">
        <v>299</v>
      </c>
      <c r="C397" t="s">
        <v>22</v>
      </c>
      <c r="D397" t="s">
        <v>764</v>
      </c>
      <c r="E397" t="s">
        <v>2876</v>
      </c>
      <c r="F397" t="s">
        <v>2583</v>
      </c>
      <c r="G397" t="s">
        <v>2631</v>
      </c>
      <c r="H397" t="s">
        <v>2620</v>
      </c>
      <c r="I397">
        <v>0</v>
      </c>
      <c r="J397">
        <v>855</v>
      </c>
      <c r="K397" t="s">
        <v>32</v>
      </c>
      <c r="L397" t="s">
        <v>26</v>
      </c>
    </row>
    <row r="398" spans="1:12" x14ac:dyDescent="0.25">
      <c r="A398">
        <v>100797</v>
      </c>
      <c r="B398" t="s">
        <v>765</v>
      </c>
      <c r="C398" t="s">
        <v>22</v>
      </c>
      <c r="D398" t="s">
        <v>766</v>
      </c>
      <c r="E398" t="s">
        <v>2877</v>
      </c>
      <c r="F398" t="s">
        <v>2641</v>
      </c>
      <c r="G398" t="s">
        <v>2652</v>
      </c>
      <c r="H398" t="s">
        <v>2620</v>
      </c>
      <c r="I398">
        <v>0</v>
      </c>
      <c r="J398">
        <v>851</v>
      </c>
      <c r="K398" t="s">
        <v>19</v>
      </c>
      <c r="L398" t="s">
        <v>2582</v>
      </c>
    </row>
    <row r="399" spans="1:12" x14ac:dyDescent="0.25">
      <c r="A399">
        <v>101898</v>
      </c>
      <c r="B399" t="s">
        <v>767</v>
      </c>
      <c r="D399" t="s">
        <v>768</v>
      </c>
      <c r="E399" t="s">
        <v>2878</v>
      </c>
      <c r="F399" t="s">
        <v>2648</v>
      </c>
      <c r="G399" t="s">
        <v>2625</v>
      </c>
      <c r="H399" t="s">
        <v>2618</v>
      </c>
      <c r="I399">
        <v>0</v>
      </c>
      <c r="J399">
        <v>543</v>
      </c>
      <c r="K399" t="s">
        <v>32</v>
      </c>
      <c r="L399" t="s">
        <v>26</v>
      </c>
    </row>
    <row r="400" spans="1:12" x14ac:dyDescent="0.25">
      <c r="A400">
        <v>100710</v>
      </c>
      <c r="B400" t="s">
        <v>769</v>
      </c>
      <c r="C400" t="s">
        <v>72</v>
      </c>
      <c r="D400" t="s">
        <v>770</v>
      </c>
      <c r="E400" t="s">
        <v>2879</v>
      </c>
      <c r="F400" t="s">
        <v>2590</v>
      </c>
      <c r="G400" t="s">
        <v>2584</v>
      </c>
      <c r="H400" t="s">
        <v>2618</v>
      </c>
      <c r="I400">
        <v>0</v>
      </c>
      <c r="J400">
        <v>496</v>
      </c>
      <c r="K400" t="s">
        <v>37</v>
      </c>
      <c r="L400" t="s">
        <v>26</v>
      </c>
    </row>
    <row r="401" spans="1:12" x14ac:dyDescent="0.25">
      <c r="A401">
        <v>101673</v>
      </c>
      <c r="B401" t="s">
        <v>196</v>
      </c>
      <c r="D401" t="s">
        <v>771</v>
      </c>
      <c r="E401" t="s">
        <v>2880</v>
      </c>
      <c r="F401" t="s">
        <v>2598</v>
      </c>
      <c r="G401" t="s">
        <v>81</v>
      </c>
      <c r="H401" t="s">
        <v>2587</v>
      </c>
      <c r="I401">
        <v>0</v>
      </c>
      <c r="J401">
        <v>405</v>
      </c>
      <c r="K401" t="s">
        <v>56</v>
      </c>
      <c r="L401" t="s">
        <v>2588</v>
      </c>
    </row>
    <row r="402" spans="1:12" x14ac:dyDescent="0.25">
      <c r="A402">
        <v>102020</v>
      </c>
      <c r="B402" t="s">
        <v>446</v>
      </c>
      <c r="C402" t="s">
        <v>168</v>
      </c>
      <c r="D402" t="s">
        <v>772</v>
      </c>
      <c r="E402" t="s">
        <v>2881</v>
      </c>
      <c r="F402" t="s">
        <v>30</v>
      </c>
      <c r="G402" t="s">
        <v>2609</v>
      </c>
      <c r="H402" t="s">
        <v>2618</v>
      </c>
      <c r="I402">
        <v>0</v>
      </c>
      <c r="J402">
        <v>515</v>
      </c>
      <c r="K402" t="s">
        <v>37</v>
      </c>
      <c r="L402" t="s">
        <v>2582</v>
      </c>
    </row>
    <row r="403" spans="1:12" x14ac:dyDescent="0.25">
      <c r="A403">
        <v>100095</v>
      </c>
      <c r="B403" t="s">
        <v>443</v>
      </c>
      <c r="C403" t="s">
        <v>72</v>
      </c>
      <c r="D403" t="s">
        <v>773</v>
      </c>
      <c r="E403" t="s">
        <v>2882</v>
      </c>
      <c r="F403" t="s">
        <v>2640</v>
      </c>
      <c r="G403" t="s">
        <v>2599</v>
      </c>
      <c r="H403" t="s">
        <v>18</v>
      </c>
      <c r="I403">
        <v>0</v>
      </c>
      <c r="J403">
        <v>309</v>
      </c>
      <c r="K403" t="s">
        <v>32</v>
      </c>
      <c r="L403" t="s">
        <v>26</v>
      </c>
    </row>
    <row r="404" spans="1:12" x14ac:dyDescent="0.25">
      <c r="A404">
        <v>100293</v>
      </c>
      <c r="B404" t="s">
        <v>595</v>
      </c>
      <c r="C404" t="s">
        <v>22</v>
      </c>
      <c r="D404" t="s">
        <v>774</v>
      </c>
      <c r="E404" t="s">
        <v>2883</v>
      </c>
      <c r="F404" t="s">
        <v>2654</v>
      </c>
      <c r="G404" t="s">
        <v>2591</v>
      </c>
      <c r="H404" t="s">
        <v>18</v>
      </c>
      <c r="I404">
        <v>0</v>
      </c>
      <c r="J404">
        <v>372</v>
      </c>
      <c r="K404" t="s">
        <v>37</v>
      </c>
      <c r="L404" t="s">
        <v>2582</v>
      </c>
    </row>
    <row r="405" spans="1:12" x14ac:dyDescent="0.25">
      <c r="A405">
        <v>100209</v>
      </c>
      <c r="B405" t="s">
        <v>276</v>
      </c>
      <c r="C405" t="s">
        <v>52</v>
      </c>
      <c r="D405" t="s">
        <v>775</v>
      </c>
      <c r="E405" t="s">
        <v>776</v>
      </c>
      <c r="F405" t="s">
        <v>2613</v>
      </c>
      <c r="H405" t="s">
        <v>2587</v>
      </c>
      <c r="I405">
        <v>0</v>
      </c>
      <c r="J405">
        <v>638</v>
      </c>
      <c r="K405" t="s">
        <v>19</v>
      </c>
      <c r="L405" t="s">
        <v>2582</v>
      </c>
    </row>
    <row r="406" spans="1:12" x14ac:dyDescent="0.25">
      <c r="A406">
        <v>101495</v>
      </c>
      <c r="B406" t="s">
        <v>286</v>
      </c>
      <c r="C406" t="s">
        <v>168</v>
      </c>
      <c r="D406" t="s">
        <v>777</v>
      </c>
      <c r="E406" t="s">
        <v>778</v>
      </c>
      <c r="F406" t="s">
        <v>2613</v>
      </c>
      <c r="G406" t="s">
        <v>31</v>
      </c>
      <c r="H406" t="s">
        <v>2581</v>
      </c>
      <c r="I406">
        <v>0</v>
      </c>
      <c r="J406">
        <v>434</v>
      </c>
      <c r="K406" t="s">
        <v>56</v>
      </c>
      <c r="L406" t="s">
        <v>20</v>
      </c>
    </row>
    <row r="407" spans="1:12" x14ac:dyDescent="0.25">
      <c r="A407">
        <v>100045</v>
      </c>
      <c r="B407" t="s">
        <v>779</v>
      </c>
      <c r="D407" t="s">
        <v>780</v>
      </c>
      <c r="E407" t="s">
        <v>2884</v>
      </c>
      <c r="F407" t="s">
        <v>2641</v>
      </c>
      <c r="G407" t="s">
        <v>2617</v>
      </c>
      <c r="H407" t="s">
        <v>18</v>
      </c>
      <c r="I407">
        <v>0</v>
      </c>
      <c r="J407">
        <v>402</v>
      </c>
      <c r="K407" t="s">
        <v>45</v>
      </c>
      <c r="L407" t="s">
        <v>2582</v>
      </c>
    </row>
    <row r="408" spans="1:12" x14ac:dyDescent="0.25">
      <c r="A408">
        <v>100587</v>
      </c>
      <c r="B408" t="s">
        <v>515</v>
      </c>
      <c r="C408" t="s">
        <v>22</v>
      </c>
      <c r="D408" t="s">
        <v>781</v>
      </c>
      <c r="E408" t="s">
        <v>782</v>
      </c>
      <c r="F408" t="s">
        <v>2583</v>
      </c>
      <c r="G408" t="s">
        <v>2580</v>
      </c>
      <c r="H408" t="s">
        <v>2597</v>
      </c>
      <c r="I408">
        <v>22</v>
      </c>
      <c r="J408">
        <v>826</v>
      </c>
      <c r="K408" t="s">
        <v>56</v>
      </c>
      <c r="L408" t="s">
        <v>2588</v>
      </c>
    </row>
    <row r="409" spans="1:12" x14ac:dyDescent="0.25">
      <c r="A409">
        <v>101731</v>
      </c>
      <c r="B409" t="s">
        <v>51</v>
      </c>
      <c r="C409" t="s">
        <v>52</v>
      </c>
      <c r="D409" t="s">
        <v>783</v>
      </c>
      <c r="E409" t="s">
        <v>784</v>
      </c>
      <c r="F409" t="s">
        <v>2590</v>
      </c>
      <c r="G409" t="s">
        <v>2602</v>
      </c>
      <c r="H409" t="s">
        <v>2587</v>
      </c>
      <c r="I409">
        <v>0</v>
      </c>
      <c r="J409">
        <v>567</v>
      </c>
      <c r="K409" t="s">
        <v>45</v>
      </c>
      <c r="L409" t="s">
        <v>20</v>
      </c>
    </row>
    <row r="410" spans="1:12" x14ac:dyDescent="0.25">
      <c r="A410">
        <v>100023</v>
      </c>
      <c r="B410" t="s">
        <v>157</v>
      </c>
      <c r="C410" t="s">
        <v>103</v>
      </c>
      <c r="D410" t="s">
        <v>785</v>
      </c>
      <c r="E410" t="s">
        <v>2885</v>
      </c>
      <c r="F410" t="s">
        <v>2654</v>
      </c>
      <c r="G410" t="s">
        <v>2652</v>
      </c>
      <c r="H410" t="s">
        <v>83</v>
      </c>
      <c r="I410">
        <v>0</v>
      </c>
      <c r="J410">
        <v>897</v>
      </c>
      <c r="K410" t="s">
        <v>56</v>
      </c>
      <c r="L410" t="s">
        <v>2582</v>
      </c>
    </row>
    <row r="411" spans="1:12" x14ac:dyDescent="0.25">
      <c r="A411">
        <v>100895</v>
      </c>
      <c r="B411" t="s">
        <v>786</v>
      </c>
      <c r="C411" t="s">
        <v>95</v>
      </c>
      <c r="D411" t="s">
        <v>787</v>
      </c>
      <c r="E411" t="s">
        <v>788</v>
      </c>
      <c r="F411" t="s">
        <v>41</v>
      </c>
      <c r="G411" t="s">
        <v>2599</v>
      </c>
      <c r="H411" t="s">
        <v>2587</v>
      </c>
      <c r="I411">
        <v>0</v>
      </c>
      <c r="J411">
        <v>835</v>
      </c>
      <c r="K411" t="s">
        <v>32</v>
      </c>
      <c r="L411" t="s">
        <v>20</v>
      </c>
    </row>
    <row r="412" spans="1:12" x14ac:dyDescent="0.25">
      <c r="A412">
        <v>101264</v>
      </c>
      <c r="B412" t="s">
        <v>234</v>
      </c>
      <c r="C412" t="s">
        <v>142</v>
      </c>
      <c r="D412" t="s">
        <v>789</v>
      </c>
      <c r="E412" t="s">
        <v>790</v>
      </c>
      <c r="F412" t="s">
        <v>2593</v>
      </c>
      <c r="G412" t="s">
        <v>2617</v>
      </c>
      <c r="H412" t="s">
        <v>18</v>
      </c>
      <c r="I412">
        <v>0</v>
      </c>
      <c r="J412">
        <v>494</v>
      </c>
      <c r="K412" t="s">
        <v>32</v>
      </c>
      <c r="L412" t="s">
        <v>20</v>
      </c>
    </row>
    <row r="413" spans="1:12" x14ac:dyDescent="0.25">
      <c r="A413">
        <v>100197</v>
      </c>
      <c r="B413" t="s">
        <v>460</v>
      </c>
      <c r="C413" t="s">
        <v>95</v>
      </c>
      <c r="D413" t="s">
        <v>791</v>
      </c>
      <c r="E413" t="s">
        <v>2636</v>
      </c>
      <c r="F413" t="s">
        <v>2616</v>
      </c>
      <c r="G413" t="s">
        <v>2591</v>
      </c>
      <c r="H413" t="s">
        <v>2587</v>
      </c>
      <c r="I413">
        <v>0</v>
      </c>
      <c r="J413">
        <v>716</v>
      </c>
      <c r="K413" t="s">
        <v>32</v>
      </c>
      <c r="L413" t="s">
        <v>20</v>
      </c>
    </row>
    <row r="414" spans="1:12" x14ac:dyDescent="0.25">
      <c r="A414">
        <v>102139</v>
      </c>
      <c r="B414" t="s">
        <v>719</v>
      </c>
      <c r="C414" t="s">
        <v>22</v>
      </c>
      <c r="D414" t="s">
        <v>792</v>
      </c>
      <c r="E414" t="s">
        <v>2886</v>
      </c>
      <c r="F414" t="s">
        <v>2583</v>
      </c>
      <c r="G414" t="s">
        <v>81</v>
      </c>
      <c r="H414" t="s">
        <v>2644</v>
      </c>
      <c r="I414">
        <v>0</v>
      </c>
      <c r="J414">
        <v>461</v>
      </c>
      <c r="K414" t="s">
        <v>37</v>
      </c>
      <c r="L414" t="s">
        <v>20</v>
      </c>
    </row>
    <row r="415" spans="1:12" x14ac:dyDescent="0.25">
      <c r="A415">
        <v>101385</v>
      </c>
      <c r="B415" t="s">
        <v>234</v>
      </c>
      <c r="C415" t="s">
        <v>2649</v>
      </c>
      <c r="D415" t="s">
        <v>793</v>
      </c>
      <c r="F415" t="s">
        <v>2648</v>
      </c>
      <c r="G415" t="s">
        <v>60</v>
      </c>
      <c r="H415" t="s">
        <v>2581</v>
      </c>
      <c r="I415">
        <v>0</v>
      </c>
      <c r="J415">
        <v>494</v>
      </c>
      <c r="K415" t="s">
        <v>32</v>
      </c>
      <c r="L415" t="s">
        <v>20</v>
      </c>
    </row>
    <row r="416" spans="1:12" x14ac:dyDescent="0.25">
      <c r="A416">
        <v>101967</v>
      </c>
      <c r="B416" t="s">
        <v>794</v>
      </c>
      <c r="C416" t="s">
        <v>52</v>
      </c>
      <c r="D416" t="s">
        <v>795</v>
      </c>
      <c r="E416" t="s">
        <v>2887</v>
      </c>
      <c r="F416" t="s">
        <v>2608</v>
      </c>
      <c r="G416" t="s">
        <v>2633</v>
      </c>
      <c r="H416" t="s">
        <v>2620</v>
      </c>
      <c r="I416">
        <v>0</v>
      </c>
      <c r="J416">
        <v>733</v>
      </c>
      <c r="K416" t="s">
        <v>32</v>
      </c>
    </row>
    <row r="417" spans="1:12" x14ac:dyDescent="0.25">
      <c r="A417">
        <v>100353</v>
      </c>
      <c r="B417" t="s">
        <v>129</v>
      </c>
      <c r="C417" t="s">
        <v>13</v>
      </c>
      <c r="D417" t="s">
        <v>293</v>
      </c>
      <c r="E417" t="s">
        <v>796</v>
      </c>
      <c r="F417" t="s">
        <v>2640</v>
      </c>
      <c r="G417" t="s">
        <v>60</v>
      </c>
      <c r="H417" t="s">
        <v>2618</v>
      </c>
      <c r="I417">
        <v>0</v>
      </c>
      <c r="J417">
        <v>336</v>
      </c>
      <c r="K417" t="s">
        <v>19</v>
      </c>
      <c r="L417" t="s">
        <v>2588</v>
      </c>
    </row>
    <row r="418" spans="1:12" x14ac:dyDescent="0.25">
      <c r="A418">
        <v>100909</v>
      </c>
      <c r="B418" t="s">
        <v>342</v>
      </c>
      <c r="C418" t="s">
        <v>110</v>
      </c>
      <c r="D418" t="s">
        <v>505</v>
      </c>
      <c r="E418" t="s">
        <v>797</v>
      </c>
      <c r="F418" t="s">
        <v>2608</v>
      </c>
      <c r="G418" t="s">
        <v>2611</v>
      </c>
      <c r="H418" t="s">
        <v>2587</v>
      </c>
      <c r="I418">
        <v>0</v>
      </c>
      <c r="J418">
        <v>659</v>
      </c>
      <c r="K418" t="s">
        <v>19</v>
      </c>
      <c r="L418" t="s">
        <v>2588</v>
      </c>
    </row>
    <row r="419" spans="1:12" x14ac:dyDescent="0.25">
      <c r="A419">
        <v>101065</v>
      </c>
      <c r="B419" t="s">
        <v>798</v>
      </c>
      <c r="C419" t="s">
        <v>149</v>
      </c>
      <c r="D419" t="s">
        <v>658</v>
      </c>
      <c r="E419" t="s">
        <v>2888</v>
      </c>
      <c r="F419" t="s">
        <v>30</v>
      </c>
      <c r="G419" t="s">
        <v>2617</v>
      </c>
      <c r="H419" t="s">
        <v>18</v>
      </c>
      <c r="I419">
        <v>0</v>
      </c>
      <c r="J419">
        <v>555</v>
      </c>
      <c r="K419" t="s">
        <v>32</v>
      </c>
      <c r="L419" t="s">
        <v>2588</v>
      </c>
    </row>
    <row r="420" spans="1:12" x14ac:dyDescent="0.25">
      <c r="A420">
        <v>100646</v>
      </c>
      <c r="B420" t="s">
        <v>213</v>
      </c>
      <c r="C420" t="s">
        <v>2728</v>
      </c>
      <c r="D420" t="s">
        <v>799</v>
      </c>
      <c r="E420" t="s">
        <v>2889</v>
      </c>
      <c r="F420" t="s">
        <v>30</v>
      </c>
      <c r="G420" t="s">
        <v>2682</v>
      </c>
      <c r="H420" t="s">
        <v>42</v>
      </c>
      <c r="I420">
        <v>63</v>
      </c>
      <c r="J420">
        <v>324</v>
      </c>
      <c r="K420" t="s">
        <v>37</v>
      </c>
      <c r="L420" t="s">
        <v>2588</v>
      </c>
    </row>
    <row r="421" spans="1:12" x14ac:dyDescent="0.25">
      <c r="A421">
        <v>100282</v>
      </c>
      <c r="B421" t="s">
        <v>338</v>
      </c>
      <c r="C421" t="s">
        <v>2686</v>
      </c>
      <c r="D421" t="s">
        <v>800</v>
      </c>
      <c r="E421" t="s">
        <v>801</v>
      </c>
      <c r="F421" t="s">
        <v>2627</v>
      </c>
      <c r="G421" t="s">
        <v>2591</v>
      </c>
      <c r="H421" t="s">
        <v>2618</v>
      </c>
      <c r="I421">
        <v>0</v>
      </c>
      <c r="J421">
        <v>832</v>
      </c>
      <c r="K421" t="s">
        <v>37</v>
      </c>
      <c r="L421" t="s">
        <v>20</v>
      </c>
    </row>
    <row r="422" spans="1:12" x14ac:dyDescent="0.25">
      <c r="A422">
        <v>100078</v>
      </c>
      <c r="B422" t="s">
        <v>506</v>
      </c>
      <c r="C422" t="s">
        <v>2728</v>
      </c>
      <c r="D422" t="s">
        <v>802</v>
      </c>
      <c r="E422" t="s">
        <v>803</v>
      </c>
      <c r="F422" t="s">
        <v>2627</v>
      </c>
      <c r="G422" t="s">
        <v>55</v>
      </c>
      <c r="H422" t="s">
        <v>2581</v>
      </c>
      <c r="I422">
        <v>0</v>
      </c>
      <c r="J422">
        <v>394</v>
      </c>
      <c r="K422" t="s">
        <v>32</v>
      </c>
      <c r="L422" t="s">
        <v>2582</v>
      </c>
    </row>
    <row r="423" spans="1:12" x14ac:dyDescent="0.25">
      <c r="A423">
        <v>100726</v>
      </c>
      <c r="B423" t="s">
        <v>213</v>
      </c>
      <c r="C423" t="s">
        <v>58</v>
      </c>
      <c r="D423" t="s">
        <v>804</v>
      </c>
      <c r="E423" t="s">
        <v>2890</v>
      </c>
      <c r="F423" t="s">
        <v>2648</v>
      </c>
      <c r="G423" t="s">
        <v>2591</v>
      </c>
      <c r="H423" t="s">
        <v>2594</v>
      </c>
      <c r="I423">
        <v>143</v>
      </c>
      <c r="J423">
        <v>324</v>
      </c>
      <c r="K423" t="s">
        <v>37</v>
      </c>
      <c r="L423" t="s">
        <v>26</v>
      </c>
    </row>
    <row r="424" spans="1:12" x14ac:dyDescent="0.25">
      <c r="A424">
        <v>100169</v>
      </c>
      <c r="B424" t="s">
        <v>805</v>
      </c>
      <c r="C424" t="s">
        <v>62</v>
      </c>
      <c r="D424" t="s">
        <v>806</v>
      </c>
      <c r="E424" t="s">
        <v>2891</v>
      </c>
      <c r="F424" t="s">
        <v>64</v>
      </c>
      <c r="G424" t="s">
        <v>2584</v>
      </c>
      <c r="H424" t="s">
        <v>18</v>
      </c>
      <c r="I424">
        <v>0</v>
      </c>
      <c r="J424">
        <v>352</v>
      </c>
      <c r="K424" t="s">
        <v>45</v>
      </c>
      <c r="L424" t="s">
        <v>2582</v>
      </c>
    </row>
    <row r="425" spans="1:12" x14ac:dyDescent="0.25">
      <c r="A425">
        <v>102044</v>
      </c>
      <c r="B425" t="s">
        <v>807</v>
      </c>
      <c r="C425" t="s">
        <v>85</v>
      </c>
      <c r="D425" t="s">
        <v>808</v>
      </c>
      <c r="E425" t="s">
        <v>809</v>
      </c>
      <c r="F425" t="s">
        <v>2583</v>
      </c>
      <c r="G425" t="s">
        <v>2617</v>
      </c>
      <c r="H425" t="s">
        <v>42</v>
      </c>
      <c r="I425">
        <v>154</v>
      </c>
      <c r="J425">
        <v>443</v>
      </c>
      <c r="K425" t="s">
        <v>37</v>
      </c>
      <c r="L425" t="s">
        <v>20</v>
      </c>
    </row>
    <row r="426" spans="1:12" x14ac:dyDescent="0.25">
      <c r="A426">
        <v>100203</v>
      </c>
      <c r="B426" t="s">
        <v>616</v>
      </c>
      <c r="C426" t="s">
        <v>95</v>
      </c>
      <c r="D426" t="s">
        <v>810</v>
      </c>
      <c r="E426" t="s">
        <v>811</v>
      </c>
      <c r="F426" t="s">
        <v>2654</v>
      </c>
      <c r="G426" t="s">
        <v>2599</v>
      </c>
      <c r="H426" t="s">
        <v>83</v>
      </c>
      <c r="I426">
        <v>0</v>
      </c>
      <c r="J426">
        <v>898</v>
      </c>
      <c r="L426" t="s">
        <v>2588</v>
      </c>
    </row>
    <row r="427" spans="1:12" x14ac:dyDescent="0.25">
      <c r="A427">
        <v>101660</v>
      </c>
      <c r="B427" t="s">
        <v>812</v>
      </c>
      <c r="C427" t="s">
        <v>134</v>
      </c>
      <c r="D427" t="s">
        <v>813</v>
      </c>
      <c r="E427" t="s">
        <v>2892</v>
      </c>
      <c r="F427" t="s">
        <v>64</v>
      </c>
      <c r="G427" t="s">
        <v>2596</v>
      </c>
      <c r="H427" t="s">
        <v>2594</v>
      </c>
      <c r="I427">
        <v>137</v>
      </c>
      <c r="J427">
        <v>567</v>
      </c>
      <c r="K427" t="s">
        <v>32</v>
      </c>
      <c r="L427" t="s">
        <v>2582</v>
      </c>
    </row>
    <row r="428" spans="1:12" x14ac:dyDescent="0.25">
      <c r="A428">
        <v>101454</v>
      </c>
      <c r="B428" t="s">
        <v>537</v>
      </c>
      <c r="C428" t="s">
        <v>187</v>
      </c>
      <c r="D428" t="s">
        <v>814</v>
      </c>
      <c r="E428" t="s">
        <v>2893</v>
      </c>
      <c r="F428" t="s">
        <v>2643</v>
      </c>
      <c r="G428" t="s">
        <v>2599</v>
      </c>
      <c r="H428" t="s">
        <v>2581</v>
      </c>
      <c r="J428">
        <v>874</v>
      </c>
      <c r="K428" t="s">
        <v>37</v>
      </c>
      <c r="L428" t="s">
        <v>20</v>
      </c>
    </row>
    <row r="429" spans="1:12" x14ac:dyDescent="0.25">
      <c r="A429">
        <v>100421</v>
      </c>
      <c r="B429" t="s">
        <v>194</v>
      </c>
      <c r="C429" t="s">
        <v>47</v>
      </c>
      <c r="D429" t="s">
        <v>554</v>
      </c>
      <c r="E429" t="s">
        <v>815</v>
      </c>
      <c r="F429" t="s">
        <v>2579</v>
      </c>
      <c r="G429" t="s">
        <v>2611</v>
      </c>
      <c r="H429" t="s">
        <v>18</v>
      </c>
      <c r="J429">
        <v>308</v>
      </c>
      <c r="K429" t="s">
        <v>45</v>
      </c>
      <c r="L429" t="s">
        <v>26</v>
      </c>
    </row>
    <row r="430" spans="1:12" x14ac:dyDescent="0.25">
      <c r="A430">
        <v>100959</v>
      </c>
      <c r="B430" t="s">
        <v>816</v>
      </c>
      <c r="C430" t="s">
        <v>95</v>
      </c>
      <c r="D430" t="s">
        <v>817</v>
      </c>
      <c r="E430" t="s">
        <v>2894</v>
      </c>
      <c r="F430" t="s">
        <v>64</v>
      </c>
      <c r="G430" t="s">
        <v>2600</v>
      </c>
      <c r="H430" t="s">
        <v>2587</v>
      </c>
      <c r="I430">
        <v>0</v>
      </c>
      <c r="J430">
        <v>422</v>
      </c>
      <c r="K430" t="s">
        <v>45</v>
      </c>
      <c r="L430" t="s">
        <v>20</v>
      </c>
    </row>
    <row r="431" spans="1:12" x14ac:dyDescent="0.25">
      <c r="A431">
        <v>101040</v>
      </c>
      <c r="B431" t="s">
        <v>392</v>
      </c>
      <c r="C431" t="s">
        <v>72</v>
      </c>
      <c r="D431" t="s">
        <v>484</v>
      </c>
      <c r="E431" t="s">
        <v>2895</v>
      </c>
      <c r="F431" t="s">
        <v>2616</v>
      </c>
      <c r="G431" t="s">
        <v>2633</v>
      </c>
      <c r="H431" t="s">
        <v>2587</v>
      </c>
      <c r="J431">
        <v>433</v>
      </c>
      <c r="K431" t="s">
        <v>45</v>
      </c>
      <c r="L431" t="s">
        <v>2582</v>
      </c>
    </row>
    <row r="432" spans="1:12" x14ac:dyDescent="0.25">
      <c r="A432">
        <v>101772</v>
      </c>
      <c r="B432" t="s">
        <v>207</v>
      </c>
      <c r="C432" t="s">
        <v>103</v>
      </c>
      <c r="D432" t="s">
        <v>818</v>
      </c>
      <c r="E432" t="s">
        <v>2896</v>
      </c>
      <c r="F432" t="s">
        <v>2608</v>
      </c>
      <c r="G432" t="s">
        <v>60</v>
      </c>
      <c r="H432" t="s">
        <v>2581</v>
      </c>
      <c r="I432">
        <v>0</v>
      </c>
      <c r="J432">
        <v>360</v>
      </c>
      <c r="K432" t="s">
        <v>37</v>
      </c>
      <c r="L432" t="s">
        <v>26</v>
      </c>
    </row>
    <row r="433" spans="1:12" x14ac:dyDescent="0.25">
      <c r="A433">
        <v>100441</v>
      </c>
      <c r="B433" t="s">
        <v>446</v>
      </c>
      <c r="C433" t="s">
        <v>168</v>
      </c>
      <c r="D433" t="s">
        <v>819</v>
      </c>
      <c r="E433" t="s">
        <v>2897</v>
      </c>
      <c r="F433" t="s">
        <v>2640</v>
      </c>
      <c r="G433" t="s">
        <v>81</v>
      </c>
      <c r="H433" t="s">
        <v>2581</v>
      </c>
      <c r="I433">
        <v>0</v>
      </c>
      <c r="J433">
        <v>515</v>
      </c>
      <c r="K433" t="s">
        <v>32</v>
      </c>
      <c r="L433" t="s">
        <v>26</v>
      </c>
    </row>
    <row r="434" spans="1:12" x14ac:dyDescent="0.25">
      <c r="A434">
        <v>101177</v>
      </c>
      <c r="B434" t="s">
        <v>820</v>
      </c>
      <c r="C434" t="s">
        <v>22</v>
      </c>
      <c r="D434" t="s">
        <v>821</v>
      </c>
      <c r="E434" t="s">
        <v>2898</v>
      </c>
      <c r="F434" t="s">
        <v>2646</v>
      </c>
      <c r="G434" t="s">
        <v>2611</v>
      </c>
      <c r="H434" t="s">
        <v>2618</v>
      </c>
      <c r="I434">
        <v>0</v>
      </c>
      <c r="J434">
        <v>621</v>
      </c>
      <c r="K434" t="s">
        <v>32</v>
      </c>
      <c r="L434" t="s">
        <v>20</v>
      </c>
    </row>
    <row r="435" spans="1:12" x14ac:dyDescent="0.25">
      <c r="A435">
        <v>100873</v>
      </c>
      <c r="B435" t="s">
        <v>91</v>
      </c>
      <c r="C435" t="s">
        <v>58</v>
      </c>
      <c r="D435" t="s">
        <v>822</v>
      </c>
      <c r="E435" t="s">
        <v>2899</v>
      </c>
      <c r="F435" t="s">
        <v>2616</v>
      </c>
      <c r="G435" t="s">
        <v>2580</v>
      </c>
      <c r="H435" t="s">
        <v>18</v>
      </c>
      <c r="I435">
        <v>0</v>
      </c>
      <c r="J435">
        <v>769</v>
      </c>
      <c r="K435" t="s">
        <v>56</v>
      </c>
      <c r="L435" t="s">
        <v>26</v>
      </c>
    </row>
    <row r="436" spans="1:12" x14ac:dyDescent="0.25">
      <c r="A436">
        <v>100582</v>
      </c>
      <c r="B436" t="s">
        <v>576</v>
      </c>
      <c r="C436" t="s">
        <v>22</v>
      </c>
      <c r="D436" t="s">
        <v>823</v>
      </c>
      <c r="E436" t="s">
        <v>824</v>
      </c>
      <c r="F436" t="s">
        <v>2593</v>
      </c>
      <c r="G436" t="s">
        <v>2596</v>
      </c>
      <c r="H436" t="s">
        <v>2581</v>
      </c>
      <c r="I436">
        <v>0</v>
      </c>
      <c r="J436">
        <v>418</v>
      </c>
      <c r="K436" t="s">
        <v>45</v>
      </c>
      <c r="L436" t="s">
        <v>20</v>
      </c>
    </row>
    <row r="437" spans="1:12" x14ac:dyDescent="0.25">
      <c r="A437">
        <v>100606</v>
      </c>
      <c r="B437" t="s">
        <v>825</v>
      </c>
      <c r="C437" t="s">
        <v>58</v>
      </c>
      <c r="D437" t="s">
        <v>826</v>
      </c>
      <c r="E437" t="s">
        <v>2900</v>
      </c>
      <c r="F437" t="s">
        <v>2616</v>
      </c>
      <c r="G437" t="s">
        <v>2658</v>
      </c>
      <c r="H437" t="s">
        <v>2620</v>
      </c>
      <c r="I437">
        <v>0</v>
      </c>
      <c r="J437">
        <v>636</v>
      </c>
      <c r="K437" t="s">
        <v>56</v>
      </c>
      <c r="L437" t="s">
        <v>2588</v>
      </c>
    </row>
    <row r="438" spans="1:12" x14ac:dyDescent="0.25">
      <c r="A438">
        <v>100503</v>
      </c>
      <c r="B438" t="s">
        <v>286</v>
      </c>
      <c r="C438" t="s">
        <v>168</v>
      </c>
      <c r="D438" t="s">
        <v>827</v>
      </c>
      <c r="E438" t="s">
        <v>2901</v>
      </c>
      <c r="F438" t="s">
        <v>30</v>
      </c>
      <c r="G438" t="s">
        <v>2617</v>
      </c>
      <c r="H438" t="s">
        <v>2620</v>
      </c>
      <c r="I438">
        <v>0</v>
      </c>
      <c r="J438">
        <v>434</v>
      </c>
      <c r="K438" t="s">
        <v>56</v>
      </c>
      <c r="L438" t="s">
        <v>20</v>
      </c>
    </row>
    <row r="439" spans="1:12" x14ac:dyDescent="0.25">
      <c r="A439">
        <v>101258</v>
      </c>
      <c r="B439" t="s">
        <v>160</v>
      </c>
      <c r="C439" t="s">
        <v>72</v>
      </c>
      <c r="D439" t="s">
        <v>828</v>
      </c>
      <c r="E439" t="s">
        <v>2902</v>
      </c>
      <c r="F439" t="s">
        <v>41</v>
      </c>
      <c r="G439" t="s">
        <v>2591</v>
      </c>
      <c r="H439" t="s">
        <v>2587</v>
      </c>
      <c r="I439">
        <v>0</v>
      </c>
      <c r="J439">
        <v>585</v>
      </c>
      <c r="K439" t="s">
        <v>45</v>
      </c>
      <c r="L439" t="s">
        <v>26</v>
      </c>
    </row>
    <row r="440" spans="1:12" x14ac:dyDescent="0.25">
      <c r="A440">
        <v>101431</v>
      </c>
      <c r="B440" t="s">
        <v>51</v>
      </c>
      <c r="C440" t="s">
        <v>52</v>
      </c>
      <c r="D440" t="s">
        <v>800</v>
      </c>
      <c r="E440" t="s">
        <v>2903</v>
      </c>
      <c r="F440" t="s">
        <v>2613</v>
      </c>
      <c r="G440" t="s">
        <v>2584</v>
      </c>
      <c r="H440" t="s">
        <v>2618</v>
      </c>
      <c r="I440">
        <v>0</v>
      </c>
      <c r="J440">
        <v>567</v>
      </c>
      <c r="K440" t="s">
        <v>32</v>
      </c>
      <c r="L440" t="s">
        <v>2582</v>
      </c>
    </row>
    <row r="441" spans="1:12" x14ac:dyDescent="0.25">
      <c r="A441">
        <v>101798</v>
      </c>
      <c r="B441" t="s">
        <v>728</v>
      </c>
      <c r="C441" t="s">
        <v>85</v>
      </c>
      <c r="D441" t="s">
        <v>829</v>
      </c>
      <c r="E441" t="s">
        <v>2904</v>
      </c>
      <c r="F441" t="s">
        <v>2629</v>
      </c>
      <c r="G441" t="s">
        <v>60</v>
      </c>
      <c r="H441" t="s">
        <v>2620</v>
      </c>
      <c r="I441">
        <v>0</v>
      </c>
      <c r="J441">
        <v>653</v>
      </c>
      <c r="K441" t="s">
        <v>45</v>
      </c>
      <c r="L441" t="s">
        <v>26</v>
      </c>
    </row>
    <row r="442" spans="1:12" x14ac:dyDescent="0.25">
      <c r="A442">
        <v>100138</v>
      </c>
      <c r="B442" t="s">
        <v>489</v>
      </c>
      <c r="C442" t="s">
        <v>2634</v>
      </c>
      <c r="D442" t="s">
        <v>830</v>
      </c>
      <c r="E442" t="s">
        <v>2905</v>
      </c>
      <c r="F442" t="s">
        <v>2613</v>
      </c>
      <c r="G442" t="s">
        <v>2633</v>
      </c>
      <c r="H442" t="s">
        <v>2581</v>
      </c>
      <c r="I442">
        <v>0</v>
      </c>
      <c r="J442">
        <v>843</v>
      </c>
      <c r="K442" t="s">
        <v>56</v>
      </c>
      <c r="L442" t="s">
        <v>26</v>
      </c>
    </row>
    <row r="443" spans="1:12" x14ac:dyDescent="0.25">
      <c r="A443">
        <v>101540</v>
      </c>
      <c r="B443" t="s">
        <v>241</v>
      </c>
      <c r="C443" t="s">
        <v>58</v>
      </c>
      <c r="D443" t="s">
        <v>831</v>
      </c>
      <c r="E443" t="s">
        <v>2906</v>
      </c>
      <c r="F443" t="s">
        <v>2643</v>
      </c>
      <c r="G443" t="s">
        <v>2682</v>
      </c>
      <c r="H443" t="s">
        <v>2618</v>
      </c>
      <c r="I443">
        <v>0</v>
      </c>
      <c r="J443">
        <v>468</v>
      </c>
      <c r="K443" t="s">
        <v>56</v>
      </c>
      <c r="L443" t="s">
        <v>2582</v>
      </c>
    </row>
    <row r="444" spans="1:12" x14ac:dyDescent="0.25">
      <c r="A444">
        <v>101082</v>
      </c>
      <c r="B444" t="s">
        <v>388</v>
      </c>
      <c r="C444" t="s">
        <v>142</v>
      </c>
      <c r="D444" t="s">
        <v>494</v>
      </c>
      <c r="E444" t="s">
        <v>2907</v>
      </c>
      <c r="F444" t="s">
        <v>30</v>
      </c>
      <c r="G444" t="s">
        <v>31</v>
      </c>
      <c r="H444" t="s">
        <v>2618</v>
      </c>
      <c r="I444">
        <v>0</v>
      </c>
      <c r="J444">
        <v>662</v>
      </c>
      <c r="K444" t="s">
        <v>19</v>
      </c>
      <c r="L444" t="s">
        <v>20</v>
      </c>
    </row>
    <row r="445" spans="1:12" x14ac:dyDescent="0.25">
      <c r="A445">
        <v>101140</v>
      </c>
      <c r="B445" t="s">
        <v>832</v>
      </c>
      <c r="C445" t="s">
        <v>134</v>
      </c>
      <c r="D445" t="s">
        <v>833</v>
      </c>
      <c r="E445" t="s">
        <v>834</v>
      </c>
      <c r="F445" t="s">
        <v>2583</v>
      </c>
      <c r="G445" t="s">
        <v>2600</v>
      </c>
      <c r="H445" t="s">
        <v>2594</v>
      </c>
      <c r="I445">
        <v>33</v>
      </c>
      <c r="J445">
        <v>641</v>
      </c>
      <c r="K445" t="s">
        <v>45</v>
      </c>
      <c r="L445" t="s">
        <v>26</v>
      </c>
    </row>
    <row r="446" spans="1:12" x14ac:dyDescent="0.25">
      <c r="A446">
        <v>100947</v>
      </c>
      <c r="B446" t="s">
        <v>671</v>
      </c>
      <c r="C446" t="s">
        <v>122</v>
      </c>
      <c r="D446" t="s">
        <v>835</v>
      </c>
      <c r="E446" t="s">
        <v>836</v>
      </c>
      <c r="F446" t="s">
        <v>50</v>
      </c>
      <c r="G446" t="s">
        <v>2609</v>
      </c>
      <c r="H446" t="s">
        <v>2594</v>
      </c>
      <c r="I446">
        <v>154</v>
      </c>
      <c r="J446">
        <v>302</v>
      </c>
      <c r="K446" t="s">
        <v>37</v>
      </c>
      <c r="L446" t="s">
        <v>2588</v>
      </c>
    </row>
    <row r="447" spans="1:12" x14ac:dyDescent="0.25">
      <c r="A447">
        <v>100452</v>
      </c>
      <c r="B447" t="s">
        <v>798</v>
      </c>
      <c r="C447" t="s">
        <v>149</v>
      </c>
      <c r="D447" t="s">
        <v>837</v>
      </c>
      <c r="F447" t="s">
        <v>2598</v>
      </c>
      <c r="G447" t="s">
        <v>2614</v>
      </c>
      <c r="H447" t="s">
        <v>2618</v>
      </c>
      <c r="I447">
        <v>0</v>
      </c>
      <c r="J447">
        <v>555</v>
      </c>
      <c r="K447" t="s">
        <v>37</v>
      </c>
      <c r="L447" t="s">
        <v>2588</v>
      </c>
    </row>
    <row r="448" spans="1:12" x14ac:dyDescent="0.25">
      <c r="A448">
        <v>101588</v>
      </c>
      <c r="B448" t="s">
        <v>425</v>
      </c>
      <c r="C448" t="s">
        <v>2730</v>
      </c>
      <c r="D448" t="s">
        <v>838</v>
      </c>
      <c r="E448" t="s">
        <v>839</v>
      </c>
      <c r="F448" t="s">
        <v>2593</v>
      </c>
      <c r="G448" t="s">
        <v>2631</v>
      </c>
      <c r="H448" t="s">
        <v>2581</v>
      </c>
      <c r="I448">
        <v>0</v>
      </c>
      <c r="J448">
        <v>720</v>
      </c>
      <c r="K448" t="s">
        <v>56</v>
      </c>
      <c r="L448" t="s">
        <v>2588</v>
      </c>
    </row>
    <row r="449" spans="1:12" x14ac:dyDescent="0.25">
      <c r="A449">
        <v>100249</v>
      </c>
      <c r="B449" t="s">
        <v>94</v>
      </c>
      <c r="C449" t="s">
        <v>95</v>
      </c>
      <c r="D449" t="s">
        <v>826</v>
      </c>
      <c r="E449" t="s">
        <v>2908</v>
      </c>
      <c r="F449" t="s">
        <v>2627</v>
      </c>
      <c r="G449" t="s">
        <v>81</v>
      </c>
      <c r="H449" t="s">
        <v>2630</v>
      </c>
      <c r="I449">
        <v>19</v>
      </c>
      <c r="J449">
        <v>360</v>
      </c>
      <c r="K449" t="s">
        <v>37</v>
      </c>
      <c r="L449" t="s">
        <v>2582</v>
      </c>
    </row>
    <row r="450" spans="1:12" x14ac:dyDescent="0.25">
      <c r="A450">
        <v>102140</v>
      </c>
      <c r="B450" t="s">
        <v>840</v>
      </c>
      <c r="C450" t="s">
        <v>187</v>
      </c>
      <c r="D450" t="s">
        <v>841</v>
      </c>
      <c r="E450" t="s">
        <v>842</v>
      </c>
      <c r="F450" t="s">
        <v>30</v>
      </c>
      <c r="G450" t="s">
        <v>60</v>
      </c>
      <c r="H450" t="s">
        <v>2620</v>
      </c>
      <c r="I450">
        <v>0</v>
      </c>
      <c r="J450">
        <v>519</v>
      </c>
      <c r="K450" t="s">
        <v>45</v>
      </c>
      <c r="L450" t="s">
        <v>20</v>
      </c>
    </row>
    <row r="451" spans="1:12" x14ac:dyDescent="0.25">
      <c r="A451">
        <v>101328</v>
      </c>
      <c r="B451" t="s">
        <v>276</v>
      </c>
      <c r="D451" t="s">
        <v>843</v>
      </c>
      <c r="E451" t="s">
        <v>844</v>
      </c>
      <c r="F451" t="s">
        <v>2593</v>
      </c>
      <c r="G451" t="s">
        <v>2635</v>
      </c>
      <c r="H451" t="s">
        <v>2644</v>
      </c>
      <c r="I451">
        <v>0</v>
      </c>
      <c r="J451">
        <v>638</v>
      </c>
      <c r="K451" t="s">
        <v>19</v>
      </c>
      <c r="L451" t="s">
        <v>26</v>
      </c>
    </row>
    <row r="452" spans="1:12" x14ac:dyDescent="0.25">
      <c r="A452">
        <v>101728</v>
      </c>
      <c r="B452" t="s">
        <v>160</v>
      </c>
      <c r="C452" t="s">
        <v>2621</v>
      </c>
      <c r="D452" t="s">
        <v>845</v>
      </c>
      <c r="E452" t="s">
        <v>846</v>
      </c>
      <c r="F452" t="s">
        <v>2648</v>
      </c>
      <c r="G452" t="s">
        <v>2591</v>
      </c>
      <c r="H452" t="s">
        <v>2585</v>
      </c>
      <c r="I452">
        <v>18</v>
      </c>
      <c r="J452">
        <v>585</v>
      </c>
      <c r="K452" t="s">
        <v>56</v>
      </c>
      <c r="L452" t="s">
        <v>2588</v>
      </c>
    </row>
    <row r="453" spans="1:12" x14ac:dyDescent="0.25">
      <c r="A453">
        <v>100108</v>
      </c>
      <c r="B453" t="s">
        <v>847</v>
      </c>
      <c r="C453" t="s">
        <v>22</v>
      </c>
      <c r="D453" t="s">
        <v>848</v>
      </c>
      <c r="E453" t="s">
        <v>849</v>
      </c>
      <c r="F453" t="s">
        <v>2627</v>
      </c>
      <c r="H453" t="s">
        <v>83</v>
      </c>
      <c r="I453">
        <v>0</v>
      </c>
      <c r="J453">
        <v>612</v>
      </c>
      <c r="K453" t="s">
        <v>19</v>
      </c>
      <c r="L453" t="s">
        <v>26</v>
      </c>
    </row>
    <row r="454" spans="1:12" x14ac:dyDescent="0.25">
      <c r="A454">
        <v>100420</v>
      </c>
      <c r="B454" t="s">
        <v>196</v>
      </c>
      <c r="C454" t="s">
        <v>152</v>
      </c>
      <c r="D454" t="s">
        <v>850</v>
      </c>
      <c r="E454" t="s">
        <v>851</v>
      </c>
      <c r="F454" t="s">
        <v>2613</v>
      </c>
      <c r="G454" t="s">
        <v>2682</v>
      </c>
      <c r="H454" t="s">
        <v>83</v>
      </c>
      <c r="I454">
        <v>0</v>
      </c>
      <c r="J454">
        <v>405</v>
      </c>
      <c r="K454" t="s">
        <v>45</v>
      </c>
      <c r="L454" t="s">
        <v>20</v>
      </c>
    </row>
    <row r="455" spans="1:12" x14ac:dyDescent="0.25">
      <c r="A455">
        <v>101384</v>
      </c>
      <c r="B455" t="s">
        <v>474</v>
      </c>
      <c r="C455" t="s">
        <v>270</v>
      </c>
      <c r="D455" t="s">
        <v>624</v>
      </c>
      <c r="E455" t="s">
        <v>852</v>
      </c>
      <c r="F455" t="s">
        <v>2616</v>
      </c>
      <c r="G455" t="s">
        <v>81</v>
      </c>
      <c r="H455" t="s">
        <v>2597</v>
      </c>
      <c r="I455">
        <v>20</v>
      </c>
      <c r="J455">
        <v>483</v>
      </c>
      <c r="K455" t="s">
        <v>19</v>
      </c>
      <c r="L455" t="s">
        <v>2588</v>
      </c>
    </row>
    <row r="456" spans="1:12" x14ac:dyDescent="0.25">
      <c r="A456">
        <v>101480</v>
      </c>
      <c r="B456" t="s">
        <v>355</v>
      </c>
      <c r="C456" t="s">
        <v>244</v>
      </c>
      <c r="D456" t="s">
        <v>853</v>
      </c>
      <c r="E456" t="s">
        <v>2909</v>
      </c>
      <c r="F456" t="s">
        <v>2590</v>
      </c>
      <c r="G456" t="s">
        <v>2580</v>
      </c>
      <c r="H456" t="s">
        <v>2630</v>
      </c>
      <c r="I456">
        <v>12</v>
      </c>
      <c r="J456">
        <v>746</v>
      </c>
      <c r="K456" t="s">
        <v>19</v>
      </c>
      <c r="L456" t="s">
        <v>2582</v>
      </c>
    </row>
    <row r="457" spans="1:12" x14ac:dyDescent="0.25">
      <c r="A457">
        <v>100079</v>
      </c>
      <c r="B457" t="s">
        <v>269</v>
      </c>
      <c r="C457" t="s">
        <v>270</v>
      </c>
      <c r="D457" t="s">
        <v>571</v>
      </c>
      <c r="E457" t="s">
        <v>2910</v>
      </c>
      <c r="F457" t="s">
        <v>2604</v>
      </c>
      <c r="H457" t="s">
        <v>2630</v>
      </c>
      <c r="I457">
        <v>13</v>
      </c>
      <c r="J457">
        <v>515</v>
      </c>
      <c r="K457" t="s">
        <v>37</v>
      </c>
      <c r="L457" t="s">
        <v>2582</v>
      </c>
    </row>
    <row r="458" spans="1:12" x14ac:dyDescent="0.25">
      <c r="A458">
        <v>102087</v>
      </c>
      <c r="B458" t="s">
        <v>595</v>
      </c>
      <c r="C458" t="s">
        <v>22</v>
      </c>
      <c r="D458" t="s">
        <v>854</v>
      </c>
      <c r="E458" t="s">
        <v>2911</v>
      </c>
      <c r="F458" t="s">
        <v>41</v>
      </c>
      <c r="G458" t="s">
        <v>2607</v>
      </c>
      <c r="H458" t="s">
        <v>2581</v>
      </c>
      <c r="I458">
        <v>0</v>
      </c>
      <c r="J458">
        <v>372</v>
      </c>
      <c r="K458" t="s">
        <v>32</v>
      </c>
      <c r="L458" t="s">
        <v>20</v>
      </c>
    </row>
    <row r="459" spans="1:12" x14ac:dyDescent="0.25">
      <c r="A459">
        <v>101907</v>
      </c>
      <c r="B459" t="s">
        <v>402</v>
      </c>
      <c r="C459" t="s">
        <v>95</v>
      </c>
      <c r="D459" t="s">
        <v>855</v>
      </c>
      <c r="E459" t="s">
        <v>2912</v>
      </c>
      <c r="F459" t="s">
        <v>2643</v>
      </c>
      <c r="H459" t="s">
        <v>2620</v>
      </c>
      <c r="I459">
        <v>0</v>
      </c>
      <c r="J459">
        <v>355</v>
      </c>
      <c r="K459" t="s">
        <v>19</v>
      </c>
      <c r="L459" t="s">
        <v>26</v>
      </c>
    </row>
    <row r="460" spans="1:12" x14ac:dyDescent="0.25">
      <c r="A460">
        <v>100314</v>
      </c>
      <c r="B460" t="s">
        <v>592</v>
      </c>
      <c r="C460" t="s">
        <v>47</v>
      </c>
      <c r="D460" t="s">
        <v>856</v>
      </c>
      <c r="E460" t="s">
        <v>2913</v>
      </c>
      <c r="F460" t="s">
        <v>2613</v>
      </c>
      <c r="G460" t="s">
        <v>2591</v>
      </c>
      <c r="H460" t="s">
        <v>2618</v>
      </c>
      <c r="I460">
        <v>0</v>
      </c>
      <c r="J460">
        <v>332</v>
      </c>
      <c r="K460" t="s">
        <v>19</v>
      </c>
      <c r="L460" t="s">
        <v>2588</v>
      </c>
    </row>
    <row r="461" spans="1:12" x14ac:dyDescent="0.25">
      <c r="A461">
        <v>100408</v>
      </c>
      <c r="B461" t="s">
        <v>121</v>
      </c>
      <c r="C461" t="s">
        <v>122</v>
      </c>
      <c r="D461" t="s">
        <v>857</v>
      </c>
      <c r="E461" t="s">
        <v>2914</v>
      </c>
      <c r="F461" t="s">
        <v>2590</v>
      </c>
      <c r="G461" t="s">
        <v>2617</v>
      </c>
      <c r="H461" t="s">
        <v>2630</v>
      </c>
      <c r="I461">
        <v>15</v>
      </c>
      <c r="J461">
        <v>823</v>
      </c>
      <c r="K461" t="s">
        <v>45</v>
      </c>
      <c r="L461" t="s">
        <v>20</v>
      </c>
    </row>
    <row r="462" spans="1:12" x14ac:dyDescent="0.25">
      <c r="A462">
        <v>100999</v>
      </c>
      <c r="B462" t="s">
        <v>286</v>
      </c>
      <c r="C462" t="s">
        <v>168</v>
      </c>
      <c r="D462" t="s">
        <v>858</v>
      </c>
      <c r="E462" t="s">
        <v>859</v>
      </c>
      <c r="F462" t="s">
        <v>2643</v>
      </c>
      <c r="G462" t="s">
        <v>2596</v>
      </c>
      <c r="H462" t="s">
        <v>25</v>
      </c>
      <c r="I462">
        <v>25</v>
      </c>
      <c r="J462">
        <v>434</v>
      </c>
      <c r="L462" t="s">
        <v>20</v>
      </c>
    </row>
    <row r="463" spans="1:12" x14ac:dyDescent="0.25">
      <c r="A463">
        <v>102174</v>
      </c>
      <c r="B463" t="s">
        <v>860</v>
      </c>
      <c r="C463" t="s">
        <v>152</v>
      </c>
      <c r="D463" t="s">
        <v>139</v>
      </c>
      <c r="E463" t="s">
        <v>2915</v>
      </c>
      <c r="F463" t="s">
        <v>2646</v>
      </c>
      <c r="G463" t="s">
        <v>2633</v>
      </c>
      <c r="H463" t="s">
        <v>83</v>
      </c>
      <c r="I463">
        <v>0</v>
      </c>
      <c r="J463">
        <v>651</v>
      </c>
      <c r="K463" t="s">
        <v>32</v>
      </c>
      <c r="L463" t="s">
        <v>26</v>
      </c>
    </row>
    <row r="464" spans="1:12" x14ac:dyDescent="0.25">
      <c r="A464">
        <v>100473</v>
      </c>
      <c r="B464" t="s">
        <v>280</v>
      </c>
      <c r="C464" t="s">
        <v>187</v>
      </c>
      <c r="D464" t="s">
        <v>789</v>
      </c>
      <c r="E464" t="s">
        <v>861</v>
      </c>
      <c r="F464" t="s">
        <v>50</v>
      </c>
      <c r="G464" t="s">
        <v>2617</v>
      </c>
      <c r="H464" t="s">
        <v>2620</v>
      </c>
      <c r="I464">
        <v>0</v>
      </c>
      <c r="J464">
        <v>621</v>
      </c>
      <c r="K464" t="s">
        <v>37</v>
      </c>
      <c r="L464" t="s">
        <v>20</v>
      </c>
    </row>
    <row r="465" spans="1:12" x14ac:dyDescent="0.25">
      <c r="A465">
        <v>100190</v>
      </c>
      <c r="B465" t="s">
        <v>667</v>
      </c>
      <c r="C465" t="s">
        <v>122</v>
      </c>
      <c r="D465" t="s">
        <v>862</v>
      </c>
      <c r="E465" t="s">
        <v>2916</v>
      </c>
      <c r="F465" t="s">
        <v>2648</v>
      </c>
      <c r="G465" t="s">
        <v>2614</v>
      </c>
      <c r="H465" t="s">
        <v>2581</v>
      </c>
      <c r="J465">
        <v>896</v>
      </c>
      <c r="K465" t="s">
        <v>56</v>
      </c>
      <c r="L465" t="s">
        <v>2588</v>
      </c>
    </row>
    <row r="466" spans="1:12" x14ac:dyDescent="0.25">
      <c r="A466">
        <v>101668</v>
      </c>
      <c r="B466" t="s">
        <v>610</v>
      </c>
      <c r="C466" t="s">
        <v>126</v>
      </c>
      <c r="D466" t="s">
        <v>387</v>
      </c>
      <c r="E466" t="s">
        <v>2917</v>
      </c>
      <c r="F466" t="s">
        <v>2613</v>
      </c>
      <c r="G466" t="s">
        <v>2617</v>
      </c>
      <c r="H466" t="s">
        <v>18</v>
      </c>
      <c r="I466">
        <v>0</v>
      </c>
      <c r="J466">
        <v>315</v>
      </c>
      <c r="K466" t="s">
        <v>56</v>
      </c>
      <c r="L466" t="s">
        <v>26</v>
      </c>
    </row>
    <row r="467" spans="1:12" x14ac:dyDescent="0.25">
      <c r="A467">
        <v>100941</v>
      </c>
      <c r="B467" t="s">
        <v>863</v>
      </c>
      <c r="C467" t="s">
        <v>39</v>
      </c>
      <c r="D467" t="s">
        <v>746</v>
      </c>
      <c r="E467" t="s">
        <v>864</v>
      </c>
      <c r="F467" t="s">
        <v>2593</v>
      </c>
      <c r="G467" t="s">
        <v>2584</v>
      </c>
      <c r="H467" t="s">
        <v>2644</v>
      </c>
      <c r="I467">
        <v>0</v>
      </c>
      <c r="J467">
        <v>427</v>
      </c>
      <c r="K467" t="s">
        <v>56</v>
      </c>
      <c r="L467" t="s">
        <v>2582</v>
      </c>
    </row>
    <row r="468" spans="1:12" x14ac:dyDescent="0.25">
      <c r="A468">
        <v>100434</v>
      </c>
      <c r="B468" t="s">
        <v>89</v>
      </c>
      <c r="C468" t="s">
        <v>72</v>
      </c>
      <c r="D468" t="s">
        <v>279</v>
      </c>
      <c r="E468" t="s">
        <v>865</v>
      </c>
      <c r="F468" t="s">
        <v>2627</v>
      </c>
      <c r="G468" t="s">
        <v>2635</v>
      </c>
      <c r="H468" t="s">
        <v>2620</v>
      </c>
      <c r="I468">
        <v>0</v>
      </c>
      <c r="J468">
        <v>358</v>
      </c>
      <c r="K468" t="s">
        <v>45</v>
      </c>
      <c r="L468" t="s">
        <v>2588</v>
      </c>
    </row>
    <row r="469" spans="1:12" x14ac:dyDescent="0.25">
      <c r="A469">
        <v>100153</v>
      </c>
      <c r="B469" t="s">
        <v>866</v>
      </c>
      <c r="C469" t="s">
        <v>168</v>
      </c>
      <c r="D469" t="s">
        <v>867</v>
      </c>
      <c r="E469" t="s">
        <v>868</v>
      </c>
      <c r="F469" t="s">
        <v>2629</v>
      </c>
      <c r="G469" t="s">
        <v>2635</v>
      </c>
      <c r="H469" t="s">
        <v>2587</v>
      </c>
      <c r="I469">
        <v>0</v>
      </c>
      <c r="J469">
        <v>458</v>
      </c>
      <c r="K469" t="s">
        <v>56</v>
      </c>
      <c r="L469" t="s">
        <v>26</v>
      </c>
    </row>
    <row r="470" spans="1:12" x14ac:dyDescent="0.25">
      <c r="A470">
        <v>100929</v>
      </c>
      <c r="B470" t="s">
        <v>563</v>
      </c>
      <c r="C470" t="s">
        <v>58</v>
      </c>
      <c r="D470" t="s">
        <v>869</v>
      </c>
      <c r="E470" t="s">
        <v>870</v>
      </c>
      <c r="F470" t="s">
        <v>2604</v>
      </c>
      <c r="G470" t="s">
        <v>2602</v>
      </c>
      <c r="H470" t="s">
        <v>25</v>
      </c>
      <c r="I470">
        <v>14</v>
      </c>
      <c r="J470">
        <v>893</v>
      </c>
      <c r="K470" t="s">
        <v>56</v>
      </c>
      <c r="L470" t="s">
        <v>26</v>
      </c>
    </row>
    <row r="471" spans="1:12" x14ac:dyDescent="0.25">
      <c r="A471">
        <v>100663</v>
      </c>
      <c r="B471" t="s">
        <v>160</v>
      </c>
      <c r="C471" t="s">
        <v>2621</v>
      </c>
      <c r="D471" t="s">
        <v>871</v>
      </c>
      <c r="E471" t="s">
        <v>2918</v>
      </c>
      <c r="F471" t="s">
        <v>2608</v>
      </c>
      <c r="G471" t="s">
        <v>2584</v>
      </c>
      <c r="H471" t="s">
        <v>2618</v>
      </c>
      <c r="I471">
        <v>0</v>
      </c>
      <c r="J471">
        <v>585</v>
      </c>
      <c r="K471" t="s">
        <v>32</v>
      </c>
      <c r="L471" t="s">
        <v>20</v>
      </c>
    </row>
    <row r="472" spans="1:12" x14ac:dyDescent="0.25">
      <c r="A472">
        <v>101171</v>
      </c>
      <c r="B472" t="s">
        <v>409</v>
      </c>
      <c r="C472" t="s">
        <v>187</v>
      </c>
      <c r="D472" t="s">
        <v>363</v>
      </c>
      <c r="E472" t="s">
        <v>872</v>
      </c>
      <c r="F472" t="s">
        <v>2579</v>
      </c>
      <c r="G472" t="s">
        <v>2614</v>
      </c>
      <c r="H472" t="s">
        <v>2644</v>
      </c>
      <c r="I472">
        <v>0</v>
      </c>
      <c r="J472">
        <v>694</v>
      </c>
      <c r="K472" t="s">
        <v>19</v>
      </c>
      <c r="L472" t="s">
        <v>20</v>
      </c>
    </row>
    <row r="473" spans="1:12" x14ac:dyDescent="0.25">
      <c r="A473">
        <v>100212</v>
      </c>
      <c r="B473" t="s">
        <v>371</v>
      </c>
      <c r="C473" t="s">
        <v>52</v>
      </c>
      <c r="D473" t="s">
        <v>873</v>
      </c>
      <c r="E473" t="s">
        <v>2919</v>
      </c>
      <c r="F473" t="s">
        <v>2579</v>
      </c>
      <c r="G473" t="s">
        <v>55</v>
      </c>
      <c r="H473" t="s">
        <v>25</v>
      </c>
      <c r="I473">
        <v>14</v>
      </c>
      <c r="J473">
        <v>339</v>
      </c>
      <c r="K473" t="s">
        <v>37</v>
      </c>
      <c r="L473" t="s">
        <v>26</v>
      </c>
    </row>
    <row r="474" spans="1:12" x14ac:dyDescent="0.25">
      <c r="A474">
        <v>100937</v>
      </c>
      <c r="B474" t="s">
        <v>184</v>
      </c>
      <c r="C474" t="s">
        <v>62</v>
      </c>
      <c r="E474" t="s">
        <v>874</v>
      </c>
      <c r="F474" t="s">
        <v>2613</v>
      </c>
      <c r="G474" t="s">
        <v>2609</v>
      </c>
      <c r="H474" t="s">
        <v>2585</v>
      </c>
      <c r="I474">
        <v>30</v>
      </c>
      <c r="J474">
        <v>571</v>
      </c>
      <c r="K474" t="s">
        <v>45</v>
      </c>
      <c r="L474" t="s">
        <v>26</v>
      </c>
    </row>
    <row r="475" spans="1:12" x14ac:dyDescent="0.25">
      <c r="A475">
        <v>100196</v>
      </c>
      <c r="B475" t="s">
        <v>875</v>
      </c>
      <c r="C475" t="s">
        <v>72</v>
      </c>
      <c r="D475" t="s">
        <v>876</v>
      </c>
      <c r="E475" t="s">
        <v>2920</v>
      </c>
      <c r="F475" t="s">
        <v>2616</v>
      </c>
      <c r="G475" t="s">
        <v>2635</v>
      </c>
      <c r="H475" t="s">
        <v>83</v>
      </c>
      <c r="J475">
        <v>678</v>
      </c>
      <c r="K475" t="s">
        <v>32</v>
      </c>
      <c r="L475" t="s">
        <v>26</v>
      </c>
    </row>
    <row r="476" spans="1:12" x14ac:dyDescent="0.25">
      <c r="A476">
        <v>100271</v>
      </c>
      <c r="B476" t="s">
        <v>184</v>
      </c>
      <c r="C476" t="s">
        <v>62</v>
      </c>
      <c r="D476" t="s">
        <v>490</v>
      </c>
      <c r="E476" t="s">
        <v>2921</v>
      </c>
      <c r="F476" t="s">
        <v>2613</v>
      </c>
      <c r="G476" t="s">
        <v>2602</v>
      </c>
      <c r="H476" t="s">
        <v>2620</v>
      </c>
      <c r="I476">
        <v>0</v>
      </c>
      <c r="J476">
        <v>571</v>
      </c>
      <c r="K476" t="s">
        <v>45</v>
      </c>
      <c r="L476" t="s">
        <v>20</v>
      </c>
    </row>
    <row r="477" spans="1:12" x14ac:dyDescent="0.25">
      <c r="A477">
        <v>100413</v>
      </c>
      <c r="B477" t="s">
        <v>396</v>
      </c>
      <c r="C477" t="s">
        <v>103</v>
      </c>
      <c r="D477" t="s">
        <v>877</v>
      </c>
      <c r="E477" t="s">
        <v>878</v>
      </c>
      <c r="F477" t="s">
        <v>30</v>
      </c>
      <c r="G477" t="s">
        <v>2591</v>
      </c>
      <c r="H477" t="s">
        <v>2620</v>
      </c>
      <c r="I477">
        <v>0</v>
      </c>
      <c r="J477">
        <v>437</v>
      </c>
      <c r="K477" t="s">
        <v>32</v>
      </c>
      <c r="L477" t="s">
        <v>20</v>
      </c>
    </row>
    <row r="478" spans="1:12" x14ac:dyDescent="0.25">
      <c r="A478">
        <v>101595</v>
      </c>
      <c r="B478" t="s">
        <v>409</v>
      </c>
      <c r="C478" t="s">
        <v>187</v>
      </c>
      <c r="D478" t="s">
        <v>752</v>
      </c>
      <c r="E478" t="s">
        <v>879</v>
      </c>
      <c r="F478" t="s">
        <v>2613</v>
      </c>
      <c r="G478" t="s">
        <v>2602</v>
      </c>
      <c r="H478" t="s">
        <v>2618</v>
      </c>
      <c r="I478">
        <v>0</v>
      </c>
      <c r="J478">
        <v>694</v>
      </c>
      <c r="K478" t="s">
        <v>56</v>
      </c>
      <c r="L478" t="s">
        <v>26</v>
      </c>
    </row>
    <row r="479" spans="1:12" x14ac:dyDescent="0.25">
      <c r="A479">
        <v>100204</v>
      </c>
      <c r="B479" t="s">
        <v>382</v>
      </c>
      <c r="C479" t="s">
        <v>152</v>
      </c>
      <c r="D479" t="s">
        <v>880</v>
      </c>
      <c r="E479" t="s">
        <v>881</v>
      </c>
      <c r="F479" t="s">
        <v>50</v>
      </c>
      <c r="G479" t="s">
        <v>2584</v>
      </c>
      <c r="H479" t="s">
        <v>2587</v>
      </c>
      <c r="I479">
        <v>0</v>
      </c>
      <c r="J479">
        <v>797</v>
      </c>
      <c r="L479" t="s">
        <v>26</v>
      </c>
    </row>
    <row r="480" spans="1:12" x14ac:dyDescent="0.25">
      <c r="A480">
        <v>100233</v>
      </c>
      <c r="B480" t="s">
        <v>222</v>
      </c>
      <c r="C480" t="s">
        <v>100</v>
      </c>
      <c r="D480" t="s">
        <v>707</v>
      </c>
      <c r="E480" t="s">
        <v>882</v>
      </c>
      <c r="F480" t="s">
        <v>2583</v>
      </c>
      <c r="G480" t="s">
        <v>2614</v>
      </c>
      <c r="H480" t="s">
        <v>2587</v>
      </c>
      <c r="I480">
        <v>0</v>
      </c>
      <c r="J480">
        <v>585</v>
      </c>
      <c r="K480" t="s">
        <v>32</v>
      </c>
      <c r="L480" t="s">
        <v>2582</v>
      </c>
    </row>
    <row r="481" spans="1:12" x14ac:dyDescent="0.25">
      <c r="A481">
        <v>101583</v>
      </c>
      <c r="B481" t="s">
        <v>358</v>
      </c>
      <c r="C481" t="s">
        <v>110</v>
      </c>
      <c r="D481" t="s">
        <v>883</v>
      </c>
      <c r="E481" t="s">
        <v>884</v>
      </c>
      <c r="F481" t="s">
        <v>50</v>
      </c>
      <c r="G481" t="s">
        <v>2635</v>
      </c>
      <c r="H481" t="s">
        <v>83</v>
      </c>
      <c r="I481">
        <v>0</v>
      </c>
      <c r="J481">
        <v>481</v>
      </c>
      <c r="K481" t="s">
        <v>32</v>
      </c>
      <c r="L481" t="s">
        <v>2588</v>
      </c>
    </row>
    <row r="482" spans="1:12" x14ac:dyDescent="0.25">
      <c r="A482">
        <v>100822</v>
      </c>
      <c r="B482" t="s">
        <v>794</v>
      </c>
      <c r="C482" t="s">
        <v>52</v>
      </c>
      <c r="D482" t="s">
        <v>885</v>
      </c>
      <c r="E482" t="s">
        <v>2922</v>
      </c>
      <c r="F482" t="s">
        <v>64</v>
      </c>
      <c r="G482" t="s">
        <v>2609</v>
      </c>
      <c r="H482" t="s">
        <v>2620</v>
      </c>
      <c r="J482">
        <v>733</v>
      </c>
      <c r="K482" t="s">
        <v>37</v>
      </c>
      <c r="L482" t="s">
        <v>2588</v>
      </c>
    </row>
    <row r="483" spans="1:12" x14ac:dyDescent="0.25">
      <c r="A483">
        <v>101484</v>
      </c>
      <c r="B483" t="s">
        <v>259</v>
      </c>
      <c r="C483" t="s">
        <v>218</v>
      </c>
      <c r="D483" t="s">
        <v>886</v>
      </c>
      <c r="E483" t="s">
        <v>887</v>
      </c>
      <c r="F483" t="s">
        <v>64</v>
      </c>
      <c r="G483" t="s">
        <v>60</v>
      </c>
      <c r="H483" t="s">
        <v>83</v>
      </c>
      <c r="I483">
        <v>0</v>
      </c>
      <c r="J483">
        <v>732</v>
      </c>
      <c r="K483" t="s">
        <v>37</v>
      </c>
      <c r="L483" t="s">
        <v>2588</v>
      </c>
    </row>
    <row r="484" spans="1:12" x14ac:dyDescent="0.25">
      <c r="A484">
        <v>101405</v>
      </c>
      <c r="B484" t="s">
        <v>493</v>
      </c>
      <c r="C484" t="s">
        <v>152</v>
      </c>
      <c r="D484" t="s">
        <v>888</v>
      </c>
      <c r="E484" t="s">
        <v>2923</v>
      </c>
      <c r="F484" t="s">
        <v>2646</v>
      </c>
      <c r="G484" t="s">
        <v>2611</v>
      </c>
      <c r="H484" t="s">
        <v>2620</v>
      </c>
      <c r="I484">
        <v>0</v>
      </c>
      <c r="J484">
        <v>737</v>
      </c>
      <c r="K484" t="s">
        <v>19</v>
      </c>
      <c r="L484" t="s">
        <v>26</v>
      </c>
    </row>
    <row r="485" spans="1:12" x14ac:dyDescent="0.25">
      <c r="A485">
        <v>101026</v>
      </c>
      <c r="B485" t="s">
        <v>307</v>
      </c>
      <c r="C485" t="s">
        <v>58</v>
      </c>
      <c r="D485" t="s">
        <v>889</v>
      </c>
      <c r="F485" t="s">
        <v>2654</v>
      </c>
      <c r="G485" t="s">
        <v>2635</v>
      </c>
      <c r="H485" t="s">
        <v>2620</v>
      </c>
      <c r="I485">
        <v>0</v>
      </c>
      <c r="J485">
        <v>616</v>
      </c>
      <c r="K485" t="s">
        <v>56</v>
      </c>
      <c r="L485" t="s">
        <v>20</v>
      </c>
    </row>
    <row r="486" spans="1:12" x14ac:dyDescent="0.25">
      <c r="A486">
        <v>100866</v>
      </c>
      <c r="B486" t="s">
        <v>890</v>
      </c>
      <c r="C486" t="s">
        <v>149</v>
      </c>
      <c r="D486" t="s">
        <v>517</v>
      </c>
      <c r="E486" t="s">
        <v>2924</v>
      </c>
      <c r="F486" t="s">
        <v>2654</v>
      </c>
      <c r="G486" t="s">
        <v>2658</v>
      </c>
      <c r="H486" t="s">
        <v>18</v>
      </c>
      <c r="I486">
        <v>0</v>
      </c>
      <c r="J486">
        <v>733</v>
      </c>
      <c r="K486" t="s">
        <v>19</v>
      </c>
      <c r="L486" t="s">
        <v>26</v>
      </c>
    </row>
    <row r="487" spans="1:12" x14ac:dyDescent="0.25">
      <c r="A487">
        <v>100723</v>
      </c>
      <c r="B487" t="s">
        <v>27</v>
      </c>
      <c r="D487" t="s">
        <v>891</v>
      </c>
      <c r="E487" t="s">
        <v>892</v>
      </c>
      <c r="F487" t="s">
        <v>2583</v>
      </c>
      <c r="G487" t="s">
        <v>81</v>
      </c>
      <c r="H487" t="s">
        <v>83</v>
      </c>
      <c r="I487">
        <v>0</v>
      </c>
      <c r="J487">
        <v>849</v>
      </c>
      <c r="K487" t="s">
        <v>37</v>
      </c>
      <c r="L487" t="s">
        <v>26</v>
      </c>
    </row>
    <row r="488" spans="1:12" x14ac:dyDescent="0.25">
      <c r="A488">
        <v>100234</v>
      </c>
      <c r="B488" t="s">
        <v>294</v>
      </c>
      <c r="C488" t="s">
        <v>100</v>
      </c>
      <c r="D488" t="s">
        <v>893</v>
      </c>
      <c r="E488" t="s">
        <v>894</v>
      </c>
      <c r="F488" t="s">
        <v>2579</v>
      </c>
      <c r="G488" t="s">
        <v>81</v>
      </c>
      <c r="H488" t="s">
        <v>2597</v>
      </c>
      <c r="I488">
        <v>21</v>
      </c>
      <c r="J488">
        <v>377</v>
      </c>
      <c r="K488" t="s">
        <v>45</v>
      </c>
      <c r="L488" t="s">
        <v>2588</v>
      </c>
    </row>
    <row r="489" spans="1:12" x14ac:dyDescent="0.25">
      <c r="A489">
        <v>100026</v>
      </c>
      <c r="B489" t="s">
        <v>895</v>
      </c>
      <c r="C489" t="s">
        <v>72</v>
      </c>
      <c r="D489" t="s">
        <v>896</v>
      </c>
      <c r="E489" t="s">
        <v>2925</v>
      </c>
      <c r="F489" t="s">
        <v>41</v>
      </c>
      <c r="G489" t="s">
        <v>2614</v>
      </c>
      <c r="H489" t="s">
        <v>2581</v>
      </c>
      <c r="I489">
        <v>0</v>
      </c>
      <c r="J489">
        <v>470</v>
      </c>
      <c r="K489" t="s">
        <v>32</v>
      </c>
      <c r="L489" t="s">
        <v>2582</v>
      </c>
    </row>
    <row r="490" spans="1:12" x14ac:dyDescent="0.25">
      <c r="A490">
        <v>102171</v>
      </c>
      <c r="B490" t="s">
        <v>184</v>
      </c>
      <c r="C490" t="s">
        <v>62</v>
      </c>
      <c r="D490" t="s">
        <v>897</v>
      </c>
      <c r="E490" t="s">
        <v>898</v>
      </c>
      <c r="F490" t="s">
        <v>2613</v>
      </c>
      <c r="G490" t="s">
        <v>55</v>
      </c>
      <c r="H490" t="s">
        <v>2581</v>
      </c>
      <c r="I490">
        <v>0</v>
      </c>
      <c r="J490">
        <v>571</v>
      </c>
      <c r="K490" t="s">
        <v>45</v>
      </c>
      <c r="L490" t="s">
        <v>2588</v>
      </c>
    </row>
    <row r="491" spans="1:12" x14ac:dyDescent="0.25">
      <c r="A491">
        <v>102065</v>
      </c>
      <c r="B491" t="s">
        <v>734</v>
      </c>
      <c r="C491" t="s">
        <v>218</v>
      </c>
      <c r="D491" t="s">
        <v>855</v>
      </c>
      <c r="E491" t="s">
        <v>2926</v>
      </c>
      <c r="F491" t="s">
        <v>2613</v>
      </c>
      <c r="G491" t="s">
        <v>2609</v>
      </c>
      <c r="H491" t="s">
        <v>2581</v>
      </c>
      <c r="J491">
        <v>865</v>
      </c>
      <c r="K491" t="s">
        <v>56</v>
      </c>
      <c r="L491" t="s">
        <v>2582</v>
      </c>
    </row>
    <row r="492" spans="1:12" x14ac:dyDescent="0.25">
      <c r="A492">
        <v>100351</v>
      </c>
      <c r="B492" t="s">
        <v>420</v>
      </c>
      <c r="C492" t="s">
        <v>72</v>
      </c>
      <c r="D492" t="s">
        <v>899</v>
      </c>
      <c r="E492" t="s">
        <v>900</v>
      </c>
      <c r="F492" t="s">
        <v>2640</v>
      </c>
      <c r="G492" t="s">
        <v>2580</v>
      </c>
      <c r="H492" t="s">
        <v>2623</v>
      </c>
      <c r="I492">
        <v>162</v>
      </c>
      <c r="J492">
        <v>418</v>
      </c>
      <c r="K492" t="s">
        <v>56</v>
      </c>
      <c r="L492" t="s">
        <v>26</v>
      </c>
    </row>
    <row r="493" spans="1:12" x14ac:dyDescent="0.25">
      <c r="A493">
        <v>100029</v>
      </c>
      <c r="B493" t="s">
        <v>860</v>
      </c>
      <c r="C493" t="s">
        <v>152</v>
      </c>
      <c r="D493" t="s">
        <v>901</v>
      </c>
      <c r="E493" t="s">
        <v>902</v>
      </c>
      <c r="F493" t="s">
        <v>2616</v>
      </c>
      <c r="G493" t="s">
        <v>81</v>
      </c>
      <c r="H493" t="s">
        <v>2594</v>
      </c>
      <c r="I493">
        <v>48</v>
      </c>
      <c r="J493">
        <v>651</v>
      </c>
      <c r="L493" t="s">
        <v>26</v>
      </c>
    </row>
    <row r="494" spans="1:12" x14ac:dyDescent="0.25">
      <c r="A494">
        <v>101041</v>
      </c>
      <c r="B494" t="s">
        <v>102</v>
      </c>
      <c r="C494" t="s">
        <v>103</v>
      </c>
      <c r="D494" t="s">
        <v>903</v>
      </c>
      <c r="E494" t="s">
        <v>2927</v>
      </c>
      <c r="F494" t="s">
        <v>2641</v>
      </c>
      <c r="H494" t="s">
        <v>2597</v>
      </c>
      <c r="I494">
        <v>28</v>
      </c>
      <c r="J494">
        <v>733</v>
      </c>
      <c r="K494" t="s">
        <v>32</v>
      </c>
      <c r="L494" t="s">
        <v>2582</v>
      </c>
    </row>
    <row r="495" spans="1:12" x14ac:dyDescent="0.25">
      <c r="A495">
        <v>101350</v>
      </c>
      <c r="B495" t="s">
        <v>493</v>
      </c>
      <c r="C495" t="s">
        <v>152</v>
      </c>
      <c r="D495" t="s">
        <v>904</v>
      </c>
      <c r="E495" t="s">
        <v>2928</v>
      </c>
      <c r="F495" t="s">
        <v>2608</v>
      </c>
      <c r="G495" t="s">
        <v>81</v>
      </c>
      <c r="H495" t="s">
        <v>2585</v>
      </c>
      <c r="I495">
        <v>24</v>
      </c>
      <c r="J495">
        <v>737</v>
      </c>
      <c r="K495" t="s">
        <v>56</v>
      </c>
      <c r="L495" t="s">
        <v>26</v>
      </c>
    </row>
    <row r="496" spans="1:12" x14ac:dyDescent="0.25">
      <c r="A496">
        <v>100496</v>
      </c>
      <c r="B496" t="s">
        <v>438</v>
      </c>
      <c r="C496" t="s">
        <v>95</v>
      </c>
      <c r="D496" t="s">
        <v>675</v>
      </c>
      <c r="E496" t="s">
        <v>2929</v>
      </c>
      <c r="F496" t="s">
        <v>41</v>
      </c>
      <c r="G496" t="s">
        <v>2614</v>
      </c>
      <c r="H496" t="s">
        <v>2585</v>
      </c>
      <c r="I496">
        <v>11</v>
      </c>
      <c r="J496">
        <v>858</v>
      </c>
      <c r="K496" t="s">
        <v>37</v>
      </c>
      <c r="L496" t="s">
        <v>26</v>
      </c>
    </row>
    <row r="497" spans="1:12" x14ac:dyDescent="0.25">
      <c r="A497">
        <v>102106</v>
      </c>
      <c r="B497" t="s">
        <v>402</v>
      </c>
      <c r="C497" t="s">
        <v>2743</v>
      </c>
      <c r="D497" t="s">
        <v>311</v>
      </c>
      <c r="E497" t="s">
        <v>2930</v>
      </c>
      <c r="F497" t="s">
        <v>2616</v>
      </c>
      <c r="G497" t="s">
        <v>2602</v>
      </c>
      <c r="H497" t="s">
        <v>2587</v>
      </c>
      <c r="I497">
        <v>0</v>
      </c>
      <c r="J497">
        <v>355</v>
      </c>
      <c r="K497" t="s">
        <v>19</v>
      </c>
      <c r="L497" t="s">
        <v>26</v>
      </c>
    </row>
    <row r="498" spans="1:12" x14ac:dyDescent="0.25">
      <c r="A498">
        <v>100092</v>
      </c>
      <c r="B498" t="s">
        <v>905</v>
      </c>
      <c r="C498" t="s">
        <v>100</v>
      </c>
      <c r="D498" t="s">
        <v>906</v>
      </c>
      <c r="E498" t="s">
        <v>2931</v>
      </c>
      <c r="F498" t="s">
        <v>2608</v>
      </c>
      <c r="G498" t="s">
        <v>2617</v>
      </c>
      <c r="H498" t="s">
        <v>2587</v>
      </c>
      <c r="I498">
        <v>0</v>
      </c>
      <c r="J498">
        <v>325</v>
      </c>
      <c r="K498" t="s">
        <v>45</v>
      </c>
      <c r="L498" t="s">
        <v>20</v>
      </c>
    </row>
    <row r="499" spans="1:12" x14ac:dyDescent="0.25">
      <c r="A499">
        <v>101161</v>
      </c>
      <c r="B499" t="s">
        <v>27</v>
      </c>
      <c r="C499" t="s">
        <v>28</v>
      </c>
      <c r="D499" t="s">
        <v>308</v>
      </c>
      <c r="E499" t="s">
        <v>907</v>
      </c>
      <c r="F499" t="s">
        <v>30</v>
      </c>
      <c r="G499" t="s">
        <v>31</v>
      </c>
      <c r="H499" t="s">
        <v>2594</v>
      </c>
      <c r="I499">
        <v>53</v>
      </c>
      <c r="J499">
        <v>849</v>
      </c>
      <c r="K499" t="s">
        <v>56</v>
      </c>
      <c r="L499" t="s">
        <v>2582</v>
      </c>
    </row>
    <row r="500" spans="1:12" x14ac:dyDescent="0.25">
      <c r="A500">
        <v>101714</v>
      </c>
      <c r="B500" t="s">
        <v>908</v>
      </c>
      <c r="C500" t="s">
        <v>110</v>
      </c>
      <c r="D500" t="s">
        <v>909</v>
      </c>
      <c r="E500" t="s">
        <v>2932</v>
      </c>
      <c r="F500" t="s">
        <v>2613</v>
      </c>
      <c r="G500" t="s">
        <v>2625</v>
      </c>
      <c r="H500" t="s">
        <v>2581</v>
      </c>
      <c r="I500">
        <v>0</v>
      </c>
      <c r="J500">
        <v>550</v>
      </c>
      <c r="K500" t="s">
        <v>32</v>
      </c>
      <c r="L500" t="s">
        <v>26</v>
      </c>
    </row>
    <row r="501" spans="1:12" x14ac:dyDescent="0.25">
      <c r="A501">
        <v>101559</v>
      </c>
      <c r="B501" t="s">
        <v>61</v>
      </c>
      <c r="C501" t="s">
        <v>62</v>
      </c>
      <c r="D501" t="s">
        <v>910</v>
      </c>
      <c r="E501" t="s">
        <v>2933</v>
      </c>
      <c r="F501" t="s">
        <v>50</v>
      </c>
      <c r="G501" t="s">
        <v>2596</v>
      </c>
      <c r="H501" t="s">
        <v>2587</v>
      </c>
      <c r="I501">
        <v>0</v>
      </c>
      <c r="J501">
        <v>542</v>
      </c>
      <c r="K501" t="s">
        <v>37</v>
      </c>
      <c r="L501" t="s">
        <v>2588</v>
      </c>
    </row>
    <row r="502" spans="1:12" x14ac:dyDescent="0.25">
      <c r="A502">
        <v>102029</v>
      </c>
      <c r="B502" t="s">
        <v>890</v>
      </c>
      <c r="C502" t="s">
        <v>149</v>
      </c>
      <c r="D502" t="s">
        <v>911</v>
      </c>
      <c r="E502" t="s">
        <v>2934</v>
      </c>
      <c r="F502" t="s">
        <v>50</v>
      </c>
      <c r="G502" t="s">
        <v>2625</v>
      </c>
      <c r="H502" t="s">
        <v>83</v>
      </c>
      <c r="J502">
        <v>733</v>
      </c>
      <c r="K502" t="s">
        <v>19</v>
      </c>
      <c r="L502" t="s">
        <v>2582</v>
      </c>
    </row>
    <row r="503" spans="1:12" x14ac:dyDescent="0.25">
      <c r="A503">
        <v>101729</v>
      </c>
      <c r="B503" t="s">
        <v>510</v>
      </c>
      <c r="C503" t="s">
        <v>244</v>
      </c>
      <c r="D503" t="s">
        <v>912</v>
      </c>
      <c r="E503" t="s">
        <v>913</v>
      </c>
      <c r="F503" t="s">
        <v>2590</v>
      </c>
      <c r="G503" t="s">
        <v>2614</v>
      </c>
      <c r="H503" t="s">
        <v>25</v>
      </c>
      <c r="I503">
        <v>14</v>
      </c>
      <c r="J503">
        <v>411</v>
      </c>
      <c r="K503" t="s">
        <v>32</v>
      </c>
    </row>
    <row r="504" spans="1:12" x14ac:dyDescent="0.25">
      <c r="A504">
        <v>101614</v>
      </c>
      <c r="B504" t="s">
        <v>222</v>
      </c>
      <c r="C504" t="s">
        <v>100</v>
      </c>
      <c r="D504" t="s">
        <v>914</v>
      </c>
      <c r="E504" t="s">
        <v>915</v>
      </c>
      <c r="F504" t="s">
        <v>30</v>
      </c>
      <c r="G504" t="s">
        <v>2631</v>
      </c>
      <c r="H504" t="s">
        <v>18</v>
      </c>
      <c r="I504">
        <v>0</v>
      </c>
      <c r="J504">
        <v>585</v>
      </c>
      <c r="K504" t="s">
        <v>45</v>
      </c>
      <c r="L504" t="s">
        <v>2582</v>
      </c>
    </row>
    <row r="505" spans="1:12" x14ac:dyDescent="0.25">
      <c r="A505">
        <v>101293</v>
      </c>
      <c r="B505" t="s">
        <v>352</v>
      </c>
      <c r="C505" t="s">
        <v>2699</v>
      </c>
      <c r="D505" t="s">
        <v>400</v>
      </c>
      <c r="F505" t="s">
        <v>50</v>
      </c>
      <c r="G505" t="s">
        <v>31</v>
      </c>
      <c r="H505" t="s">
        <v>2587</v>
      </c>
      <c r="I505">
        <v>0</v>
      </c>
      <c r="J505">
        <v>778</v>
      </c>
      <c r="K505" t="s">
        <v>56</v>
      </c>
      <c r="L505" t="s">
        <v>20</v>
      </c>
    </row>
    <row r="506" spans="1:12" x14ac:dyDescent="0.25">
      <c r="A506">
        <v>101445</v>
      </c>
      <c r="B506" t="s">
        <v>510</v>
      </c>
      <c r="C506" t="s">
        <v>244</v>
      </c>
      <c r="D506" t="s">
        <v>916</v>
      </c>
      <c r="E506" t="s">
        <v>917</v>
      </c>
      <c r="F506" t="s">
        <v>2590</v>
      </c>
      <c r="G506" t="s">
        <v>2596</v>
      </c>
      <c r="H506" t="s">
        <v>18</v>
      </c>
      <c r="I506">
        <v>0</v>
      </c>
      <c r="J506">
        <v>411</v>
      </c>
      <c r="K506" t="s">
        <v>56</v>
      </c>
      <c r="L506" t="s">
        <v>2582</v>
      </c>
    </row>
    <row r="507" spans="1:12" x14ac:dyDescent="0.25">
      <c r="A507">
        <v>101196</v>
      </c>
      <c r="B507" t="s">
        <v>358</v>
      </c>
      <c r="C507" t="s">
        <v>110</v>
      </c>
      <c r="D507" t="s">
        <v>918</v>
      </c>
      <c r="E507" t="s">
        <v>919</v>
      </c>
      <c r="F507" t="s">
        <v>2643</v>
      </c>
      <c r="G507" t="s">
        <v>2580</v>
      </c>
      <c r="H507" t="s">
        <v>2623</v>
      </c>
      <c r="I507">
        <v>68</v>
      </c>
      <c r="J507">
        <v>481</v>
      </c>
      <c r="K507" t="s">
        <v>19</v>
      </c>
      <c r="L507" t="s">
        <v>20</v>
      </c>
    </row>
    <row r="508" spans="1:12" x14ac:dyDescent="0.25">
      <c r="A508">
        <v>102047</v>
      </c>
      <c r="B508" t="s">
        <v>734</v>
      </c>
      <c r="C508" t="s">
        <v>218</v>
      </c>
      <c r="D508" t="s">
        <v>792</v>
      </c>
      <c r="E508" t="s">
        <v>2935</v>
      </c>
      <c r="F508" t="s">
        <v>41</v>
      </c>
      <c r="G508" t="s">
        <v>2584</v>
      </c>
      <c r="H508" t="s">
        <v>18</v>
      </c>
      <c r="I508">
        <v>0</v>
      </c>
      <c r="J508">
        <v>865</v>
      </c>
      <c r="K508" t="s">
        <v>32</v>
      </c>
      <c r="L508" t="s">
        <v>2588</v>
      </c>
    </row>
    <row r="509" spans="1:12" x14ac:dyDescent="0.25">
      <c r="A509">
        <v>100432</v>
      </c>
      <c r="B509" t="s">
        <v>367</v>
      </c>
      <c r="C509" t="s">
        <v>103</v>
      </c>
      <c r="D509" t="s">
        <v>920</v>
      </c>
      <c r="E509" t="s">
        <v>2936</v>
      </c>
      <c r="F509" t="s">
        <v>2598</v>
      </c>
      <c r="G509" t="s">
        <v>81</v>
      </c>
      <c r="H509" t="s">
        <v>83</v>
      </c>
      <c r="I509">
        <v>0</v>
      </c>
      <c r="J509">
        <v>621</v>
      </c>
      <c r="K509" t="s">
        <v>37</v>
      </c>
      <c r="L509" t="s">
        <v>20</v>
      </c>
    </row>
    <row r="510" spans="1:12" x14ac:dyDescent="0.25">
      <c r="A510">
        <v>101765</v>
      </c>
      <c r="B510" t="s">
        <v>765</v>
      </c>
      <c r="C510" t="s">
        <v>22</v>
      </c>
      <c r="D510" t="s">
        <v>475</v>
      </c>
      <c r="E510" t="s">
        <v>921</v>
      </c>
      <c r="F510" t="s">
        <v>50</v>
      </c>
      <c r="G510" t="s">
        <v>2596</v>
      </c>
      <c r="H510" t="s">
        <v>2587</v>
      </c>
      <c r="I510">
        <v>0</v>
      </c>
      <c r="J510">
        <v>851</v>
      </c>
      <c r="K510" t="s">
        <v>32</v>
      </c>
      <c r="L510" t="s">
        <v>2582</v>
      </c>
    </row>
    <row r="511" spans="1:12" x14ac:dyDescent="0.25">
      <c r="A511">
        <v>101371</v>
      </c>
      <c r="B511" t="s">
        <v>425</v>
      </c>
      <c r="C511" t="s">
        <v>149</v>
      </c>
      <c r="D511" t="s">
        <v>922</v>
      </c>
      <c r="E511" t="s">
        <v>2937</v>
      </c>
      <c r="F511" t="s">
        <v>2608</v>
      </c>
      <c r="G511" t="s">
        <v>2614</v>
      </c>
      <c r="H511" t="s">
        <v>18</v>
      </c>
      <c r="I511">
        <v>0</v>
      </c>
      <c r="J511">
        <v>720</v>
      </c>
      <c r="K511" t="s">
        <v>45</v>
      </c>
      <c r="L511" t="s">
        <v>2582</v>
      </c>
    </row>
    <row r="512" spans="1:12" x14ac:dyDescent="0.25">
      <c r="A512">
        <v>101089</v>
      </c>
      <c r="B512" t="s">
        <v>510</v>
      </c>
      <c r="C512" t="s">
        <v>244</v>
      </c>
      <c r="D512" t="s">
        <v>923</v>
      </c>
      <c r="E512" t="s">
        <v>924</v>
      </c>
      <c r="F512" t="s">
        <v>2598</v>
      </c>
      <c r="G512" t="s">
        <v>2658</v>
      </c>
      <c r="H512" t="s">
        <v>2594</v>
      </c>
      <c r="I512">
        <v>83</v>
      </c>
      <c r="J512">
        <v>411</v>
      </c>
      <c r="K512" t="s">
        <v>56</v>
      </c>
      <c r="L512" t="s">
        <v>2582</v>
      </c>
    </row>
    <row r="513" spans="1:12" x14ac:dyDescent="0.25">
      <c r="A513">
        <v>100280</v>
      </c>
      <c r="B513" t="s">
        <v>545</v>
      </c>
      <c r="C513" t="s">
        <v>126</v>
      </c>
      <c r="D513" t="s">
        <v>724</v>
      </c>
      <c r="E513" t="s">
        <v>2938</v>
      </c>
      <c r="F513" t="s">
        <v>2604</v>
      </c>
      <c r="G513" t="s">
        <v>2596</v>
      </c>
      <c r="H513" t="s">
        <v>2581</v>
      </c>
      <c r="I513">
        <v>0</v>
      </c>
      <c r="J513">
        <v>494</v>
      </c>
      <c r="K513" t="s">
        <v>32</v>
      </c>
      <c r="L513" t="s">
        <v>20</v>
      </c>
    </row>
    <row r="514" spans="1:12" x14ac:dyDescent="0.25">
      <c r="A514">
        <v>100175</v>
      </c>
      <c r="B514" t="s">
        <v>84</v>
      </c>
      <c r="C514" t="s">
        <v>85</v>
      </c>
      <c r="D514" t="s">
        <v>925</v>
      </c>
      <c r="E514" t="s">
        <v>2939</v>
      </c>
      <c r="F514" t="s">
        <v>2613</v>
      </c>
      <c r="G514" t="s">
        <v>60</v>
      </c>
      <c r="H514" t="s">
        <v>18</v>
      </c>
      <c r="I514">
        <v>0</v>
      </c>
      <c r="J514">
        <v>400</v>
      </c>
      <c r="K514" t="s">
        <v>32</v>
      </c>
      <c r="L514" t="s">
        <v>20</v>
      </c>
    </row>
    <row r="515" spans="1:12" x14ac:dyDescent="0.25">
      <c r="A515">
        <v>101596</v>
      </c>
      <c r="B515" t="s">
        <v>207</v>
      </c>
      <c r="C515" t="s">
        <v>103</v>
      </c>
      <c r="D515" t="s">
        <v>926</v>
      </c>
      <c r="E515" t="s">
        <v>927</v>
      </c>
      <c r="F515" t="s">
        <v>2598</v>
      </c>
      <c r="G515" t="s">
        <v>2584</v>
      </c>
      <c r="H515" t="s">
        <v>2581</v>
      </c>
      <c r="J515">
        <v>360</v>
      </c>
      <c r="K515" t="s">
        <v>56</v>
      </c>
      <c r="L515" t="s">
        <v>2582</v>
      </c>
    </row>
    <row r="516" spans="1:12" x14ac:dyDescent="0.25">
      <c r="A516">
        <v>101381</v>
      </c>
      <c r="B516" t="s">
        <v>928</v>
      </c>
      <c r="C516" t="s">
        <v>2940</v>
      </c>
      <c r="D516" t="s">
        <v>929</v>
      </c>
      <c r="E516" t="s">
        <v>930</v>
      </c>
      <c r="F516" t="s">
        <v>2654</v>
      </c>
      <c r="G516" t="s">
        <v>2635</v>
      </c>
      <c r="H516" t="s">
        <v>2587</v>
      </c>
      <c r="I516">
        <v>0</v>
      </c>
      <c r="J516">
        <v>409</v>
      </c>
      <c r="K516" t="s">
        <v>37</v>
      </c>
      <c r="L516" t="s">
        <v>2588</v>
      </c>
    </row>
    <row r="517" spans="1:12" x14ac:dyDescent="0.25">
      <c r="A517">
        <v>100685</v>
      </c>
      <c r="B517" t="s">
        <v>812</v>
      </c>
      <c r="C517" t="s">
        <v>134</v>
      </c>
      <c r="D517" t="s">
        <v>931</v>
      </c>
      <c r="E517" t="s">
        <v>932</v>
      </c>
      <c r="F517" t="s">
        <v>30</v>
      </c>
      <c r="G517" t="s">
        <v>55</v>
      </c>
      <c r="H517" t="s">
        <v>2581</v>
      </c>
      <c r="I517">
        <v>0</v>
      </c>
      <c r="J517">
        <v>567</v>
      </c>
      <c r="K517" t="s">
        <v>45</v>
      </c>
      <c r="L517" t="s">
        <v>2582</v>
      </c>
    </row>
    <row r="518" spans="1:12" x14ac:dyDescent="0.25">
      <c r="A518">
        <v>100419</v>
      </c>
      <c r="B518" t="s">
        <v>322</v>
      </c>
      <c r="C518" t="s">
        <v>13</v>
      </c>
      <c r="D518" t="s">
        <v>933</v>
      </c>
      <c r="E518" t="s">
        <v>2941</v>
      </c>
      <c r="F518" t="s">
        <v>2646</v>
      </c>
      <c r="G518" t="s">
        <v>2631</v>
      </c>
      <c r="H518" t="s">
        <v>2618</v>
      </c>
      <c r="I518">
        <v>0</v>
      </c>
      <c r="J518">
        <v>623</v>
      </c>
      <c r="K518" t="s">
        <v>56</v>
      </c>
      <c r="L518" t="s">
        <v>26</v>
      </c>
    </row>
    <row r="519" spans="1:12" x14ac:dyDescent="0.25">
      <c r="A519">
        <v>101022</v>
      </c>
      <c r="B519" t="s">
        <v>563</v>
      </c>
      <c r="C519" t="s">
        <v>58</v>
      </c>
      <c r="D519" t="s">
        <v>934</v>
      </c>
      <c r="E519" t="s">
        <v>2942</v>
      </c>
      <c r="F519" t="s">
        <v>2598</v>
      </c>
      <c r="G519" t="s">
        <v>2602</v>
      </c>
      <c r="H519" t="s">
        <v>18</v>
      </c>
      <c r="I519">
        <v>0</v>
      </c>
      <c r="J519">
        <v>893</v>
      </c>
      <c r="K519" t="s">
        <v>45</v>
      </c>
      <c r="L519" t="s">
        <v>2582</v>
      </c>
    </row>
    <row r="520" spans="1:12" x14ac:dyDescent="0.25">
      <c r="A520">
        <v>100563</v>
      </c>
      <c r="B520" t="s">
        <v>136</v>
      </c>
      <c r="C520" t="s">
        <v>2728</v>
      </c>
      <c r="D520" t="s">
        <v>935</v>
      </c>
      <c r="E520" t="s">
        <v>2943</v>
      </c>
      <c r="F520" t="s">
        <v>2613</v>
      </c>
      <c r="G520" t="s">
        <v>2635</v>
      </c>
      <c r="H520" t="s">
        <v>2587</v>
      </c>
      <c r="I520">
        <v>0</v>
      </c>
      <c r="J520">
        <v>540</v>
      </c>
      <c r="K520" t="s">
        <v>19</v>
      </c>
      <c r="L520" t="s">
        <v>20</v>
      </c>
    </row>
    <row r="521" spans="1:12" x14ac:dyDescent="0.25">
      <c r="A521">
        <v>100455</v>
      </c>
      <c r="B521" t="s">
        <v>504</v>
      </c>
      <c r="C521" t="s">
        <v>2706</v>
      </c>
      <c r="D521" t="s">
        <v>574</v>
      </c>
      <c r="E521" t="s">
        <v>2804</v>
      </c>
      <c r="F521" t="s">
        <v>2627</v>
      </c>
      <c r="G521" t="s">
        <v>2600</v>
      </c>
      <c r="H521" t="s">
        <v>18</v>
      </c>
      <c r="I521">
        <v>0</v>
      </c>
      <c r="J521">
        <v>494</v>
      </c>
      <c r="K521" t="s">
        <v>19</v>
      </c>
      <c r="L521" t="s">
        <v>2582</v>
      </c>
    </row>
    <row r="522" spans="1:12" x14ac:dyDescent="0.25">
      <c r="A522">
        <v>100545</v>
      </c>
      <c r="B522" t="s">
        <v>936</v>
      </c>
      <c r="C522" t="s">
        <v>110</v>
      </c>
      <c r="D522" t="s">
        <v>937</v>
      </c>
      <c r="E522" t="s">
        <v>2944</v>
      </c>
      <c r="F522" t="s">
        <v>2608</v>
      </c>
      <c r="G522" t="s">
        <v>2599</v>
      </c>
      <c r="H522" t="s">
        <v>2644</v>
      </c>
      <c r="I522">
        <v>0</v>
      </c>
      <c r="J522">
        <v>508</v>
      </c>
      <c r="K522" t="s">
        <v>19</v>
      </c>
      <c r="L522" t="s">
        <v>2582</v>
      </c>
    </row>
    <row r="523" spans="1:12" x14ac:dyDescent="0.25">
      <c r="A523">
        <v>101982</v>
      </c>
      <c r="B523" t="s">
        <v>769</v>
      </c>
      <c r="C523" t="s">
        <v>72</v>
      </c>
      <c r="D523" t="s">
        <v>938</v>
      </c>
      <c r="E523" t="s">
        <v>939</v>
      </c>
      <c r="F523" t="s">
        <v>2629</v>
      </c>
      <c r="G523" t="s">
        <v>31</v>
      </c>
      <c r="H523" t="s">
        <v>2620</v>
      </c>
      <c r="I523">
        <v>0</v>
      </c>
      <c r="J523">
        <v>496</v>
      </c>
      <c r="K523" t="s">
        <v>56</v>
      </c>
      <c r="L523" t="s">
        <v>20</v>
      </c>
    </row>
    <row r="524" spans="1:12" x14ac:dyDescent="0.25">
      <c r="A524">
        <v>100987</v>
      </c>
      <c r="B524" t="s">
        <v>940</v>
      </c>
      <c r="C524" t="s">
        <v>52</v>
      </c>
      <c r="D524" t="s">
        <v>941</v>
      </c>
      <c r="E524" t="s">
        <v>2945</v>
      </c>
      <c r="F524" t="s">
        <v>41</v>
      </c>
      <c r="G524" t="s">
        <v>60</v>
      </c>
      <c r="H524" t="s">
        <v>2597</v>
      </c>
      <c r="I524">
        <v>18</v>
      </c>
      <c r="J524">
        <v>640</v>
      </c>
      <c r="K524" t="s">
        <v>45</v>
      </c>
      <c r="L524" t="s">
        <v>2588</v>
      </c>
    </row>
    <row r="525" spans="1:12" x14ac:dyDescent="0.25">
      <c r="A525">
        <v>102076</v>
      </c>
      <c r="B525" t="s">
        <v>107</v>
      </c>
      <c r="C525" t="s">
        <v>58</v>
      </c>
      <c r="D525" t="s">
        <v>942</v>
      </c>
      <c r="E525" t="s">
        <v>943</v>
      </c>
      <c r="F525" t="s">
        <v>41</v>
      </c>
      <c r="G525" t="s">
        <v>60</v>
      </c>
      <c r="H525" t="s">
        <v>2587</v>
      </c>
      <c r="I525">
        <v>0</v>
      </c>
      <c r="J525">
        <v>884</v>
      </c>
      <c r="K525" t="s">
        <v>45</v>
      </c>
      <c r="L525" t="s">
        <v>2588</v>
      </c>
    </row>
    <row r="526" spans="1:12" x14ac:dyDescent="0.25">
      <c r="A526">
        <v>101590</v>
      </c>
      <c r="B526" t="s">
        <v>451</v>
      </c>
      <c r="D526" t="s">
        <v>944</v>
      </c>
      <c r="E526" t="s">
        <v>2946</v>
      </c>
      <c r="F526" t="s">
        <v>30</v>
      </c>
      <c r="G526" t="s">
        <v>2591</v>
      </c>
      <c r="H526" t="s">
        <v>2644</v>
      </c>
      <c r="I526">
        <v>0</v>
      </c>
      <c r="J526">
        <v>418</v>
      </c>
      <c r="K526" t="s">
        <v>32</v>
      </c>
      <c r="L526" t="s">
        <v>2582</v>
      </c>
    </row>
    <row r="527" spans="1:12" x14ac:dyDescent="0.25">
      <c r="A527">
        <v>101504</v>
      </c>
      <c r="B527" t="s">
        <v>213</v>
      </c>
      <c r="C527" t="s">
        <v>58</v>
      </c>
      <c r="D527" t="s">
        <v>945</v>
      </c>
      <c r="E527" t="s">
        <v>2947</v>
      </c>
      <c r="F527" t="s">
        <v>2648</v>
      </c>
      <c r="G527" t="s">
        <v>2631</v>
      </c>
      <c r="H527" t="s">
        <v>2581</v>
      </c>
      <c r="J527">
        <v>324</v>
      </c>
      <c r="K527" t="s">
        <v>56</v>
      </c>
      <c r="L527" t="s">
        <v>2582</v>
      </c>
    </row>
    <row r="528" spans="1:12" x14ac:dyDescent="0.25">
      <c r="A528">
        <v>101545</v>
      </c>
      <c r="B528" t="s">
        <v>61</v>
      </c>
      <c r="C528" t="s">
        <v>62</v>
      </c>
      <c r="D528" t="s">
        <v>946</v>
      </c>
      <c r="E528" t="s">
        <v>947</v>
      </c>
      <c r="F528" t="s">
        <v>2608</v>
      </c>
      <c r="G528" t="s">
        <v>2602</v>
      </c>
      <c r="H528" t="s">
        <v>2581</v>
      </c>
      <c r="I528">
        <v>0</v>
      </c>
      <c r="J528">
        <v>542</v>
      </c>
      <c r="K528" t="s">
        <v>37</v>
      </c>
    </row>
    <row r="529" spans="1:12" x14ac:dyDescent="0.25">
      <c r="A529">
        <v>100320</v>
      </c>
      <c r="B529" t="s">
        <v>560</v>
      </c>
      <c r="C529" t="s">
        <v>39</v>
      </c>
      <c r="D529" t="s">
        <v>948</v>
      </c>
      <c r="E529" t="s">
        <v>2948</v>
      </c>
      <c r="F529" t="s">
        <v>2593</v>
      </c>
      <c r="G529" t="s">
        <v>31</v>
      </c>
      <c r="H529" t="s">
        <v>42</v>
      </c>
      <c r="I529">
        <v>148</v>
      </c>
      <c r="J529">
        <v>890</v>
      </c>
      <c r="K529" t="s">
        <v>37</v>
      </c>
      <c r="L529" t="s">
        <v>2588</v>
      </c>
    </row>
    <row r="530" spans="1:12" x14ac:dyDescent="0.25">
      <c r="A530">
        <v>100157</v>
      </c>
      <c r="B530" t="s">
        <v>478</v>
      </c>
      <c r="C530" t="s">
        <v>2683</v>
      </c>
      <c r="D530" t="s">
        <v>949</v>
      </c>
      <c r="E530" t="s">
        <v>950</v>
      </c>
      <c r="F530" t="s">
        <v>2627</v>
      </c>
      <c r="G530" t="s">
        <v>2591</v>
      </c>
      <c r="H530" t="s">
        <v>83</v>
      </c>
      <c r="I530">
        <v>0</v>
      </c>
      <c r="J530">
        <v>712</v>
      </c>
      <c r="K530" t="s">
        <v>19</v>
      </c>
      <c r="L530" t="s">
        <v>2588</v>
      </c>
    </row>
    <row r="531" spans="1:12" x14ac:dyDescent="0.25">
      <c r="A531">
        <v>100917</v>
      </c>
      <c r="B531" t="s">
        <v>196</v>
      </c>
      <c r="C531" t="s">
        <v>2949</v>
      </c>
      <c r="D531" t="s">
        <v>590</v>
      </c>
      <c r="E531" t="s">
        <v>951</v>
      </c>
      <c r="F531" t="s">
        <v>2616</v>
      </c>
      <c r="G531" t="s">
        <v>2611</v>
      </c>
      <c r="H531" t="s">
        <v>2587</v>
      </c>
      <c r="I531">
        <v>0</v>
      </c>
      <c r="J531">
        <v>405</v>
      </c>
      <c r="K531" t="s">
        <v>56</v>
      </c>
      <c r="L531" t="s">
        <v>20</v>
      </c>
    </row>
    <row r="532" spans="1:12" x14ac:dyDescent="0.25">
      <c r="A532">
        <v>101163</v>
      </c>
      <c r="B532" t="s">
        <v>160</v>
      </c>
      <c r="C532" t="s">
        <v>72</v>
      </c>
      <c r="D532" t="s">
        <v>391</v>
      </c>
      <c r="E532" t="s">
        <v>952</v>
      </c>
      <c r="F532" t="s">
        <v>2593</v>
      </c>
      <c r="G532" t="s">
        <v>81</v>
      </c>
      <c r="H532" t="s">
        <v>2587</v>
      </c>
      <c r="I532">
        <v>0</v>
      </c>
      <c r="J532">
        <v>585</v>
      </c>
      <c r="K532" t="s">
        <v>56</v>
      </c>
      <c r="L532" t="s">
        <v>2582</v>
      </c>
    </row>
    <row r="533" spans="1:12" x14ac:dyDescent="0.25">
      <c r="A533">
        <v>100897</v>
      </c>
      <c r="B533" t="s">
        <v>953</v>
      </c>
      <c r="C533" t="s">
        <v>2691</v>
      </c>
      <c r="D533" t="s">
        <v>954</v>
      </c>
      <c r="E533" t="s">
        <v>2950</v>
      </c>
      <c r="F533" t="s">
        <v>2604</v>
      </c>
      <c r="G533" t="s">
        <v>2599</v>
      </c>
      <c r="H533" t="s">
        <v>2585</v>
      </c>
      <c r="I533">
        <v>28</v>
      </c>
      <c r="J533">
        <v>759</v>
      </c>
      <c r="K533" t="s">
        <v>32</v>
      </c>
      <c r="L533" t="s">
        <v>26</v>
      </c>
    </row>
    <row r="534" spans="1:12" x14ac:dyDescent="0.25">
      <c r="A534">
        <v>100619</v>
      </c>
      <c r="B534" t="s">
        <v>955</v>
      </c>
      <c r="C534" t="s">
        <v>39</v>
      </c>
      <c r="D534" t="s">
        <v>956</v>
      </c>
      <c r="E534" t="s">
        <v>957</v>
      </c>
      <c r="F534" t="s">
        <v>2590</v>
      </c>
      <c r="G534" t="s">
        <v>2625</v>
      </c>
      <c r="H534" t="s">
        <v>2620</v>
      </c>
      <c r="I534">
        <v>0</v>
      </c>
      <c r="J534">
        <v>406</v>
      </c>
      <c r="K534" t="s">
        <v>37</v>
      </c>
      <c r="L534" t="s">
        <v>2588</v>
      </c>
    </row>
    <row r="535" spans="1:12" x14ac:dyDescent="0.25">
      <c r="A535">
        <v>100645</v>
      </c>
      <c r="B535" t="s">
        <v>506</v>
      </c>
      <c r="C535" t="s">
        <v>58</v>
      </c>
      <c r="D535" t="s">
        <v>958</v>
      </c>
      <c r="E535" t="s">
        <v>959</v>
      </c>
      <c r="F535" t="s">
        <v>2598</v>
      </c>
      <c r="G535" t="s">
        <v>2631</v>
      </c>
      <c r="H535" t="s">
        <v>18</v>
      </c>
      <c r="I535">
        <v>0</v>
      </c>
      <c r="J535">
        <v>394</v>
      </c>
      <c r="K535" t="s">
        <v>32</v>
      </c>
      <c r="L535" t="s">
        <v>2588</v>
      </c>
    </row>
    <row r="536" spans="1:12" x14ac:dyDescent="0.25">
      <c r="A536">
        <v>100310</v>
      </c>
      <c r="B536" t="s">
        <v>57</v>
      </c>
      <c r="C536" t="s">
        <v>58</v>
      </c>
      <c r="D536" t="s">
        <v>960</v>
      </c>
      <c r="E536" t="s">
        <v>961</v>
      </c>
      <c r="F536" t="s">
        <v>30</v>
      </c>
      <c r="G536" t="s">
        <v>31</v>
      </c>
      <c r="H536" t="s">
        <v>2581</v>
      </c>
      <c r="I536">
        <v>0</v>
      </c>
      <c r="J536">
        <v>798</v>
      </c>
      <c r="K536" t="s">
        <v>32</v>
      </c>
      <c r="L536" t="s">
        <v>2588</v>
      </c>
    </row>
    <row r="537" spans="1:12" x14ac:dyDescent="0.25">
      <c r="A537">
        <v>100625</v>
      </c>
      <c r="B537" t="s">
        <v>671</v>
      </c>
      <c r="D537" t="s">
        <v>962</v>
      </c>
      <c r="E537" t="s">
        <v>2951</v>
      </c>
      <c r="F537" t="s">
        <v>2590</v>
      </c>
      <c r="G537" t="s">
        <v>2682</v>
      </c>
      <c r="H537" t="s">
        <v>2587</v>
      </c>
      <c r="I537">
        <v>0</v>
      </c>
      <c r="J537">
        <v>302</v>
      </c>
      <c r="L537" t="s">
        <v>2582</v>
      </c>
    </row>
    <row r="538" spans="1:12" x14ac:dyDescent="0.25">
      <c r="A538">
        <v>101704</v>
      </c>
      <c r="B538" t="s">
        <v>79</v>
      </c>
      <c r="C538" t="s">
        <v>47</v>
      </c>
      <c r="D538" t="s">
        <v>963</v>
      </c>
      <c r="E538" t="s">
        <v>2952</v>
      </c>
      <c r="F538" t="s">
        <v>2613</v>
      </c>
      <c r="G538" t="s">
        <v>2599</v>
      </c>
      <c r="H538" t="s">
        <v>83</v>
      </c>
      <c r="I538">
        <v>0</v>
      </c>
      <c r="J538">
        <v>585</v>
      </c>
      <c r="K538" t="s">
        <v>32</v>
      </c>
      <c r="L538" t="s">
        <v>26</v>
      </c>
    </row>
    <row r="539" spans="1:12" x14ac:dyDescent="0.25">
      <c r="A539">
        <v>101365</v>
      </c>
      <c r="B539" t="s">
        <v>107</v>
      </c>
      <c r="C539" t="s">
        <v>58</v>
      </c>
      <c r="D539" t="s">
        <v>964</v>
      </c>
      <c r="E539" t="s">
        <v>2953</v>
      </c>
      <c r="F539" t="s">
        <v>2590</v>
      </c>
      <c r="G539" t="s">
        <v>2635</v>
      </c>
      <c r="H539" t="s">
        <v>18</v>
      </c>
      <c r="I539">
        <v>0</v>
      </c>
      <c r="J539">
        <v>884</v>
      </c>
      <c r="K539" t="s">
        <v>45</v>
      </c>
      <c r="L539" t="s">
        <v>2582</v>
      </c>
    </row>
    <row r="540" spans="1:12" x14ac:dyDescent="0.25">
      <c r="A540">
        <v>101871</v>
      </c>
      <c r="B540" t="s">
        <v>965</v>
      </c>
      <c r="C540" t="s">
        <v>110</v>
      </c>
      <c r="D540" t="s">
        <v>966</v>
      </c>
      <c r="E540" t="s">
        <v>967</v>
      </c>
      <c r="F540" t="s">
        <v>41</v>
      </c>
      <c r="G540" t="s">
        <v>2631</v>
      </c>
      <c r="H540" t="s">
        <v>18</v>
      </c>
      <c r="J540">
        <v>821</v>
      </c>
      <c r="K540" t="s">
        <v>32</v>
      </c>
      <c r="L540" t="s">
        <v>2582</v>
      </c>
    </row>
    <row r="541" spans="1:12" x14ac:dyDescent="0.25">
      <c r="A541">
        <v>101207</v>
      </c>
      <c r="B541" t="s">
        <v>402</v>
      </c>
      <c r="C541" t="s">
        <v>95</v>
      </c>
      <c r="D541" t="s">
        <v>130</v>
      </c>
      <c r="E541" t="s">
        <v>2954</v>
      </c>
      <c r="F541" t="s">
        <v>50</v>
      </c>
      <c r="G541" t="s">
        <v>55</v>
      </c>
      <c r="H541" t="s">
        <v>2587</v>
      </c>
      <c r="I541">
        <v>0</v>
      </c>
      <c r="J541">
        <v>355</v>
      </c>
      <c r="K541" t="s">
        <v>37</v>
      </c>
      <c r="L541" t="s">
        <v>26</v>
      </c>
    </row>
    <row r="542" spans="1:12" x14ac:dyDescent="0.25">
      <c r="A542">
        <v>100599</v>
      </c>
      <c r="B542" t="s">
        <v>118</v>
      </c>
      <c r="C542" t="s">
        <v>2632</v>
      </c>
      <c r="D542" t="s">
        <v>944</v>
      </c>
      <c r="E542" t="s">
        <v>2955</v>
      </c>
      <c r="F542" t="s">
        <v>2629</v>
      </c>
      <c r="G542" t="s">
        <v>81</v>
      </c>
      <c r="H542" t="s">
        <v>2620</v>
      </c>
      <c r="I542">
        <v>0</v>
      </c>
      <c r="J542">
        <v>463</v>
      </c>
      <c r="K542" t="s">
        <v>32</v>
      </c>
      <c r="L542" t="s">
        <v>26</v>
      </c>
    </row>
    <row r="543" spans="1:12" x14ac:dyDescent="0.25">
      <c r="A543">
        <v>100443</v>
      </c>
      <c r="B543" t="s">
        <v>38</v>
      </c>
      <c r="C543" t="s">
        <v>39</v>
      </c>
      <c r="D543" t="s">
        <v>968</v>
      </c>
      <c r="E543" t="s">
        <v>969</v>
      </c>
      <c r="F543" t="s">
        <v>2579</v>
      </c>
      <c r="G543" t="s">
        <v>2602</v>
      </c>
      <c r="H543" t="s">
        <v>83</v>
      </c>
      <c r="I543">
        <v>0</v>
      </c>
      <c r="J543">
        <v>533</v>
      </c>
      <c r="K543" t="s">
        <v>45</v>
      </c>
      <c r="L543" t="s">
        <v>26</v>
      </c>
    </row>
    <row r="544" spans="1:12" x14ac:dyDescent="0.25">
      <c r="A544">
        <v>101067</v>
      </c>
      <c r="B544" t="s">
        <v>102</v>
      </c>
      <c r="C544" t="s">
        <v>103</v>
      </c>
      <c r="D544" t="s">
        <v>970</v>
      </c>
      <c r="E544" t="s">
        <v>971</v>
      </c>
      <c r="F544" t="s">
        <v>64</v>
      </c>
      <c r="G544" t="s">
        <v>31</v>
      </c>
      <c r="H544" t="s">
        <v>83</v>
      </c>
      <c r="I544">
        <v>0</v>
      </c>
      <c r="J544">
        <v>733</v>
      </c>
      <c r="K544" t="s">
        <v>56</v>
      </c>
      <c r="L544" t="s">
        <v>2582</v>
      </c>
    </row>
    <row r="545" spans="1:12" x14ac:dyDescent="0.25">
      <c r="A545">
        <v>100731</v>
      </c>
      <c r="B545" t="s">
        <v>170</v>
      </c>
      <c r="D545" t="s">
        <v>972</v>
      </c>
      <c r="E545" t="s">
        <v>973</v>
      </c>
      <c r="F545" t="s">
        <v>2648</v>
      </c>
      <c r="G545" t="s">
        <v>2591</v>
      </c>
      <c r="H545" t="s">
        <v>83</v>
      </c>
      <c r="I545">
        <v>0</v>
      </c>
      <c r="J545">
        <v>869</v>
      </c>
      <c r="K545" t="s">
        <v>37</v>
      </c>
      <c r="L545" t="s">
        <v>20</v>
      </c>
    </row>
    <row r="546" spans="1:12" x14ac:dyDescent="0.25">
      <c r="A546">
        <v>101310</v>
      </c>
      <c r="B546" t="s">
        <v>581</v>
      </c>
      <c r="C546" t="s">
        <v>103</v>
      </c>
      <c r="D546" t="s">
        <v>567</v>
      </c>
      <c r="F546" t="s">
        <v>2654</v>
      </c>
      <c r="G546" t="s">
        <v>2682</v>
      </c>
      <c r="H546" t="s">
        <v>2620</v>
      </c>
      <c r="I546">
        <v>0</v>
      </c>
      <c r="J546">
        <v>435</v>
      </c>
      <c r="K546" t="s">
        <v>19</v>
      </c>
      <c r="L546" t="s">
        <v>20</v>
      </c>
    </row>
    <row r="547" spans="1:12" x14ac:dyDescent="0.25">
      <c r="A547">
        <v>102128</v>
      </c>
      <c r="B547" t="s">
        <v>427</v>
      </c>
      <c r="C547" t="s">
        <v>244</v>
      </c>
      <c r="D547" t="s">
        <v>974</v>
      </c>
      <c r="E547" t="s">
        <v>2956</v>
      </c>
      <c r="F547" t="s">
        <v>2654</v>
      </c>
      <c r="G547" t="s">
        <v>2633</v>
      </c>
      <c r="H547" t="s">
        <v>2587</v>
      </c>
      <c r="I547">
        <v>0</v>
      </c>
      <c r="J547">
        <v>740</v>
      </c>
      <c r="K547" t="s">
        <v>45</v>
      </c>
      <c r="L547" t="s">
        <v>2588</v>
      </c>
    </row>
    <row r="548" spans="1:12" x14ac:dyDescent="0.25">
      <c r="A548">
        <v>101325</v>
      </c>
      <c r="B548" t="s">
        <v>225</v>
      </c>
      <c r="C548" t="s">
        <v>142</v>
      </c>
      <c r="D548" t="s">
        <v>975</v>
      </c>
      <c r="E548" t="s">
        <v>2957</v>
      </c>
      <c r="F548" t="s">
        <v>2613</v>
      </c>
      <c r="G548" t="s">
        <v>2652</v>
      </c>
      <c r="H548" t="s">
        <v>2581</v>
      </c>
      <c r="I548">
        <v>0</v>
      </c>
      <c r="J548">
        <v>741</v>
      </c>
      <c r="K548" t="s">
        <v>32</v>
      </c>
      <c r="L548" t="s">
        <v>2588</v>
      </c>
    </row>
    <row r="549" spans="1:12" x14ac:dyDescent="0.25">
      <c r="A549">
        <v>100839</v>
      </c>
      <c r="B549" t="s">
        <v>402</v>
      </c>
      <c r="C549" t="s">
        <v>95</v>
      </c>
      <c r="D549" t="s">
        <v>976</v>
      </c>
      <c r="E549" t="s">
        <v>2958</v>
      </c>
      <c r="F549" t="s">
        <v>2583</v>
      </c>
      <c r="G549" t="s">
        <v>31</v>
      </c>
      <c r="H549" t="s">
        <v>18</v>
      </c>
      <c r="I549">
        <v>0</v>
      </c>
      <c r="J549">
        <v>355</v>
      </c>
      <c r="K549" t="s">
        <v>56</v>
      </c>
      <c r="L549" t="s">
        <v>2588</v>
      </c>
    </row>
    <row r="550" spans="1:12" x14ac:dyDescent="0.25">
      <c r="A550">
        <v>101536</v>
      </c>
      <c r="B550" t="s">
        <v>349</v>
      </c>
      <c r="C550" t="s">
        <v>28</v>
      </c>
      <c r="D550" t="s">
        <v>977</v>
      </c>
      <c r="E550" t="s">
        <v>2959</v>
      </c>
      <c r="F550" t="s">
        <v>2640</v>
      </c>
      <c r="G550" t="s">
        <v>2631</v>
      </c>
      <c r="H550" t="s">
        <v>2587</v>
      </c>
      <c r="I550">
        <v>0</v>
      </c>
      <c r="J550">
        <v>708</v>
      </c>
      <c r="K550" t="s">
        <v>19</v>
      </c>
      <c r="L550" t="s">
        <v>2582</v>
      </c>
    </row>
    <row r="551" spans="1:12" x14ac:dyDescent="0.25">
      <c r="A551">
        <v>100337</v>
      </c>
      <c r="B551" t="s">
        <v>765</v>
      </c>
      <c r="C551" t="s">
        <v>22</v>
      </c>
      <c r="D551" t="s">
        <v>473</v>
      </c>
      <c r="E551" t="s">
        <v>2960</v>
      </c>
      <c r="F551" t="s">
        <v>2629</v>
      </c>
      <c r="G551" t="s">
        <v>2658</v>
      </c>
      <c r="H551" t="s">
        <v>83</v>
      </c>
      <c r="I551">
        <v>0</v>
      </c>
      <c r="J551">
        <v>851</v>
      </c>
      <c r="K551" t="s">
        <v>56</v>
      </c>
      <c r="L551" t="s">
        <v>26</v>
      </c>
    </row>
    <row r="552" spans="1:12" x14ac:dyDescent="0.25">
      <c r="A552">
        <v>101994</v>
      </c>
      <c r="B552" t="s">
        <v>34</v>
      </c>
      <c r="C552" t="s">
        <v>13</v>
      </c>
      <c r="D552" t="s">
        <v>978</v>
      </c>
      <c r="E552" t="s">
        <v>979</v>
      </c>
      <c r="F552" t="s">
        <v>2590</v>
      </c>
      <c r="G552" t="s">
        <v>81</v>
      </c>
      <c r="H552" t="s">
        <v>2594</v>
      </c>
      <c r="I552">
        <v>118</v>
      </c>
      <c r="J552">
        <v>672</v>
      </c>
      <c r="K552" t="s">
        <v>56</v>
      </c>
      <c r="L552" t="s">
        <v>2588</v>
      </c>
    </row>
    <row r="553" spans="1:12" x14ac:dyDescent="0.25">
      <c r="A553">
        <v>102018</v>
      </c>
      <c r="B553" t="s">
        <v>179</v>
      </c>
      <c r="C553" t="s">
        <v>149</v>
      </c>
      <c r="D553" t="s">
        <v>980</v>
      </c>
      <c r="E553" t="s">
        <v>2961</v>
      </c>
      <c r="F553" t="s">
        <v>2640</v>
      </c>
      <c r="G553" t="s">
        <v>31</v>
      </c>
      <c r="H553" t="s">
        <v>25</v>
      </c>
      <c r="I553">
        <v>9</v>
      </c>
      <c r="J553">
        <v>518</v>
      </c>
      <c r="K553" t="s">
        <v>37</v>
      </c>
      <c r="L553" t="s">
        <v>26</v>
      </c>
    </row>
    <row r="554" spans="1:12" x14ac:dyDescent="0.25">
      <c r="A554">
        <v>100795</v>
      </c>
      <c r="B554" t="s">
        <v>204</v>
      </c>
      <c r="C554" t="s">
        <v>152</v>
      </c>
      <c r="D554" t="s">
        <v>981</v>
      </c>
      <c r="E554" t="s">
        <v>982</v>
      </c>
      <c r="F554" t="s">
        <v>41</v>
      </c>
      <c r="G554" t="s">
        <v>2584</v>
      </c>
      <c r="H554" t="s">
        <v>2597</v>
      </c>
      <c r="I554">
        <v>22</v>
      </c>
      <c r="J554">
        <v>362</v>
      </c>
      <c r="K554" t="s">
        <v>56</v>
      </c>
      <c r="L554" t="s">
        <v>2588</v>
      </c>
    </row>
    <row r="555" spans="1:12" x14ac:dyDescent="0.25">
      <c r="A555">
        <v>101767</v>
      </c>
      <c r="B555" t="s">
        <v>151</v>
      </c>
      <c r="C555" t="s">
        <v>152</v>
      </c>
      <c r="D555" t="s">
        <v>888</v>
      </c>
      <c r="E555" t="s">
        <v>983</v>
      </c>
      <c r="F555" t="s">
        <v>2593</v>
      </c>
      <c r="G555" t="s">
        <v>2625</v>
      </c>
      <c r="H555" t="s">
        <v>2618</v>
      </c>
      <c r="I555">
        <v>0</v>
      </c>
      <c r="J555">
        <v>534</v>
      </c>
      <c r="K555" t="s">
        <v>45</v>
      </c>
      <c r="L555" t="s">
        <v>20</v>
      </c>
    </row>
    <row r="556" spans="1:12" x14ac:dyDescent="0.25">
      <c r="A556">
        <v>100161</v>
      </c>
      <c r="B556" t="s">
        <v>125</v>
      </c>
      <c r="C556" t="s">
        <v>126</v>
      </c>
      <c r="D556" t="s">
        <v>984</v>
      </c>
      <c r="E556" t="s">
        <v>2962</v>
      </c>
      <c r="F556" t="s">
        <v>2641</v>
      </c>
      <c r="G556" t="s">
        <v>2596</v>
      </c>
      <c r="H556" t="s">
        <v>2597</v>
      </c>
      <c r="I556">
        <v>2</v>
      </c>
      <c r="J556">
        <v>461</v>
      </c>
      <c r="K556" t="s">
        <v>56</v>
      </c>
      <c r="L556" t="s">
        <v>2588</v>
      </c>
    </row>
    <row r="557" spans="1:12" x14ac:dyDescent="0.25">
      <c r="A557">
        <v>101568</v>
      </c>
      <c r="B557" t="s">
        <v>616</v>
      </c>
      <c r="C557" t="s">
        <v>2743</v>
      </c>
      <c r="D557" t="s">
        <v>513</v>
      </c>
      <c r="E557" t="s">
        <v>985</v>
      </c>
      <c r="F557" t="s">
        <v>64</v>
      </c>
      <c r="G557" t="s">
        <v>2617</v>
      </c>
      <c r="H557" t="s">
        <v>83</v>
      </c>
      <c r="I557">
        <v>0</v>
      </c>
      <c r="J557">
        <v>898</v>
      </c>
      <c r="K557" t="s">
        <v>45</v>
      </c>
      <c r="L557" t="s">
        <v>20</v>
      </c>
    </row>
    <row r="558" spans="1:12" x14ac:dyDescent="0.25">
      <c r="A558">
        <v>101331</v>
      </c>
      <c r="B558" t="s">
        <v>986</v>
      </c>
      <c r="C558" t="s">
        <v>2723</v>
      </c>
      <c r="D558" t="s">
        <v>987</v>
      </c>
      <c r="E558" t="s">
        <v>2963</v>
      </c>
      <c r="F558" t="s">
        <v>2627</v>
      </c>
      <c r="G558" t="s">
        <v>31</v>
      </c>
      <c r="H558" t="s">
        <v>2623</v>
      </c>
      <c r="I558">
        <v>166</v>
      </c>
      <c r="J558">
        <v>459</v>
      </c>
      <c r="K558" t="s">
        <v>45</v>
      </c>
      <c r="L558" t="s">
        <v>2582</v>
      </c>
    </row>
    <row r="559" spans="1:12" x14ac:dyDescent="0.25">
      <c r="A559">
        <v>101028</v>
      </c>
      <c r="B559" t="s">
        <v>965</v>
      </c>
      <c r="C559" t="s">
        <v>110</v>
      </c>
      <c r="D559" t="s">
        <v>988</v>
      </c>
      <c r="E559" t="s">
        <v>2964</v>
      </c>
      <c r="F559" t="s">
        <v>2608</v>
      </c>
      <c r="G559" t="s">
        <v>2600</v>
      </c>
      <c r="H559" t="s">
        <v>25</v>
      </c>
      <c r="I559">
        <v>22</v>
      </c>
      <c r="J559">
        <v>821</v>
      </c>
      <c r="K559" t="s">
        <v>37</v>
      </c>
      <c r="L559" t="s">
        <v>2582</v>
      </c>
    </row>
    <row r="560" spans="1:12" x14ac:dyDescent="0.25">
      <c r="A560">
        <v>101071</v>
      </c>
      <c r="B560" t="s">
        <v>325</v>
      </c>
      <c r="C560" t="s">
        <v>126</v>
      </c>
      <c r="D560" t="s">
        <v>989</v>
      </c>
      <c r="E560" t="s">
        <v>2965</v>
      </c>
      <c r="F560" t="s">
        <v>2648</v>
      </c>
      <c r="G560" t="s">
        <v>2599</v>
      </c>
      <c r="H560" t="s">
        <v>18</v>
      </c>
      <c r="I560">
        <v>0</v>
      </c>
      <c r="J560">
        <v>570</v>
      </c>
      <c r="K560" t="s">
        <v>56</v>
      </c>
      <c r="L560" t="s">
        <v>26</v>
      </c>
    </row>
    <row r="561" spans="1:12" x14ac:dyDescent="0.25">
      <c r="A561">
        <v>101369</v>
      </c>
      <c r="B561" t="s">
        <v>596</v>
      </c>
      <c r="C561" t="s">
        <v>2686</v>
      </c>
      <c r="D561" t="s">
        <v>990</v>
      </c>
      <c r="E561" t="s">
        <v>2966</v>
      </c>
      <c r="F561" t="s">
        <v>2640</v>
      </c>
      <c r="G561" t="s">
        <v>2625</v>
      </c>
      <c r="H561" t="s">
        <v>25</v>
      </c>
      <c r="I561">
        <v>11</v>
      </c>
      <c r="J561">
        <v>603</v>
      </c>
      <c r="K561" t="s">
        <v>45</v>
      </c>
      <c r="L561" t="s">
        <v>2588</v>
      </c>
    </row>
    <row r="562" spans="1:12" x14ac:dyDescent="0.25">
      <c r="A562">
        <v>102141</v>
      </c>
      <c r="B562" t="s">
        <v>616</v>
      </c>
      <c r="C562" t="s">
        <v>95</v>
      </c>
      <c r="D562" t="s">
        <v>991</v>
      </c>
      <c r="E562" t="s">
        <v>992</v>
      </c>
      <c r="F562" t="s">
        <v>2654</v>
      </c>
      <c r="G562" t="s">
        <v>2602</v>
      </c>
      <c r="H562" t="s">
        <v>2623</v>
      </c>
      <c r="I562">
        <v>174</v>
      </c>
      <c r="J562">
        <v>898</v>
      </c>
      <c r="K562" t="s">
        <v>56</v>
      </c>
      <c r="L562" t="s">
        <v>2582</v>
      </c>
    </row>
    <row r="563" spans="1:12" x14ac:dyDescent="0.25">
      <c r="A563">
        <v>101900</v>
      </c>
      <c r="B563" t="s">
        <v>765</v>
      </c>
      <c r="C563" t="s">
        <v>2686</v>
      </c>
      <c r="D563" t="s">
        <v>993</v>
      </c>
      <c r="E563" t="s">
        <v>994</v>
      </c>
      <c r="F563" t="s">
        <v>2616</v>
      </c>
      <c r="G563" t="s">
        <v>2602</v>
      </c>
      <c r="H563" t="s">
        <v>18</v>
      </c>
      <c r="I563">
        <v>0</v>
      </c>
      <c r="J563">
        <v>851</v>
      </c>
      <c r="K563" t="s">
        <v>56</v>
      </c>
      <c r="L563" t="s">
        <v>2582</v>
      </c>
    </row>
    <row r="564" spans="1:12" x14ac:dyDescent="0.25">
      <c r="A564">
        <v>100018</v>
      </c>
      <c r="B564" t="s">
        <v>995</v>
      </c>
      <c r="C564" t="s">
        <v>134</v>
      </c>
      <c r="D564" t="s">
        <v>996</v>
      </c>
      <c r="E564" t="s">
        <v>2967</v>
      </c>
      <c r="F564" t="s">
        <v>50</v>
      </c>
      <c r="G564" t="s">
        <v>2596</v>
      </c>
      <c r="H564" t="s">
        <v>2620</v>
      </c>
      <c r="J564">
        <v>866</v>
      </c>
      <c r="K564" t="s">
        <v>45</v>
      </c>
      <c r="L564" t="s">
        <v>26</v>
      </c>
    </row>
    <row r="565" spans="1:12" x14ac:dyDescent="0.25">
      <c r="A565">
        <v>100813</v>
      </c>
      <c r="B565" t="s">
        <v>601</v>
      </c>
      <c r="C565" t="s">
        <v>100</v>
      </c>
      <c r="D565" t="s">
        <v>997</v>
      </c>
      <c r="E565" t="s">
        <v>2968</v>
      </c>
      <c r="F565" t="s">
        <v>64</v>
      </c>
      <c r="G565" t="s">
        <v>2607</v>
      </c>
      <c r="H565" t="s">
        <v>2644</v>
      </c>
      <c r="I565">
        <v>0</v>
      </c>
      <c r="J565">
        <v>849</v>
      </c>
      <c r="K565" t="s">
        <v>19</v>
      </c>
      <c r="L565" t="s">
        <v>26</v>
      </c>
    </row>
    <row r="566" spans="1:12" x14ac:dyDescent="0.25">
      <c r="A566">
        <v>100701</v>
      </c>
      <c r="B566" t="s">
        <v>847</v>
      </c>
      <c r="C566" t="s">
        <v>22</v>
      </c>
      <c r="D566" t="s">
        <v>998</v>
      </c>
      <c r="E566" t="s">
        <v>2969</v>
      </c>
      <c r="F566" t="s">
        <v>2646</v>
      </c>
      <c r="G566" t="s">
        <v>2635</v>
      </c>
      <c r="H566" t="s">
        <v>2618</v>
      </c>
      <c r="I566">
        <v>0</v>
      </c>
      <c r="J566">
        <v>612</v>
      </c>
      <c r="K566" t="s">
        <v>56</v>
      </c>
      <c r="L566" t="s">
        <v>2582</v>
      </c>
    </row>
    <row r="567" spans="1:12" x14ac:dyDescent="0.25">
      <c r="A567">
        <v>101309</v>
      </c>
      <c r="B567" t="s">
        <v>390</v>
      </c>
      <c r="C567" t="s">
        <v>110</v>
      </c>
      <c r="D567" t="s">
        <v>999</v>
      </c>
      <c r="F567" t="s">
        <v>2608</v>
      </c>
      <c r="G567" t="s">
        <v>81</v>
      </c>
      <c r="H567" t="s">
        <v>2587</v>
      </c>
      <c r="I567">
        <v>0</v>
      </c>
      <c r="J567">
        <v>773</v>
      </c>
      <c r="K567" t="s">
        <v>45</v>
      </c>
      <c r="L567" t="s">
        <v>20</v>
      </c>
    </row>
    <row r="568" spans="1:12" x14ac:dyDescent="0.25">
      <c r="A568">
        <v>101280</v>
      </c>
      <c r="B568" t="s">
        <v>207</v>
      </c>
      <c r="C568" t="s">
        <v>2667</v>
      </c>
      <c r="D568" t="s">
        <v>1000</v>
      </c>
      <c r="E568" t="s">
        <v>1001</v>
      </c>
      <c r="F568" t="s">
        <v>2640</v>
      </c>
      <c r="G568" t="s">
        <v>2596</v>
      </c>
      <c r="H568" t="s">
        <v>2587</v>
      </c>
      <c r="I568">
        <v>0</v>
      </c>
      <c r="J568">
        <v>360</v>
      </c>
      <c r="K568" t="s">
        <v>45</v>
      </c>
      <c r="L568" t="s">
        <v>26</v>
      </c>
    </row>
    <row r="569" spans="1:12" x14ac:dyDescent="0.25">
      <c r="A569">
        <v>100624</v>
      </c>
      <c r="B569" t="s">
        <v>451</v>
      </c>
      <c r="C569" t="s">
        <v>103</v>
      </c>
      <c r="D569" t="s">
        <v>502</v>
      </c>
      <c r="E569" t="s">
        <v>1002</v>
      </c>
      <c r="F569" t="s">
        <v>2640</v>
      </c>
      <c r="G569" t="s">
        <v>55</v>
      </c>
      <c r="H569" t="s">
        <v>2620</v>
      </c>
      <c r="I569">
        <v>0</v>
      </c>
      <c r="J569">
        <v>418</v>
      </c>
      <c r="K569" t="s">
        <v>32</v>
      </c>
      <c r="L569" t="s">
        <v>26</v>
      </c>
    </row>
    <row r="570" spans="1:12" x14ac:dyDescent="0.25">
      <c r="A570">
        <v>102098</v>
      </c>
      <c r="B570" t="s">
        <v>936</v>
      </c>
      <c r="C570" t="s">
        <v>2940</v>
      </c>
      <c r="D570" t="s">
        <v>1003</v>
      </c>
      <c r="E570" t="s">
        <v>1004</v>
      </c>
      <c r="F570" t="s">
        <v>2616</v>
      </c>
      <c r="G570" t="s">
        <v>2631</v>
      </c>
      <c r="H570" t="s">
        <v>2620</v>
      </c>
      <c r="I570">
        <v>0</v>
      </c>
      <c r="J570">
        <v>508</v>
      </c>
      <c r="K570" t="s">
        <v>56</v>
      </c>
      <c r="L570" t="s">
        <v>2588</v>
      </c>
    </row>
    <row r="571" spans="1:12" x14ac:dyDescent="0.25">
      <c r="A571">
        <v>100135</v>
      </c>
      <c r="B571" t="s">
        <v>1005</v>
      </c>
      <c r="C571" t="s">
        <v>244</v>
      </c>
      <c r="D571" t="s">
        <v>1006</v>
      </c>
      <c r="E571" t="s">
        <v>2970</v>
      </c>
      <c r="F571" t="s">
        <v>2641</v>
      </c>
      <c r="G571" t="s">
        <v>2635</v>
      </c>
      <c r="H571" t="s">
        <v>2581</v>
      </c>
      <c r="I571">
        <v>0</v>
      </c>
      <c r="J571">
        <v>370</v>
      </c>
      <c r="K571" t="s">
        <v>19</v>
      </c>
      <c r="L571" t="s">
        <v>2588</v>
      </c>
    </row>
    <row r="572" spans="1:12" x14ac:dyDescent="0.25">
      <c r="A572">
        <v>102103</v>
      </c>
      <c r="B572" t="s">
        <v>558</v>
      </c>
      <c r="C572" t="s">
        <v>218</v>
      </c>
      <c r="D572" t="s">
        <v>475</v>
      </c>
      <c r="E572" t="s">
        <v>1007</v>
      </c>
      <c r="F572" t="s">
        <v>41</v>
      </c>
      <c r="G572" t="s">
        <v>81</v>
      </c>
      <c r="H572" t="s">
        <v>2587</v>
      </c>
      <c r="I572">
        <v>0</v>
      </c>
      <c r="J572">
        <v>784</v>
      </c>
      <c r="K572" t="s">
        <v>45</v>
      </c>
      <c r="L572" t="s">
        <v>26</v>
      </c>
    </row>
    <row r="573" spans="1:12" x14ac:dyDescent="0.25">
      <c r="A573">
        <v>101674</v>
      </c>
      <c r="B573" t="s">
        <v>986</v>
      </c>
      <c r="C573" t="s">
        <v>28</v>
      </c>
      <c r="D573" t="s">
        <v>1008</v>
      </c>
      <c r="E573" t="s">
        <v>2971</v>
      </c>
      <c r="F573" t="s">
        <v>2598</v>
      </c>
      <c r="G573" t="s">
        <v>81</v>
      </c>
      <c r="H573" t="s">
        <v>2587</v>
      </c>
      <c r="I573">
        <v>0</v>
      </c>
      <c r="J573">
        <v>459</v>
      </c>
      <c r="K573" t="s">
        <v>32</v>
      </c>
      <c r="L573" t="s">
        <v>2582</v>
      </c>
    </row>
    <row r="574" spans="1:12" x14ac:dyDescent="0.25">
      <c r="A574">
        <v>101491</v>
      </c>
      <c r="B574" t="s">
        <v>1009</v>
      </c>
      <c r="C574" t="s">
        <v>58</v>
      </c>
      <c r="D574" t="s">
        <v>1010</v>
      </c>
      <c r="E574" t="s">
        <v>2972</v>
      </c>
      <c r="F574" t="s">
        <v>2608</v>
      </c>
      <c r="G574" t="s">
        <v>2631</v>
      </c>
      <c r="H574" t="s">
        <v>2644</v>
      </c>
      <c r="I574">
        <v>0</v>
      </c>
      <c r="J574">
        <v>400</v>
      </c>
      <c r="K574" t="s">
        <v>32</v>
      </c>
      <c r="L574" t="s">
        <v>2588</v>
      </c>
    </row>
    <row r="575" spans="1:12" x14ac:dyDescent="0.25">
      <c r="A575">
        <v>100342</v>
      </c>
      <c r="B575" t="s">
        <v>576</v>
      </c>
      <c r="C575" t="s">
        <v>22</v>
      </c>
      <c r="D575" t="s">
        <v>274</v>
      </c>
      <c r="E575" t="s">
        <v>2973</v>
      </c>
      <c r="F575" t="s">
        <v>2641</v>
      </c>
      <c r="G575" t="s">
        <v>2607</v>
      </c>
      <c r="H575" t="s">
        <v>2620</v>
      </c>
      <c r="I575">
        <v>0</v>
      </c>
      <c r="J575">
        <v>418</v>
      </c>
      <c r="K575" t="s">
        <v>32</v>
      </c>
      <c r="L575" t="s">
        <v>20</v>
      </c>
    </row>
    <row r="576" spans="1:12" x14ac:dyDescent="0.25">
      <c r="A576">
        <v>100944</v>
      </c>
      <c r="B576" t="s">
        <v>151</v>
      </c>
      <c r="C576" t="s">
        <v>152</v>
      </c>
      <c r="D576" t="s">
        <v>1011</v>
      </c>
      <c r="E576" t="s">
        <v>2974</v>
      </c>
      <c r="F576" t="s">
        <v>2654</v>
      </c>
      <c r="G576" t="s">
        <v>2609</v>
      </c>
      <c r="H576" t="s">
        <v>2581</v>
      </c>
      <c r="I576">
        <v>0</v>
      </c>
      <c r="J576">
        <v>534</v>
      </c>
      <c r="K576" t="s">
        <v>56</v>
      </c>
      <c r="L576" t="s">
        <v>20</v>
      </c>
    </row>
    <row r="577" spans="1:12" x14ac:dyDescent="0.25">
      <c r="A577">
        <v>101351</v>
      </c>
      <c r="B577" t="s">
        <v>438</v>
      </c>
      <c r="C577" t="s">
        <v>95</v>
      </c>
      <c r="D577" t="s">
        <v>1012</v>
      </c>
      <c r="E577" t="s">
        <v>2975</v>
      </c>
      <c r="F577" t="s">
        <v>2643</v>
      </c>
      <c r="G577" t="s">
        <v>2599</v>
      </c>
      <c r="H577" t="s">
        <v>2597</v>
      </c>
      <c r="I577">
        <v>7</v>
      </c>
      <c r="J577">
        <v>858</v>
      </c>
      <c r="K577" t="s">
        <v>56</v>
      </c>
      <c r="L577" t="s">
        <v>20</v>
      </c>
    </row>
    <row r="578" spans="1:12" x14ac:dyDescent="0.25">
      <c r="A578">
        <v>101080</v>
      </c>
      <c r="B578" t="s">
        <v>530</v>
      </c>
      <c r="C578" t="s">
        <v>142</v>
      </c>
      <c r="D578" t="s">
        <v>1013</v>
      </c>
      <c r="E578" t="s">
        <v>2976</v>
      </c>
      <c r="F578" t="s">
        <v>2608</v>
      </c>
      <c r="G578" t="s">
        <v>2580</v>
      </c>
      <c r="H578" t="s">
        <v>2581</v>
      </c>
      <c r="I578">
        <v>0</v>
      </c>
      <c r="J578">
        <v>819</v>
      </c>
      <c r="K578" t="s">
        <v>19</v>
      </c>
      <c r="L578" t="s">
        <v>26</v>
      </c>
    </row>
    <row r="579" spans="1:12" x14ac:dyDescent="0.25">
      <c r="A579">
        <v>100604</v>
      </c>
      <c r="B579" t="s">
        <v>247</v>
      </c>
      <c r="C579" t="s">
        <v>126</v>
      </c>
      <c r="D579" t="s">
        <v>856</v>
      </c>
      <c r="E579" t="s">
        <v>1014</v>
      </c>
      <c r="F579" t="s">
        <v>2590</v>
      </c>
      <c r="G579" t="s">
        <v>2600</v>
      </c>
      <c r="H579" t="s">
        <v>2594</v>
      </c>
      <c r="I579">
        <v>79</v>
      </c>
      <c r="J579">
        <v>527</v>
      </c>
      <c r="K579" t="s">
        <v>56</v>
      </c>
      <c r="L579" t="s">
        <v>20</v>
      </c>
    </row>
    <row r="580" spans="1:12" x14ac:dyDescent="0.25">
      <c r="A580">
        <v>101429</v>
      </c>
      <c r="B580" t="s">
        <v>382</v>
      </c>
      <c r="C580" t="s">
        <v>152</v>
      </c>
      <c r="D580" t="s">
        <v>1015</v>
      </c>
      <c r="E580" t="s">
        <v>2977</v>
      </c>
      <c r="F580" t="s">
        <v>2613</v>
      </c>
      <c r="G580" t="s">
        <v>2617</v>
      </c>
      <c r="H580" t="s">
        <v>18</v>
      </c>
      <c r="I580">
        <v>0</v>
      </c>
      <c r="J580">
        <v>797</v>
      </c>
      <c r="K580" t="s">
        <v>45</v>
      </c>
      <c r="L580" t="s">
        <v>2582</v>
      </c>
    </row>
    <row r="581" spans="1:12" x14ac:dyDescent="0.25">
      <c r="A581">
        <v>101428</v>
      </c>
      <c r="B581" t="s">
        <v>207</v>
      </c>
      <c r="C581" t="s">
        <v>103</v>
      </c>
      <c r="D581" t="s">
        <v>281</v>
      </c>
      <c r="E581" t="s">
        <v>2978</v>
      </c>
      <c r="F581" t="s">
        <v>2654</v>
      </c>
      <c r="G581" t="s">
        <v>55</v>
      </c>
      <c r="H581" t="s">
        <v>2597</v>
      </c>
      <c r="I581">
        <v>11</v>
      </c>
      <c r="J581">
        <v>360</v>
      </c>
      <c r="K581" t="s">
        <v>32</v>
      </c>
      <c r="L581" t="s">
        <v>2582</v>
      </c>
    </row>
    <row r="582" spans="1:12" x14ac:dyDescent="0.25">
      <c r="A582">
        <v>101878</v>
      </c>
      <c r="B582" t="s">
        <v>581</v>
      </c>
      <c r="C582" t="s">
        <v>103</v>
      </c>
      <c r="D582" t="s">
        <v>1016</v>
      </c>
      <c r="E582" t="s">
        <v>1017</v>
      </c>
      <c r="F582" t="s">
        <v>2593</v>
      </c>
      <c r="G582" t="s">
        <v>2635</v>
      </c>
      <c r="H582" t="s">
        <v>42</v>
      </c>
      <c r="I582">
        <v>91</v>
      </c>
      <c r="J582">
        <v>435</v>
      </c>
      <c r="K582" t="s">
        <v>32</v>
      </c>
      <c r="L582" t="s">
        <v>2588</v>
      </c>
    </row>
    <row r="583" spans="1:12" x14ac:dyDescent="0.25">
      <c r="A583">
        <v>101632</v>
      </c>
      <c r="B583" t="s">
        <v>269</v>
      </c>
      <c r="C583" t="s">
        <v>270</v>
      </c>
      <c r="D583" t="s">
        <v>426</v>
      </c>
      <c r="E583" t="s">
        <v>1018</v>
      </c>
      <c r="F583" t="s">
        <v>2629</v>
      </c>
      <c r="G583" t="s">
        <v>2652</v>
      </c>
      <c r="H583" t="s">
        <v>2644</v>
      </c>
      <c r="I583">
        <v>0</v>
      </c>
      <c r="J583">
        <v>515</v>
      </c>
      <c r="K583" t="s">
        <v>19</v>
      </c>
      <c r="L583" t="s">
        <v>2582</v>
      </c>
    </row>
    <row r="584" spans="1:12" x14ac:dyDescent="0.25">
      <c r="A584">
        <v>102123</v>
      </c>
      <c r="B584" t="s">
        <v>525</v>
      </c>
      <c r="C584" t="s">
        <v>2728</v>
      </c>
      <c r="D584" t="s">
        <v>1019</v>
      </c>
      <c r="E584" t="s">
        <v>2979</v>
      </c>
      <c r="F584" t="s">
        <v>64</v>
      </c>
      <c r="G584" t="s">
        <v>60</v>
      </c>
      <c r="H584" t="s">
        <v>18</v>
      </c>
      <c r="I584">
        <v>0</v>
      </c>
      <c r="J584">
        <v>501</v>
      </c>
      <c r="K584" t="s">
        <v>56</v>
      </c>
      <c r="L584" t="s">
        <v>2582</v>
      </c>
    </row>
    <row r="585" spans="1:12" x14ac:dyDescent="0.25">
      <c r="A585">
        <v>101272</v>
      </c>
      <c r="B585" t="s">
        <v>276</v>
      </c>
      <c r="C585" t="s">
        <v>52</v>
      </c>
      <c r="D585" t="s">
        <v>1020</v>
      </c>
      <c r="E585" t="s">
        <v>1021</v>
      </c>
      <c r="F585" t="s">
        <v>2613</v>
      </c>
      <c r="G585" t="s">
        <v>2614</v>
      </c>
      <c r="H585" t="s">
        <v>18</v>
      </c>
      <c r="I585">
        <v>0</v>
      </c>
      <c r="J585">
        <v>638</v>
      </c>
      <c r="K585" t="s">
        <v>56</v>
      </c>
      <c r="L585" t="s">
        <v>2582</v>
      </c>
    </row>
    <row r="586" spans="1:12" x14ac:dyDescent="0.25">
      <c r="A586">
        <v>101897</v>
      </c>
      <c r="B586" t="s">
        <v>1022</v>
      </c>
      <c r="C586" t="s">
        <v>270</v>
      </c>
      <c r="D586" t="s">
        <v>343</v>
      </c>
      <c r="E586" t="s">
        <v>1023</v>
      </c>
      <c r="F586" t="s">
        <v>2648</v>
      </c>
      <c r="G586" t="s">
        <v>31</v>
      </c>
      <c r="H586" t="s">
        <v>83</v>
      </c>
      <c r="I586">
        <v>0</v>
      </c>
      <c r="J586">
        <v>383</v>
      </c>
      <c r="K586" t="s">
        <v>45</v>
      </c>
      <c r="L586" t="s">
        <v>26</v>
      </c>
    </row>
    <row r="587" spans="1:12" x14ac:dyDescent="0.25">
      <c r="A587">
        <v>100144</v>
      </c>
      <c r="B587" t="s">
        <v>131</v>
      </c>
      <c r="C587" t="s">
        <v>39</v>
      </c>
      <c r="D587" t="s">
        <v>1024</v>
      </c>
      <c r="E587" t="s">
        <v>1025</v>
      </c>
      <c r="F587" t="s">
        <v>2616</v>
      </c>
      <c r="G587" t="s">
        <v>2652</v>
      </c>
      <c r="H587" t="s">
        <v>2630</v>
      </c>
      <c r="I587">
        <v>28</v>
      </c>
      <c r="J587">
        <v>867</v>
      </c>
      <c r="K587" t="s">
        <v>19</v>
      </c>
      <c r="L587" t="s">
        <v>26</v>
      </c>
    </row>
    <row r="588" spans="1:12" x14ac:dyDescent="0.25">
      <c r="A588">
        <v>101192</v>
      </c>
      <c r="B588" t="s">
        <v>1026</v>
      </c>
      <c r="C588" t="s">
        <v>244</v>
      </c>
      <c r="D588" t="s">
        <v>216</v>
      </c>
      <c r="E588" t="s">
        <v>1027</v>
      </c>
      <c r="F588" t="s">
        <v>50</v>
      </c>
      <c r="G588" t="s">
        <v>2609</v>
      </c>
      <c r="H588" t="s">
        <v>18</v>
      </c>
      <c r="I588">
        <v>0</v>
      </c>
      <c r="J588">
        <v>560</v>
      </c>
      <c r="K588" t="s">
        <v>45</v>
      </c>
      <c r="L588" t="s">
        <v>2582</v>
      </c>
    </row>
    <row r="589" spans="1:12" x14ac:dyDescent="0.25">
      <c r="A589">
        <v>101216</v>
      </c>
      <c r="B589" t="s">
        <v>890</v>
      </c>
      <c r="C589" t="s">
        <v>2730</v>
      </c>
      <c r="D589" t="s">
        <v>1028</v>
      </c>
      <c r="E589" t="s">
        <v>2980</v>
      </c>
      <c r="F589" t="s">
        <v>50</v>
      </c>
      <c r="G589" t="s">
        <v>2607</v>
      </c>
      <c r="H589" t="s">
        <v>2587</v>
      </c>
      <c r="I589">
        <v>0</v>
      </c>
      <c r="J589">
        <v>733</v>
      </c>
      <c r="K589" t="s">
        <v>19</v>
      </c>
      <c r="L589" t="s">
        <v>2588</v>
      </c>
    </row>
    <row r="590" spans="1:12" x14ac:dyDescent="0.25">
      <c r="A590">
        <v>100008</v>
      </c>
      <c r="B590" t="s">
        <v>940</v>
      </c>
      <c r="C590" t="s">
        <v>52</v>
      </c>
      <c r="D590" t="s">
        <v>1029</v>
      </c>
      <c r="E590" t="s">
        <v>1030</v>
      </c>
      <c r="F590" t="s">
        <v>2627</v>
      </c>
      <c r="G590" t="s">
        <v>2635</v>
      </c>
      <c r="H590" t="s">
        <v>18</v>
      </c>
      <c r="I590">
        <v>0</v>
      </c>
      <c r="J590">
        <v>640</v>
      </c>
      <c r="K590" t="s">
        <v>56</v>
      </c>
      <c r="L590" t="s">
        <v>20</v>
      </c>
    </row>
    <row r="591" spans="1:12" x14ac:dyDescent="0.25">
      <c r="A591">
        <v>100181</v>
      </c>
      <c r="B591" t="s">
        <v>167</v>
      </c>
      <c r="C591" t="s">
        <v>168</v>
      </c>
      <c r="D591" t="s">
        <v>1031</v>
      </c>
      <c r="E591" t="s">
        <v>1032</v>
      </c>
      <c r="F591" t="s">
        <v>30</v>
      </c>
      <c r="G591" t="s">
        <v>2591</v>
      </c>
      <c r="H591" t="s">
        <v>2581</v>
      </c>
      <c r="J591">
        <v>658</v>
      </c>
      <c r="K591" t="s">
        <v>56</v>
      </c>
      <c r="L591" t="s">
        <v>2582</v>
      </c>
    </row>
    <row r="592" spans="1:12" x14ac:dyDescent="0.25">
      <c r="A592">
        <v>101826</v>
      </c>
      <c r="B592" t="s">
        <v>367</v>
      </c>
      <c r="C592" t="s">
        <v>103</v>
      </c>
      <c r="D592" t="s">
        <v>1033</v>
      </c>
      <c r="E592" t="s">
        <v>2981</v>
      </c>
      <c r="F592" t="s">
        <v>2646</v>
      </c>
      <c r="G592" t="s">
        <v>2584</v>
      </c>
      <c r="H592" t="s">
        <v>2618</v>
      </c>
      <c r="I592">
        <v>0</v>
      </c>
      <c r="J592">
        <v>621</v>
      </c>
      <c r="K592" t="s">
        <v>19</v>
      </c>
      <c r="L592" t="s">
        <v>2588</v>
      </c>
    </row>
    <row r="593" spans="1:12" x14ac:dyDescent="0.25">
      <c r="A593">
        <v>101621</v>
      </c>
      <c r="B593" t="s">
        <v>820</v>
      </c>
      <c r="C593" t="s">
        <v>22</v>
      </c>
      <c r="D593" t="s">
        <v>544</v>
      </c>
      <c r="E593" t="s">
        <v>1034</v>
      </c>
      <c r="F593" t="s">
        <v>2593</v>
      </c>
      <c r="G593" t="s">
        <v>2584</v>
      </c>
      <c r="H593" t="s">
        <v>2630</v>
      </c>
      <c r="I593">
        <v>8</v>
      </c>
      <c r="J593">
        <v>621</v>
      </c>
      <c r="K593" t="s">
        <v>56</v>
      </c>
      <c r="L593" t="s">
        <v>2588</v>
      </c>
    </row>
    <row r="594" spans="1:12" x14ac:dyDescent="0.25">
      <c r="A594">
        <v>101154</v>
      </c>
      <c r="B594" t="s">
        <v>347</v>
      </c>
      <c r="C594" t="s">
        <v>95</v>
      </c>
      <c r="D594" t="s">
        <v>1035</v>
      </c>
      <c r="E594" t="s">
        <v>2982</v>
      </c>
      <c r="F594" t="s">
        <v>2608</v>
      </c>
      <c r="G594" t="s">
        <v>2600</v>
      </c>
      <c r="H594" t="s">
        <v>2644</v>
      </c>
      <c r="I594">
        <v>0</v>
      </c>
      <c r="J594">
        <v>699</v>
      </c>
      <c r="K594" t="s">
        <v>37</v>
      </c>
      <c r="L594" t="s">
        <v>2588</v>
      </c>
    </row>
    <row r="595" spans="1:12" x14ac:dyDescent="0.25">
      <c r="A595">
        <v>100464</v>
      </c>
      <c r="B595" t="s">
        <v>1036</v>
      </c>
      <c r="C595" t="s">
        <v>149</v>
      </c>
      <c r="D595" t="s">
        <v>1037</v>
      </c>
      <c r="E595" t="s">
        <v>2983</v>
      </c>
      <c r="F595" t="s">
        <v>2641</v>
      </c>
      <c r="G595" t="s">
        <v>2584</v>
      </c>
      <c r="H595" t="s">
        <v>25</v>
      </c>
      <c r="I595">
        <v>1</v>
      </c>
      <c r="J595">
        <v>358</v>
      </c>
      <c r="K595" t="s">
        <v>19</v>
      </c>
      <c r="L595" t="s">
        <v>2588</v>
      </c>
    </row>
    <row r="596" spans="1:12" x14ac:dyDescent="0.25">
      <c r="A596">
        <v>101646</v>
      </c>
      <c r="B596" t="s">
        <v>708</v>
      </c>
      <c r="C596" t="s">
        <v>270</v>
      </c>
      <c r="D596" t="s">
        <v>1038</v>
      </c>
      <c r="F596" t="s">
        <v>2583</v>
      </c>
      <c r="G596" t="s">
        <v>2631</v>
      </c>
      <c r="H596" t="s">
        <v>2618</v>
      </c>
      <c r="I596">
        <v>0</v>
      </c>
      <c r="J596">
        <v>451</v>
      </c>
      <c r="K596" t="s">
        <v>37</v>
      </c>
      <c r="L596" t="s">
        <v>20</v>
      </c>
    </row>
    <row r="597" spans="1:12" x14ac:dyDescent="0.25">
      <c r="A597">
        <v>101942</v>
      </c>
      <c r="B597" t="s">
        <v>451</v>
      </c>
      <c r="C597" t="s">
        <v>103</v>
      </c>
      <c r="D597" t="s">
        <v>1039</v>
      </c>
      <c r="E597" t="s">
        <v>2984</v>
      </c>
      <c r="F597" t="s">
        <v>2593</v>
      </c>
      <c r="G597" t="s">
        <v>2599</v>
      </c>
      <c r="H597" t="s">
        <v>18</v>
      </c>
      <c r="J597">
        <v>418</v>
      </c>
      <c r="K597" t="s">
        <v>32</v>
      </c>
      <c r="L597" t="s">
        <v>20</v>
      </c>
    </row>
    <row r="598" spans="1:12" x14ac:dyDescent="0.25">
      <c r="A598">
        <v>100383</v>
      </c>
      <c r="B598" t="s">
        <v>621</v>
      </c>
      <c r="C598" t="s">
        <v>72</v>
      </c>
      <c r="D598" t="s">
        <v>1040</v>
      </c>
      <c r="E598" t="s">
        <v>1041</v>
      </c>
      <c r="F598" t="s">
        <v>2640</v>
      </c>
      <c r="G598" t="s">
        <v>2682</v>
      </c>
      <c r="H598" t="s">
        <v>2620</v>
      </c>
      <c r="I598">
        <v>0</v>
      </c>
      <c r="J598">
        <v>377</v>
      </c>
      <c r="K598" t="s">
        <v>45</v>
      </c>
      <c r="L598" t="s">
        <v>26</v>
      </c>
    </row>
    <row r="599" spans="1:12" x14ac:dyDescent="0.25">
      <c r="A599">
        <v>101931</v>
      </c>
      <c r="B599" t="s">
        <v>1042</v>
      </c>
      <c r="C599" t="s">
        <v>58</v>
      </c>
      <c r="D599" t="s">
        <v>1043</v>
      </c>
      <c r="E599" t="s">
        <v>1044</v>
      </c>
      <c r="F599" t="s">
        <v>2579</v>
      </c>
      <c r="G599" t="s">
        <v>2652</v>
      </c>
      <c r="H599" t="s">
        <v>2620</v>
      </c>
      <c r="I599">
        <v>0</v>
      </c>
      <c r="J599">
        <v>578</v>
      </c>
      <c r="K599" t="s">
        <v>37</v>
      </c>
      <c r="L599" t="s">
        <v>26</v>
      </c>
    </row>
    <row r="600" spans="1:12" x14ac:dyDescent="0.25">
      <c r="A600">
        <v>100742</v>
      </c>
      <c r="B600" t="s">
        <v>510</v>
      </c>
      <c r="D600" t="s">
        <v>1045</v>
      </c>
      <c r="E600" t="s">
        <v>1046</v>
      </c>
      <c r="F600" t="s">
        <v>2616</v>
      </c>
      <c r="G600" t="s">
        <v>2635</v>
      </c>
      <c r="H600" t="s">
        <v>83</v>
      </c>
      <c r="I600">
        <v>0</v>
      </c>
      <c r="J600">
        <v>411</v>
      </c>
      <c r="K600" t="s">
        <v>37</v>
      </c>
      <c r="L600" t="s">
        <v>2582</v>
      </c>
    </row>
    <row r="601" spans="1:12" x14ac:dyDescent="0.25">
      <c r="A601">
        <v>100701</v>
      </c>
      <c r="B601" t="s">
        <v>847</v>
      </c>
      <c r="C601" t="s">
        <v>22</v>
      </c>
      <c r="D601" t="s">
        <v>998</v>
      </c>
      <c r="E601" t="s">
        <v>2969</v>
      </c>
      <c r="F601" t="s">
        <v>2646</v>
      </c>
      <c r="G601" t="s">
        <v>2635</v>
      </c>
      <c r="H601" t="s">
        <v>2618</v>
      </c>
      <c r="I601">
        <v>0</v>
      </c>
      <c r="J601">
        <v>612</v>
      </c>
      <c r="K601" t="s">
        <v>56</v>
      </c>
      <c r="L601" t="s">
        <v>2582</v>
      </c>
    </row>
    <row r="602" spans="1:12" x14ac:dyDescent="0.25">
      <c r="A602">
        <v>100961</v>
      </c>
      <c r="B602" t="s">
        <v>396</v>
      </c>
      <c r="C602" t="s">
        <v>103</v>
      </c>
      <c r="D602" t="s">
        <v>1047</v>
      </c>
      <c r="E602" t="s">
        <v>1048</v>
      </c>
      <c r="F602" t="s">
        <v>2629</v>
      </c>
      <c r="G602" t="s">
        <v>2617</v>
      </c>
      <c r="H602" t="s">
        <v>2581</v>
      </c>
      <c r="I602">
        <v>0</v>
      </c>
      <c r="J602">
        <v>437</v>
      </c>
      <c r="K602" t="s">
        <v>56</v>
      </c>
      <c r="L602" t="s">
        <v>2588</v>
      </c>
    </row>
    <row r="603" spans="1:12" x14ac:dyDescent="0.25">
      <c r="A603">
        <v>101913</v>
      </c>
      <c r="B603" t="s">
        <v>162</v>
      </c>
      <c r="C603" t="s">
        <v>13</v>
      </c>
      <c r="D603" t="s">
        <v>1049</v>
      </c>
      <c r="E603" t="s">
        <v>1050</v>
      </c>
      <c r="F603" t="s">
        <v>2646</v>
      </c>
      <c r="G603" t="s">
        <v>2631</v>
      </c>
      <c r="H603" t="s">
        <v>2620</v>
      </c>
      <c r="I603">
        <v>0</v>
      </c>
      <c r="J603">
        <v>410</v>
      </c>
      <c r="K603" t="s">
        <v>19</v>
      </c>
      <c r="L603" t="s">
        <v>26</v>
      </c>
    </row>
    <row r="604" spans="1:12" x14ac:dyDescent="0.25">
      <c r="A604">
        <v>101379</v>
      </c>
      <c r="B604" t="s">
        <v>1026</v>
      </c>
      <c r="C604" t="s">
        <v>244</v>
      </c>
      <c r="D604" t="s">
        <v>1051</v>
      </c>
      <c r="E604" t="s">
        <v>1052</v>
      </c>
      <c r="F604" t="s">
        <v>2583</v>
      </c>
      <c r="H604" t="s">
        <v>2618</v>
      </c>
      <c r="I604">
        <v>0</v>
      </c>
      <c r="J604">
        <v>560</v>
      </c>
      <c r="K604" t="s">
        <v>37</v>
      </c>
      <c r="L604" t="s">
        <v>20</v>
      </c>
    </row>
    <row r="605" spans="1:12" x14ac:dyDescent="0.25">
      <c r="A605">
        <v>100015</v>
      </c>
      <c r="B605" t="s">
        <v>1053</v>
      </c>
      <c r="D605" t="s">
        <v>1054</v>
      </c>
      <c r="E605" t="s">
        <v>2985</v>
      </c>
      <c r="F605" t="s">
        <v>41</v>
      </c>
      <c r="G605" t="s">
        <v>2584</v>
      </c>
      <c r="H605" t="s">
        <v>2585</v>
      </c>
      <c r="I605">
        <v>3</v>
      </c>
      <c r="J605">
        <v>864</v>
      </c>
      <c r="K605" t="s">
        <v>45</v>
      </c>
      <c r="L605" t="s">
        <v>26</v>
      </c>
    </row>
    <row r="606" spans="1:12" x14ac:dyDescent="0.25">
      <c r="A606">
        <v>100192</v>
      </c>
      <c r="B606" t="s">
        <v>497</v>
      </c>
      <c r="C606" t="s">
        <v>2649</v>
      </c>
      <c r="D606" t="s">
        <v>1055</v>
      </c>
      <c r="E606" t="s">
        <v>2986</v>
      </c>
      <c r="F606" t="s">
        <v>2579</v>
      </c>
      <c r="G606" t="s">
        <v>2631</v>
      </c>
      <c r="H606" t="s">
        <v>2581</v>
      </c>
      <c r="I606">
        <v>0</v>
      </c>
      <c r="J606">
        <v>465</v>
      </c>
      <c r="K606" t="s">
        <v>19</v>
      </c>
      <c r="L606" t="s">
        <v>20</v>
      </c>
    </row>
    <row r="607" spans="1:12" x14ac:dyDescent="0.25">
      <c r="A607">
        <v>101577</v>
      </c>
      <c r="B607" t="s">
        <v>38</v>
      </c>
      <c r="D607" t="s">
        <v>1056</v>
      </c>
      <c r="E607" t="s">
        <v>2987</v>
      </c>
      <c r="F607" t="s">
        <v>2629</v>
      </c>
      <c r="G607" t="s">
        <v>2652</v>
      </c>
      <c r="H607" t="s">
        <v>2644</v>
      </c>
      <c r="I607">
        <v>0</v>
      </c>
      <c r="J607">
        <v>533</v>
      </c>
      <c r="K607" t="s">
        <v>45</v>
      </c>
      <c r="L607" t="s">
        <v>2582</v>
      </c>
    </row>
    <row r="608" spans="1:12" x14ac:dyDescent="0.25">
      <c r="A608">
        <v>100425</v>
      </c>
      <c r="B608" t="s">
        <v>750</v>
      </c>
      <c r="C608" t="s">
        <v>52</v>
      </c>
      <c r="D608" t="s">
        <v>1057</v>
      </c>
      <c r="E608" t="s">
        <v>1058</v>
      </c>
      <c r="F608" t="s">
        <v>2598</v>
      </c>
      <c r="G608" t="s">
        <v>2658</v>
      </c>
      <c r="H608" t="s">
        <v>2620</v>
      </c>
      <c r="I608">
        <v>0</v>
      </c>
      <c r="J608">
        <v>856</v>
      </c>
      <c r="K608" t="s">
        <v>37</v>
      </c>
      <c r="L608" t="s">
        <v>2588</v>
      </c>
    </row>
    <row r="609" spans="1:12" x14ac:dyDescent="0.25">
      <c r="A609">
        <v>100049</v>
      </c>
      <c r="B609" t="s">
        <v>1059</v>
      </c>
      <c r="C609" t="s">
        <v>2730</v>
      </c>
      <c r="D609" t="s">
        <v>137</v>
      </c>
      <c r="E609" t="s">
        <v>1060</v>
      </c>
      <c r="F609" t="s">
        <v>30</v>
      </c>
      <c r="G609" t="s">
        <v>2600</v>
      </c>
      <c r="H609" t="s">
        <v>2620</v>
      </c>
      <c r="I609">
        <v>0</v>
      </c>
      <c r="J609">
        <v>571</v>
      </c>
      <c r="K609" t="s">
        <v>19</v>
      </c>
      <c r="L609" t="s">
        <v>2582</v>
      </c>
    </row>
    <row r="610" spans="1:12" x14ac:dyDescent="0.25">
      <c r="A610">
        <v>101324</v>
      </c>
      <c r="B610" t="s">
        <v>222</v>
      </c>
      <c r="D610" t="s">
        <v>791</v>
      </c>
      <c r="E610" t="s">
        <v>1061</v>
      </c>
      <c r="F610" t="s">
        <v>2590</v>
      </c>
      <c r="G610" t="s">
        <v>55</v>
      </c>
      <c r="H610" t="s">
        <v>2620</v>
      </c>
      <c r="I610">
        <v>0</v>
      </c>
      <c r="J610">
        <v>585</v>
      </c>
      <c r="K610" t="s">
        <v>19</v>
      </c>
      <c r="L610" t="s">
        <v>2582</v>
      </c>
    </row>
    <row r="611" spans="1:12" x14ac:dyDescent="0.25">
      <c r="A611">
        <v>101500</v>
      </c>
      <c r="B611" t="s">
        <v>396</v>
      </c>
      <c r="C611" t="s">
        <v>103</v>
      </c>
      <c r="D611" t="s">
        <v>1062</v>
      </c>
      <c r="E611" t="s">
        <v>2988</v>
      </c>
      <c r="F611" t="s">
        <v>30</v>
      </c>
      <c r="G611" t="s">
        <v>2600</v>
      </c>
      <c r="H611" t="s">
        <v>83</v>
      </c>
      <c r="I611">
        <v>0</v>
      </c>
      <c r="J611">
        <v>437</v>
      </c>
      <c r="K611" t="s">
        <v>19</v>
      </c>
      <c r="L611" t="s">
        <v>20</v>
      </c>
    </row>
    <row r="612" spans="1:12" x14ac:dyDescent="0.25">
      <c r="A612">
        <v>101888</v>
      </c>
      <c r="B612" t="s">
        <v>553</v>
      </c>
      <c r="C612" t="s">
        <v>72</v>
      </c>
      <c r="D612" t="s">
        <v>1063</v>
      </c>
      <c r="E612" t="s">
        <v>1064</v>
      </c>
      <c r="F612" t="s">
        <v>2640</v>
      </c>
      <c r="G612" t="s">
        <v>2599</v>
      </c>
      <c r="H612" t="s">
        <v>2644</v>
      </c>
      <c r="I612">
        <v>0</v>
      </c>
      <c r="J612">
        <v>638</v>
      </c>
      <c r="K612" t="s">
        <v>32</v>
      </c>
      <c r="L612" t="s">
        <v>26</v>
      </c>
    </row>
    <row r="613" spans="1:12" x14ac:dyDescent="0.25">
      <c r="A613">
        <v>101790</v>
      </c>
      <c r="B613" t="s">
        <v>820</v>
      </c>
      <c r="C613" t="s">
        <v>22</v>
      </c>
      <c r="D613" t="s">
        <v>1065</v>
      </c>
      <c r="E613" t="s">
        <v>1066</v>
      </c>
      <c r="F613" t="s">
        <v>2604</v>
      </c>
      <c r="G613" t="s">
        <v>2635</v>
      </c>
      <c r="H613" t="s">
        <v>2620</v>
      </c>
      <c r="I613">
        <v>0</v>
      </c>
      <c r="J613">
        <v>621</v>
      </c>
      <c r="K613" t="s">
        <v>32</v>
      </c>
      <c r="L613" t="s">
        <v>20</v>
      </c>
    </row>
    <row r="614" spans="1:12" x14ac:dyDescent="0.25">
      <c r="A614">
        <v>102145</v>
      </c>
      <c r="B614" t="s">
        <v>657</v>
      </c>
      <c r="C614" t="s">
        <v>52</v>
      </c>
      <c r="D614" t="s">
        <v>1067</v>
      </c>
      <c r="E614" t="s">
        <v>2989</v>
      </c>
      <c r="F614" t="s">
        <v>2604</v>
      </c>
      <c r="G614" t="s">
        <v>2580</v>
      </c>
      <c r="H614" t="s">
        <v>2587</v>
      </c>
      <c r="J614">
        <v>518</v>
      </c>
      <c r="K614" t="s">
        <v>37</v>
      </c>
      <c r="L614" t="s">
        <v>20</v>
      </c>
    </row>
    <row r="615" spans="1:12" x14ac:dyDescent="0.25">
      <c r="A615">
        <v>101261</v>
      </c>
      <c r="B615" t="s">
        <v>84</v>
      </c>
      <c r="C615" t="s">
        <v>85</v>
      </c>
      <c r="D615" t="s">
        <v>482</v>
      </c>
      <c r="E615" t="s">
        <v>1068</v>
      </c>
      <c r="F615" t="s">
        <v>2583</v>
      </c>
      <c r="G615" t="s">
        <v>2631</v>
      </c>
      <c r="H615" t="s">
        <v>2620</v>
      </c>
      <c r="I615">
        <v>0</v>
      </c>
      <c r="J615">
        <v>400</v>
      </c>
      <c r="K615" t="s">
        <v>45</v>
      </c>
      <c r="L615" t="s">
        <v>2588</v>
      </c>
    </row>
    <row r="616" spans="1:12" x14ac:dyDescent="0.25">
      <c r="A616">
        <v>102027</v>
      </c>
      <c r="B616" t="s">
        <v>1069</v>
      </c>
      <c r="C616" t="s">
        <v>22</v>
      </c>
      <c r="D616" t="s">
        <v>1070</v>
      </c>
      <c r="E616" t="s">
        <v>2990</v>
      </c>
      <c r="F616" t="s">
        <v>2593</v>
      </c>
      <c r="G616" t="s">
        <v>2658</v>
      </c>
      <c r="H616" t="s">
        <v>2620</v>
      </c>
      <c r="I616">
        <v>0</v>
      </c>
      <c r="J616">
        <v>607</v>
      </c>
      <c r="K616" t="s">
        <v>19</v>
      </c>
      <c r="L616" t="s">
        <v>20</v>
      </c>
    </row>
    <row r="617" spans="1:12" x14ac:dyDescent="0.25">
      <c r="A617">
        <v>100482</v>
      </c>
      <c r="B617" t="s">
        <v>625</v>
      </c>
      <c r="C617" t="s">
        <v>152</v>
      </c>
      <c r="D617" t="s">
        <v>302</v>
      </c>
      <c r="E617" t="s">
        <v>1071</v>
      </c>
      <c r="F617" t="s">
        <v>2643</v>
      </c>
      <c r="G617" t="s">
        <v>2658</v>
      </c>
      <c r="H617" t="s">
        <v>2587</v>
      </c>
      <c r="I617">
        <v>0</v>
      </c>
      <c r="J617">
        <v>678</v>
      </c>
      <c r="K617" t="s">
        <v>32</v>
      </c>
      <c r="L617" t="s">
        <v>20</v>
      </c>
    </row>
    <row r="618" spans="1:12" x14ac:dyDescent="0.25">
      <c r="A618">
        <v>100577</v>
      </c>
      <c r="B618" t="s">
        <v>515</v>
      </c>
      <c r="C618" t="s">
        <v>22</v>
      </c>
      <c r="D618" t="s">
        <v>1072</v>
      </c>
      <c r="E618" t="s">
        <v>2991</v>
      </c>
      <c r="F618" t="s">
        <v>2646</v>
      </c>
      <c r="G618" t="s">
        <v>2631</v>
      </c>
      <c r="H618" t="s">
        <v>2597</v>
      </c>
      <c r="I618">
        <v>10</v>
      </c>
      <c r="J618">
        <v>826</v>
      </c>
      <c r="K618" t="s">
        <v>32</v>
      </c>
      <c r="L618" t="s">
        <v>26</v>
      </c>
    </row>
    <row r="619" spans="1:12" x14ac:dyDescent="0.25">
      <c r="A619">
        <v>101672</v>
      </c>
      <c r="B619" t="s">
        <v>177</v>
      </c>
      <c r="C619" t="s">
        <v>85</v>
      </c>
      <c r="D619" t="s">
        <v>1073</v>
      </c>
      <c r="E619" t="s">
        <v>1074</v>
      </c>
      <c r="F619" t="s">
        <v>2648</v>
      </c>
      <c r="G619" t="s">
        <v>2596</v>
      </c>
      <c r="H619" t="s">
        <v>2587</v>
      </c>
      <c r="I619">
        <v>0</v>
      </c>
      <c r="J619">
        <v>375</v>
      </c>
      <c r="K619" t="s">
        <v>45</v>
      </c>
      <c r="L619" t="s">
        <v>2582</v>
      </c>
    </row>
    <row r="620" spans="1:12" x14ac:dyDescent="0.25">
      <c r="A620">
        <v>100888</v>
      </c>
      <c r="B620" t="s">
        <v>294</v>
      </c>
      <c r="C620" t="s">
        <v>100</v>
      </c>
      <c r="D620" t="s">
        <v>1075</v>
      </c>
      <c r="E620" t="s">
        <v>1076</v>
      </c>
      <c r="F620" t="s">
        <v>2648</v>
      </c>
      <c r="G620" t="s">
        <v>2652</v>
      </c>
      <c r="H620" t="s">
        <v>2587</v>
      </c>
      <c r="I620">
        <v>0</v>
      </c>
      <c r="J620">
        <v>377</v>
      </c>
      <c r="K620" t="s">
        <v>32</v>
      </c>
      <c r="L620" t="s">
        <v>2588</v>
      </c>
    </row>
    <row r="621" spans="1:12" x14ac:dyDescent="0.25">
      <c r="A621">
        <v>100040</v>
      </c>
      <c r="B621" t="s">
        <v>202</v>
      </c>
      <c r="C621" t="s">
        <v>95</v>
      </c>
      <c r="D621" t="s">
        <v>1077</v>
      </c>
      <c r="E621" t="s">
        <v>2992</v>
      </c>
      <c r="F621" t="s">
        <v>2583</v>
      </c>
      <c r="G621" t="s">
        <v>2611</v>
      </c>
      <c r="H621" t="s">
        <v>18</v>
      </c>
      <c r="I621">
        <v>0</v>
      </c>
      <c r="J621">
        <v>570</v>
      </c>
      <c r="K621" t="s">
        <v>56</v>
      </c>
      <c r="L621" t="s">
        <v>2582</v>
      </c>
    </row>
    <row r="622" spans="1:12" x14ac:dyDescent="0.25">
      <c r="A622">
        <v>101905</v>
      </c>
      <c r="B622" t="s">
        <v>798</v>
      </c>
      <c r="C622" t="s">
        <v>149</v>
      </c>
      <c r="D622" t="s">
        <v>1016</v>
      </c>
      <c r="E622" t="s">
        <v>2993</v>
      </c>
      <c r="F622" t="s">
        <v>2593</v>
      </c>
      <c r="G622" t="s">
        <v>2611</v>
      </c>
      <c r="H622" t="s">
        <v>25</v>
      </c>
      <c r="I622">
        <v>6</v>
      </c>
      <c r="J622">
        <v>555</v>
      </c>
      <c r="K622" t="s">
        <v>56</v>
      </c>
      <c r="L622" t="s">
        <v>2582</v>
      </c>
    </row>
    <row r="623" spans="1:12" x14ac:dyDescent="0.25">
      <c r="A623">
        <v>101505</v>
      </c>
      <c r="B623" t="s">
        <v>489</v>
      </c>
      <c r="C623" t="s">
        <v>126</v>
      </c>
      <c r="D623" t="s">
        <v>975</v>
      </c>
      <c r="E623" t="s">
        <v>2994</v>
      </c>
      <c r="F623" t="s">
        <v>2593</v>
      </c>
      <c r="G623" t="s">
        <v>60</v>
      </c>
      <c r="H623" t="s">
        <v>2620</v>
      </c>
      <c r="I623">
        <v>0</v>
      </c>
      <c r="J623">
        <v>843</v>
      </c>
      <c r="K623" t="s">
        <v>56</v>
      </c>
      <c r="L623" t="s">
        <v>2582</v>
      </c>
    </row>
    <row r="624" spans="1:12" x14ac:dyDescent="0.25">
      <c r="A624">
        <v>101632</v>
      </c>
      <c r="B624" t="s">
        <v>269</v>
      </c>
      <c r="C624" t="s">
        <v>270</v>
      </c>
      <c r="D624" t="s">
        <v>426</v>
      </c>
      <c r="E624" t="s">
        <v>1018</v>
      </c>
      <c r="F624" t="s">
        <v>2629</v>
      </c>
      <c r="G624" t="s">
        <v>2652</v>
      </c>
      <c r="H624" t="s">
        <v>2644</v>
      </c>
      <c r="I624">
        <v>0</v>
      </c>
      <c r="J624">
        <v>515</v>
      </c>
      <c r="K624" t="s">
        <v>19</v>
      </c>
      <c r="L624" t="s">
        <v>2582</v>
      </c>
    </row>
    <row r="625" spans="1:12" x14ac:dyDescent="0.25">
      <c r="A625">
        <v>101819</v>
      </c>
      <c r="B625" t="s">
        <v>450</v>
      </c>
      <c r="C625" t="s">
        <v>95</v>
      </c>
      <c r="D625" t="s">
        <v>826</v>
      </c>
      <c r="E625" t="s">
        <v>2995</v>
      </c>
      <c r="F625" t="s">
        <v>2616</v>
      </c>
      <c r="G625" t="s">
        <v>2609</v>
      </c>
      <c r="H625" t="s">
        <v>2623</v>
      </c>
      <c r="I625">
        <v>133</v>
      </c>
      <c r="J625">
        <v>890</v>
      </c>
      <c r="K625" t="s">
        <v>37</v>
      </c>
      <c r="L625" t="s">
        <v>20</v>
      </c>
    </row>
    <row r="626" spans="1:12" x14ac:dyDescent="0.25">
      <c r="A626">
        <v>100414</v>
      </c>
      <c r="B626" t="s">
        <v>102</v>
      </c>
      <c r="C626" t="s">
        <v>103</v>
      </c>
      <c r="D626" t="s">
        <v>1078</v>
      </c>
      <c r="E626" t="s">
        <v>1079</v>
      </c>
      <c r="F626" t="s">
        <v>2646</v>
      </c>
      <c r="G626" t="s">
        <v>2617</v>
      </c>
      <c r="H626" t="s">
        <v>2618</v>
      </c>
      <c r="I626">
        <v>0</v>
      </c>
      <c r="J626">
        <v>733</v>
      </c>
      <c r="K626" t="s">
        <v>32</v>
      </c>
      <c r="L626" t="s">
        <v>2582</v>
      </c>
    </row>
    <row r="628" spans="1:12" x14ac:dyDescent="0.25">
      <c r="A628">
        <v>100952</v>
      </c>
      <c r="B628" t="s">
        <v>481</v>
      </c>
      <c r="C628" t="s">
        <v>168</v>
      </c>
      <c r="D628" t="s">
        <v>572</v>
      </c>
      <c r="E628" t="s">
        <v>2802</v>
      </c>
      <c r="F628" t="s">
        <v>2641</v>
      </c>
      <c r="G628" t="s">
        <v>2591</v>
      </c>
      <c r="H628" t="s">
        <v>2585</v>
      </c>
      <c r="I628">
        <v>27</v>
      </c>
      <c r="J628">
        <v>548</v>
      </c>
      <c r="K628" t="s">
        <v>56</v>
      </c>
      <c r="L628" t="s">
        <v>20</v>
      </c>
    </row>
    <row r="629" spans="1:12" x14ac:dyDescent="0.25">
      <c r="A629">
        <v>101605</v>
      </c>
      <c r="B629" t="s">
        <v>596</v>
      </c>
      <c r="C629" t="s">
        <v>22</v>
      </c>
      <c r="D629" t="s">
        <v>1080</v>
      </c>
      <c r="E629" t="s">
        <v>1081</v>
      </c>
      <c r="F629" t="s">
        <v>2640</v>
      </c>
      <c r="G629" t="s">
        <v>2600</v>
      </c>
      <c r="H629" t="s">
        <v>2581</v>
      </c>
      <c r="I629">
        <v>0</v>
      </c>
      <c r="J629">
        <v>603</v>
      </c>
      <c r="K629" t="s">
        <v>45</v>
      </c>
      <c r="L629" t="s">
        <v>20</v>
      </c>
    </row>
    <row r="630" spans="1:12" x14ac:dyDescent="0.25">
      <c r="A630">
        <v>100123</v>
      </c>
      <c r="B630" t="s">
        <v>160</v>
      </c>
      <c r="C630" t="s">
        <v>72</v>
      </c>
      <c r="D630" t="s">
        <v>1082</v>
      </c>
      <c r="E630" t="s">
        <v>2996</v>
      </c>
      <c r="F630" t="s">
        <v>2646</v>
      </c>
      <c r="G630" t="s">
        <v>81</v>
      </c>
      <c r="H630" t="s">
        <v>2581</v>
      </c>
      <c r="I630">
        <v>0</v>
      </c>
      <c r="J630">
        <v>585</v>
      </c>
      <c r="K630" t="s">
        <v>32</v>
      </c>
      <c r="L630" t="s">
        <v>2582</v>
      </c>
    </row>
    <row r="631" spans="1:12" x14ac:dyDescent="0.25">
      <c r="A631">
        <v>100350</v>
      </c>
      <c r="B631" t="s">
        <v>174</v>
      </c>
      <c r="C631" t="s">
        <v>2664</v>
      </c>
      <c r="D631" t="s">
        <v>533</v>
      </c>
      <c r="E631" t="s">
        <v>2997</v>
      </c>
      <c r="F631" t="s">
        <v>2613</v>
      </c>
      <c r="G631" t="s">
        <v>2611</v>
      </c>
      <c r="H631" t="s">
        <v>2581</v>
      </c>
      <c r="I631">
        <v>0</v>
      </c>
      <c r="J631">
        <v>554</v>
      </c>
      <c r="K631" t="s">
        <v>19</v>
      </c>
      <c r="L631" t="s">
        <v>2582</v>
      </c>
    </row>
    <row r="632" spans="1:12" x14ac:dyDescent="0.25">
      <c r="A632">
        <v>101412</v>
      </c>
      <c r="B632" t="s">
        <v>684</v>
      </c>
      <c r="C632" t="s">
        <v>149</v>
      </c>
      <c r="D632" t="s">
        <v>1083</v>
      </c>
      <c r="E632" t="s">
        <v>2998</v>
      </c>
      <c r="F632" t="s">
        <v>30</v>
      </c>
      <c r="G632" t="s">
        <v>60</v>
      </c>
      <c r="H632" t="s">
        <v>2644</v>
      </c>
      <c r="I632">
        <v>0</v>
      </c>
      <c r="J632">
        <v>494</v>
      </c>
      <c r="K632" t="s">
        <v>37</v>
      </c>
    </row>
    <row r="633" spans="1:12" x14ac:dyDescent="0.25">
      <c r="A633">
        <v>101367</v>
      </c>
      <c r="B633" t="s">
        <v>616</v>
      </c>
      <c r="C633" t="s">
        <v>95</v>
      </c>
      <c r="D633" t="s">
        <v>104</v>
      </c>
      <c r="E633" t="s">
        <v>1084</v>
      </c>
      <c r="F633" t="s">
        <v>2646</v>
      </c>
      <c r="G633" t="s">
        <v>2611</v>
      </c>
      <c r="H633" t="s">
        <v>83</v>
      </c>
      <c r="I633">
        <v>0</v>
      </c>
      <c r="J633">
        <v>898</v>
      </c>
      <c r="K633" t="s">
        <v>37</v>
      </c>
      <c r="L633" t="s">
        <v>20</v>
      </c>
    </row>
    <row r="634" spans="1:12" x14ac:dyDescent="0.25">
      <c r="A634">
        <v>100523</v>
      </c>
      <c r="B634" t="s">
        <v>12</v>
      </c>
      <c r="C634" t="s">
        <v>2786</v>
      </c>
      <c r="D634" t="s">
        <v>1085</v>
      </c>
      <c r="E634" t="s">
        <v>2999</v>
      </c>
      <c r="F634" t="s">
        <v>2598</v>
      </c>
      <c r="G634" t="s">
        <v>2602</v>
      </c>
      <c r="H634" t="s">
        <v>18</v>
      </c>
      <c r="I634">
        <v>0</v>
      </c>
      <c r="J634">
        <v>753</v>
      </c>
      <c r="K634" t="s">
        <v>19</v>
      </c>
      <c r="L634" t="s">
        <v>2582</v>
      </c>
    </row>
    <row r="635" spans="1:12" x14ac:dyDescent="0.25">
      <c r="A635">
        <v>101496</v>
      </c>
      <c r="B635" t="s">
        <v>563</v>
      </c>
      <c r="C635" t="s">
        <v>58</v>
      </c>
      <c r="D635" t="s">
        <v>499</v>
      </c>
      <c r="E635" t="s">
        <v>3000</v>
      </c>
      <c r="F635" t="s">
        <v>2629</v>
      </c>
      <c r="G635" t="s">
        <v>2625</v>
      </c>
      <c r="H635" t="s">
        <v>2623</v>
      </c>
      <c r="I635">
        <v>174</v>
      </c>
      <c r="J635">
        <v>893</v>
      </c>
      <c r="K635" t="s">
        <v>32</v>
      </c>
      <c r="L635" t="s">
        <v>2588</v>
      </c>
    </row>
    <row r="636" spans="1:12" x14ac:dyDescent="0.25">
      <c r="A636">
        <v>101870</v>
      </c>
      <c r="B636" t="s">
        <v>141</v>
      </c>
      <c r="C636" t="s">
        <v>142</v>
      </c>
      <c r="D636" t="s">
        <v>1086</v>
      </c>
      <c r="E636" t="s">
        <v>3001</v>
      </c>
      <c r="F636" t="s">
        <v>2590</v>
      </c>
      <c r="G636" t="s">
        <v>2596</v>
      </c>
      <c r="H636" t="s">
        <v>2581</v>
      </c>
      <c r="I636">
        <v>0</v>
      </c>
      <c r="J636">
        <v>430</v>
      </c>
      <c r="K636" t="s">
        <v>45</v>
      </c>
      <c r="L636" t="s">
        <v>26</v>
      </c>
    </row>
    <row r="637" spans="1:12" x14ac:dyDescent="0.25">
      <c r="A637">
        <v>100113</v>
      </c>
      <c r="B637" t="s">
        <v>497</v>
      </c>
      <c r="C637" t="s">
        <v>2649</v>
      </c>
      <c r="D637" t="s">
        <v>1087</v>
      </c>
      <c r="E637" t="s">
        <v>3002</v>
      </c>
      <c r="F637" t="s">
        <v>41</v>
      </c>
      <c r="G637" t="s">
        <v>2633</v>
      </c>
      <c r="H637" t="s">
        <v>2620</v>
      </c>
      <c r="I637">
        <v>0</v>
      </c>
      <c r="J637">
        <v>465</v>
      </c>
      <c r="K637" t="s">
        <v>37</v>
      </c>
      <c r="L637" t="s">
        <v>26</v>
      </c>
    </row>
    <row r="638" spans="1:12" x14ac:dyDescent="0.25">
      <c r="A638">
        <v>101657</v>
      </c>
      <c r="B638" t="s">
        <v>443</v>
      </c>
      <c r="C638" t="s">
        <v>72</v>
      </c>
      <c r="D638" t="s">
        <v>1088</v>
      </c>
      <c r="E638" t="s">
        <v>1089</v>
      </c>
      <c r="F638" t="s">
        <v>2629</v>
      </c>
      <c r="G638" t="s">
        <v>2600</v>
      </c>
      <c r="H638" t="s">
        <v>25</v>
      </c>
      <c r="I638">
        <v>16</v>
      </c>
      <c r="J638">
        <v>309</v>
      </c>
      <c r="K638" t="s">
        <v>19</v>
      </c>
      <c r="L638" t="s">
        <v>26</v>
      </c>
    </row>
    <row r="639" spans="1:12" x14ac:dyDescent="0.25">
      <c r="A639">
        <v>101631</v>
      </c>
      <c r="B639" t="s">
        <v>141</v>
      </c>
      <c r="C639" t="s">
        <v>142</v>
      </c>
      <c r="D639" t="s">
        <v>1090</v>
      </c>
      <c r="E639" t="s">
        <v>3003</v>
      </c>
      <c r="F639" t="s">
        <v>64</v>
      </c>
      <c r="G639" t="s">
        <v>2596</v>
      </c>
      <c r="H639" t="s">
        <v>18</v>
      </c>
      <c r="I639">
        <v>0</v>
      </c>
      <c r="J639">
        <v>430</v>
      </c>
      <c r="K639" t="s">
        <v>45</v>
      </c>
      <c r="L639" t="s">
        <v>2588</v>
      </c>
    </row>
    <row r="640" spans="1:12" x14ac:dyDescent="0.25">
      <c r="A640">
        <v>100279</v>
      </c>
      <c r="B640" t="s">
        <v>1091</v>
      </c>
      <c r="C640" t="s">
        <v>270</v>
      </c>
      <c r="D640" t="s">
        <v>888</v>
      </c>
      <c r="E640" t="s">
        <v>1092</v>
      </c>
      <c r="F640" t="s">
        <v>41</v>
      </c>
      <c r="G640" t="s">
        <v>2658</v>
      </c>
      <c r="H640" t="s">
        <v>2594</v>
      </c>
      <c r="I640">
        <v>132</v>
      </c>
      <c r="J640">
        <v>817</v>
      </c>
      <c r="K640" t="s">
        <v>45</v>
      </c>
      <c r="L640" t="s">
        <v>2582</v>
      </c>
    </row>
    <row r="641" spans="1:12" x14ac:dyDescent="0.25">
      <c r="A641">
        <v>101421</v>
      </c>
      <c r="B641" t="s">
        <v>151</v>
      </c>
      <c r="C641" t="s">
        <v>152</v>
      </c>
      <c r="D641" t="s">
        <v>1093</v>
      </c>
      <c r="E641" t="s">
        <v>1094</v>
      </c>
      <c r="F641" t="s">
        <v>2627</v>
      </c>
      <c r="G641" t="s">
        <v>81</v>
      </c>
      <c r="H641" t="s">
        <v>2581</v>
      </c>
      <c r="I641">
        <v>0</v>
      </c>
      <c r="J641">
        <v>534</v>
      </c>
      <c r="K641" t="s">
        <v>32</v>
      </c>
      <c r="L641" t="s">
        <v>20</v>
      </c>
    </row>
    <row r="643" spans="1:12" x14ac:dyDescent="0.25">
      <c r="A643">
        <v>101213</v>
      </c>
      <c r="B643" t="s">
        <v>616</v>
      </c>
      <c r="C643" t="s">
        <v>95</v>
      </c>
      <c r="D643" t="s">
        <v>1095</v>
      </c>
      <c r="E643" t="s">
        <v>3004</v>
      </c>
      <c r="F643" t="s">
        <v>2593</v>
      </c>
      <c r="G643" t="s">
        <v>2633</v>
      </c>
      <c r="H643" t="s">
        <v>2618</v>
      </c>
      <c r="I643">
        <v>0</v>
      </c>
      <c r="J643">
        <v>898</v>
      </c>
      <c r="K643" t="s">
        <v>45</v>
      </c>
      <c r="L643" t="s">
        <v>2582</v>
      </c>
    </row>
    <row r="644" spans="1:12" x14ac:dyDescent="0.25">
      <c r="A644">
        <v>101923</v>
      </c>
      <c r="B644" t="s">
        <v>392</v>
      </c>
      <c r="C644" t="s">
        <v>72</v>
      </c>
      <c r="D644" t="s">
        <v>1096</v>
      </c>
      <c r="E644" t="s">
        <v>3005</v>
      </c>
      <c r="F644" t="s">
        <v>41</v>
      </c>
      <c r="G644" t="s">
        <v>2635</v>
      </c>
      <c r="H644" t="s">
        <v>2587</v>
      </c>
      <c r="I644">
        <v>0</v>
      </c>
      <c r="J644">
        <v>433</v>
      </c>
      <c r="K644" t="s">
        <v>19</v>
      </c>
      <c r="L644" t="s">
        <v>2588</v>
      </c>
    </row>
    <row r="645" spans="1:12" x14ac:dyDescent="0.25">
      <c r="A645">
        <v>100714</v>
      </c>
      <c r="B645" t="s">
        <v>742</v>
      </c>
      <c r="C645" t="s">
        <v>2703</v>
      </c>
      <c r="D645" t="s">
        <v>464</v>
      </c>
      <c r="E645" t="s">
        <v>1097</v>
      </c>
      <c r="F645" t="s">
        <v>2613</v>
      </c>
      <c r="G645" t="s">
        <v>60</v>
      </c>
      <c r="H645" t="s">
        <v>83</v>
      </c>
      <c r="I645">
        <v>0</v>
      </c>
      <c r="J645">
        <v>571</v>
      </c>
      <c r="K645" t="s">
        <v>32</v>
      </c>
      <c r="L645" t="s">
        <v>20</v>
      </c>
    </row>
    <row r="646" spans="1:12" x14ac:dyDescent="0.25">
      <c r="A646">
        <v>102060</v>
      </c>
      <c r="B646" t="s">
        <v>431</v>
      </c>
      <c r="C646" t="s">
        <v>28</v>
      </c>
      <c r="D646" t="s">
        <v>1098</v>
      </c>
      <c r="E646" t="s">
        <v>3006</v>
      </c>
      <c r="F646" t="s">
        <v>2654</v>
      </c>
      <c r="G646" t="s">
        <v>2591</v>
      </c>
      <c r="H646" t="s">
        <v>18</v>
      </c>
      <c r="I646">
        <v>0</v>
      </c>
      <c r="J646">
        <v>691</v>
      </c>
      <c r="K646" t="s">
        <v>32</v>
      </c>
      <c r="L646" t="s">
        <v>2588</v>
      </c>
    </row>
    <row r="647" spans="1:12" x14ac:dyDescent="0.25">
      <c r="A647">
        <v>100505</v>
      </c>
      <c r="B647" t="s">
        <v>493</v>
      </c>
      <c r="C647" t="s">
        <v>152</v>
      </c>
      <c r="D647" t="s">
        <v>1099</v>
      </c>
      <c r="E647" t="s">
        <v>1100</v>
      </c>
      <c r="F647" t="s">
        <v>30</v>
      </c>
      <c r="G647" t="s">
        <v>2611</v>
      </c>
      <c r="H647" t="s">
        <v>18</v>
      </c>
      <c r="I647">
        <v>0</v>
      </c>
      <c r="J647">
        <v>737</v>
      </c>
      <c r="K647" t="s">
        <v>45</v>
      </c>
      <c r="L647" t="s">
        <v>2582</v>
      </c>
    </row>
    <row r="648" spans="1:12" x14ac:dyDescent="0.25">
      <c r="A648">
        <v>102016</v>
      </c>
      <c r="B648" t="s">
        <v>27</v>
      </c>
      <c r="C648" t="s">
        <v>28</v>
      </c>
      <c r="D648" t="s">
        <v>1101</v>
      </c>
      <c r="E648" t="s">
        <v>1102</v>
      </c>
      <c r="F648" t="s">
        <v>64</v>
      </c>
      <c r="G648" t="s">
        <v>2635</v>
      </c>
      <c r="H648" t="s">
        <v>2587</v>
      </c>
      <c r="I648">
        <v>0</v>
      </c>
      <c r="J648">
        <v>849</v>
      </c>
      <c r="K648" t="s">
        <v>56</v>
      </c>
      <c r="L648" t="s">
        <v>2588</v>
      </c>
    </row>
    <row r="649" spans="1:12" x14ac:dyDescent="0.25">
      <c r="A649">
        <v>101718</v>
      </c>
      <c r="B649" t="s">
        <v>162</v>
      </c>
      <c r="C649" t="s">
        <v>13</v>
      </c>
      <c r="D649" t="s">
        <v>1103</v>
      </c>
      <c r="E649" t="s">
        <v>1104</v>
      </c>
      <c r="F649" t="s">
        <v>2640</v>
      </c>
      <c r="G649" t="s">
        <v>2609</v>
      </c>
      <c r="H649" t="s">
        <v>2618</v>
      </c>
      <c r="I649">
        <v>0</v>
      </c>
      <c r="J649">
        <v>410</v>
      </c>
      <c r="K649" t="s">
        <v>32</v>
      </c>
      <c r="L649" t="s">
        <v>26</v>
      </c>
    </row>
    <row r="650" spans="1:12" x14ac:dyDescent="0.25">
      <c r="A650">
        <v>102108</v>
      </c>
      <c r="B650" t="s">
        <v>307</v>
      </c>
      <c r="C650" t="s">
        <v>58</v>
      </c>
      <c r="D650" t="s">
        <v>1105</v>
      </c>
      <c r="E650" t="s">
        <v>3007</v>
      </c>
      <c r="F650" t="s">
        <v>2616</v>
      </c>
      <c r="G650" t="s">
        <v>2635</v>
      </c>
      <c r="H650" t="s">
        <v>2587</v>
      </c>
      <c r="I650">
        <v>0</v>
      </c>
      <c r="J650">
        <v>616</v>
      </c>
      <c r="K650" t="s">
        <v>19</v>
      </c>
      <c r="L650" t="s">
        <v>2582</v>
      </c>
    </row>
    <row r="651" spans="1:12" x14ac:dyDescent="0.25">
      <c r="A651">
        <v>101481</v>
      </c>
      <c r="B651" t="s">
        <v>863</v>
      </c>
      <c r="C651" t="s">
        <v>39</v>
      </c>
      <c r="D651" t="s">
        <v>1106</v>
      </c>
      <c r="E651" t="s">
        <v>3008</v>
      </c>
      <c r="F651" t="s">
        <v>41</v>
      </c>
      <c r="G651" t="s">
        <v>2602</v>
      </c>
      <c r="H651" t="s">
        <v>2585</v>
      </c>
      <c r="I651">
        <v>30</v>
      </c>
      <c r="J651">
        <v>427</v>
      </c>
      <c r="K651" t="s">
        <v>45</v>
      </c>
      <c r="L651" t="s">
        <v>20</v>
      </c>
    </row>
    <row r="652" spans="1:12" x14ac:dyDescent="0.25">
      <c r="A652">
        <v>100159</v>
      </c>
      <c r="B652" t="s">
        <v>84</v>
      </c>
      <c r="C652" t="s">
        <v>85</v>
      </c>
      <c r="D652" t="s">
        <v>1107</v>
      </c>
      <c r="E652" t="s">
        <v>3009</v>
      </c>
      <c r="F652" t="s">
        <v>2641</v>
      </c>
      <c r="G652" t="s">
        <v>2682</v>
      </c>
      <c r="H652" t="s">
        <v>2644</v>
      </c>
      <c r="I652">
        <v>0</v>
      </c>
      <c r="J652">
        <v>400</v>
      </c>
      <c r="K652" t="s">
        <v>45</v>
      </c>
      <c r="L652" t="s">
        <v>2588</v>
      </c>
    </row>
    <row r="653" spans="1:12" x14ac:dyDescent="0.25">
      <c r="A653">
        <v>101340</v>
      </c>
      <c r="B653" t="s">
        <v>474</v>
      </c>
      <c r="C653" t="s">
        <v>270</v>
      </c>
      <c r="D653" t="s">
        <v>1108</v>
      </c>
      <c r="E653" t="s">
        <v>3010</v>
      </c>
      <c r="F653" t="s">
        <v>2579</v>
      </c>
      <c r="G653" t="s">
        <v>2600</v>
      </c>
      <c r="H653" t="s">
        <v>2620</v>
      </c>
      <c r="I653">
        <v>0</v>
      </c>
      <c r="J653">
        <v>483</v>
      </c>
      <c r="K653" t="s">
        <v>19</v>
      </c>
      <c r="L653" t="s">
        <v>2588</v>
      </c>
    </row>
    <row r="654" spans="1:12" x14ac:dyDescent="0.25">
      <c r="A654">
        <v>100548</v>
      </c>
      <c r="B654" t="s">
        <v>292</v>
      </c>
      <c r="C654" t="s">
        <v>149</v>
      </c>
      <c r="D654" t="s">
        <v>1109</v>
      </c>
      <c r="E654" t="s">
        <v>1110</v>
      </c>
      <c r="F654" t="s">
        <v>50</v>
      </c>
      <c r="G654" t="s">
        <v>2609</v>
      </c>
      <c r="H654" t="s">
        <v>2587</v>
      </c>
      <c r="I654">
        <v>0</v>
      </c>
      <c r="J654">
        <v>466</v>
      </c>
      <c r="K654" t="s">
        <v>32</v>
      </c>
      <c r="L654" t="s">
        <v>2588</v>
      </c>
    </row>
    <row r="655" spans="1:12" x14ac:dyDescent="0.25">
      <c r="A655">
        <v>100004</v>
      </c>
      <c r="B655" t="s">
        <v>162</v>
      </c>
      <c r="C655" t="s">
        <v>13</v>
      </c>
      <c r="D655" t="s">
        <v>1111</v>
      </c>
      <c r="E655" t="s">
        <v>1112</v>
      </c>
      <c r="F655" t="s">
        <v>2593</v>
      </c>
      <c r="G655" t="s">
        <v>2635</v>
      </c>
      <c r="H655" t="s">
        <v>2587</v>
      </c>
      <c r="I655">
        <v>0</v>
      </c>
      <c r="J655">
        <v>410</v>
      </c>
      <c r="K655" t="s">
        <v>19</v>
      </c>
      <c r="L655" t="s">
        <v>20</v>
      </c>
    </row>
    <row r="656" spans="1:12" x14ac:dyDescent="0.25">
      <c r="A656">
        <v>100120</v>
      </c>
      <c r="B656" t="s">
        <v>478</v>
      </c>
      <c r="C656" t="s">
        <v>218</v>
      </c>
      <c r="D656" t="s">
        <v>397</v>
      </c>
      <c r="E656" t="s">
        <v>3011</v>
      </c>
      <c r="F656" t="s">
        <v>64</v>
      </c>
      <c r="G656" t="s">
        <v>2602</v>
      </c>
      <c r="H656" t="s">
        <v>2623</v>
      </c>
      <c r="I656">
        <v>69</v>
      </c>
      <c r="J656">
        <v>712</v>
      </c>
      <c r="K656" t="s">
        <v>19</v>
      </c>
      <c r="L656" t="s">
        <v>20</v>
      </c>
    </row>
    <row r="657" spans="1:12" x14ac:dyDescent="0.25">
      <c r="A657">
        <v>100389</v>
      </c>
      <c r="B657" t="s">
        <v>220</v>
      </c>
      <c r="C657" t="s">
        <v>152</v>
      </c>
      <c r="D657" t="s">
        <v>1113</v>
      </c>
      <c r="E657" t="s">
        <v>1114</v>
      </c>
      <c r="F657" t="s">
        <v>30</v>
      </c>
      <c r="G657" t="s">
        <v>2682</v>
      </c>
      <c r="H657" t="s">
        <v>2597</v>
      </c>
      <c r="I657">
        <v>6</v>
      </c>
      <c r="J657">
        <v>710</v>
      </c>
      <c r="K657" t="s">
        <v>32</v>
      </c>
      <c r="L657" t="s">
        <v>2582</v>
      </c>
    </row>
    <row r="658" spans="1:12" x14ac:dyDescent="0.25">
      <c r="A658">
        <v>101128</v>
      </c>
      <c r="B658" t="s">
        <v>162</v>
      </c>
      <c r="C658" t="s">
        <v>13</v>
      </c>
      <c r="D658" t="s">
        <v>1115</v>
      </c>
      <c r="E658" t="s">
        <v>1116</v>
      </c>
      <c r="F658" t="s">
        <v>2613</v>
      </c>
      <c r="G658" t="s">
        <v>31</v>
      </c>
      <c r="H658" t="s">
        <v>2587</v>
      </c>
      <c r="I658">
        <v>0</v>
      </c>
      <c r="J658">
        <v>410</v>
      </c>
      <c r="K658" t="s">
        <v>37</v>
      </c>
      <c r="L658" t="s">
        <v>20</v>
      </c>
    </row>
    <row r="659" spans="1:12" x14ac:dyDescent="0.25">
      <c r="A659">
        <v>101943</v>
      </c>
      <c r="B659" t="s">
        <v>367</v>
      </c>
      <c r="C659" t="s">
        <v>103</v>
      </c>
      <c r="F659" t="s">
        <v>2643</v>
      </c>
      <c r="G659" t="s">
        <v>31</v>
      </c>
      <c r="H659" t="s">
        <v>2623</v>
      </c>
      <c r="I659">
        <v>40</v>
      </c>
      <c r="J659">
        <v>621</v>
      </c>
      <c r="K659" t="s">
        <v>32</v>
      </c>
      <c r="L659" t="s">
        <v>2582</v>
      </c>
    </row>
    <row r="660" spans="1:12" x14ac:dyDescent="0.25">
      <c r="A660">
        <v>100561</v>
      </c>
      <c r="B660" t="s">
        <v>184</v>
      </c>
      <c r="C660" t="s">
        <v>62</v>
      </c>
      <c r="D660" t="s">
        <v>393</v>
      </c>
      <c r="E660" t="s">
        <v>3012</v>
      </c>
      <c r="F660" t="s">
        <v>41</v>
      </c>
      <c r="G660" t="s">
        <v>2652</v>
      </c>
      <c r="H660" t="s">
        <v>25</v>
      </c>
      <c r="I660">
        <v>16</v>
      </c>
      <c r="J660">
        <v>571</v>
      </c>
      <c r="K660" t="s">
        <v>32</v>
      </c>
      <c r="L660" t="s">
        <v>2588</v>
      </c>
    </row>
    <row r="661" spans="1:12" x14ac:dyDescent="0.25">
      <c r="A661">
        <v>101287</v>
      </c>
      <c r="B661" t="s">
        <v>75</v>
      </c>
      <c r="C661" t="s">
        <v>2792</v>
      </c>
      <c r="D661" t="s">
        <v>1117</v>
      </c>
      <c r="E661" t="s">
        <v>3013</v>
      </c>
      <c r="F661" t="s">
        <v>2608</v>
      </c>
      <c r="G661" t="s">
        <v>2599</v>
      </c>
      <c r="H661" t="s">
        <v>2620</v>
      </c>
      <c r="I661">
        <v>0</v>
      </c>
      <c r="J661">
        <v>554</v>
      </c>
      <c r="K661" t="s">
        <v>56</v>
      </c>
      <c r="L661" t="s">
        <v>26</v>
      </c>
    </row>
    <row r="662" spans="1:12" x14ac:dyDescent="0.25">
      <c r="A662">
        <v>100581</v>
      </c>
      <c r="B662" t="s">
        <v>196</v>
      </c>
      <c r="C662" t="s">
        <v>152</v>
      </c>
      <c r="D662" t="s">
        <v>899</v>
      </c>
      <c r="E662" t="s">
        <v>1118</v>
      </c>
      <c r="F662" t="s">
        <v>2583</v>
      </c>
      <c r="G662" t="s">
        <v>2602</v>
      </c>
      <c r="H662" t="s">
        <v>25</v>
      </c>
      <c r="I662">
        <v>27</v>
      </c>
      <c r="J662">
        <v>405</v>
      </c>
      <c r="K662" t="s">
        <v>19</v>
      </c>
      <c r="L662" t="s">
        <v>2582</v>
      </c>
    </row>
    <row r="663" spans="1:12" x14ac:dyDescent="0.25">
      <c r="A663">
        <v>100075</v>
      </c>
      <c r="B663" t="s">
        <v>360</v>
      </c>
      <c r="C663" t="s">
        <v>149</v>
      </c>
      <c r="D663" t="s">
        <v>1119</v>
      </c>
      <c r="E663" t="s">
        <v>3014</v>
      </c>
      <c r="F663" t="s">
        <v>2629</v>
      </c>
      <c r="G663" t="s">
        <v>2602</v>
      </c>
      <c r="H663" t="s">
        <v>2581</v>
      </c>
      <c r="I663">
        <v>0</v>
      </c>
      <c r="J663">
        <v>621</v>
      </c>
      <c r="K663" t="s">
        <v>32</v>
      </c>
      <c r="L663" t="s">
        <v>26</v>
      </c>
    </row>
    <row r="664" spans="1:12" x14ac:dyDescent="0.25">
      <c r="A664">
        <v>100183</v>
      </c>
      <c r="B664" t="s">
        <v>489</v>
      </c>
      <c r="C664" t="s">
        <v>2634</v>
      </c>
      <c r="D664" t="s">
        <v>1120</v>
      </c>
      <c r="E664" t="s">
        <v>3015</v>
      </c>
      <c r="F664" t="s">
        <v>2608</v>
      </c>
      <c r="G664" t="s">
        <v>2580</v>
      </c>
      <c r="H664" t="s">
        <v>18</v>
      </c>
      <c r="I664">
        <v>0</v>
      </c>
      <c r="J664">
        <v>843</v>
      </c>
      <c r="K664" t="s">
        <v>32</v>
      </c>
      <c r="L664" t="s">
        <v>20</v>
      </c>
    </row>
    <row r="665" spans="1:12" x14ac:dyDescent="0.25">
      <c r="A665">
        <v>101597</v>
      </c>
      <c r="B665" t="s">
        <v>596</v>
      </c>
      <c r="C665" t="s">
        <v>22</v>
      </c>
      <c r="D665" t="s">
        <v>752</v>
      </c>
      <c r="E665" t="s">
        <v>3016</v>
      </c>
      <c r="F665" t="s">
        <v>2641</v>
      </c>
      <c r="G665" t="s">
        <v>2584</v>
      </c>
      <c r="H665" t="s">
        <v>83</v>
      </c>
      <c r="I665">
        <v>0</v>
      </c>
      <c r="J665">
        <v>603</v>
      </c>
      <c r="K665" t="s">
        <v>56</v>
      </c>
      <c r="L665" t="s">
        <v>2582</v>
      </c>
    </row>
    <row r="666" spans="1:12" x14ac:dyDescent="0.25">
      <c r="A666">
        <v>100043</v>
      </c>
      <c r="B666" t="s">
        <v>610</v>
      </c>
      <c r="C666" t="s">
        <v>2634</v>
      </c>
      <c r="D666" t="s">
        <v>1121</v>
      </c>
      <c r="E666" t="s">
        <v>3017</v>
      </c>
      <c r="F666" t="s">
        <v>2627</v>
      </c>
      <c r="G666" t="s">
        <v>81</v>
      </c>
      <c r="H666" t="s">
        <v>2620</v>
      </c>
      <c r="I666">
        <v>0</v>
      </c>
      <c r="J666">
        <v>315</v>
      </c>
      <c r="K666" t="s">
        <v>32</v>
      </c>
      <c r="L666" t="s">
        <v>2588</v>
      </c>
    </row>
    <row r="667" spans="1:12" x14ac:dyDescent="0.25">
      <c r="A667">
        <v>100343</v>
      </c>
      <c r="B667" t="s">
        <v>338</v>
      </c>
      <c r="C667" t="s">
        <v>22</v>
      </c>
      <c r="D667" t="s">
        <v>1122</v>
      </c>
      <c r="E667" t="s">
        <v>3018</v>
      </c>
      <c r="F667" t="s">
        <v>2613</v>
      </c>
      <c r="G667" t="s">
        <v>2602</v>
      </c>
      <c r="H667" t="s">
        <v>2587</v>
      </c>
      <c r="I667">
        <v>0</v>
      </c>
      <c r="J667">
        <v>832</v>
      </c>
      <c r="K667" t="s">
        <v>56</v>
      </c>
      <c r="L667" t="s">
        <v>20</v>
      </c>
    </row>
    <row r="668" spans="1:12" x14ac:dyDescent="0.25">
      <c r="A668">
        <v>100798</v>
      </c>
      <c r="B668" t="s">
        <v>325</v>
      </c>
      <c r="C668" t="s">
        <v>126</v>
      </c>
      <c r="D668" t="s">
        <v>1124</v>
      </c>
      <c r="E668" t="s">
        <v>3019</v>
      </c>
      <c r="F668" t="s">
        <v>2590</v>
      </c>
      <c r="G668" t="s">
        <v>31</v>
      </c>
      <c r="H668" t="s">
        <v>83</v>
      </c>
      <c r="I668">
        <v>0</v>
      </c>
      <c r="J668">
        <v>570</v>
      </c>
      <c r="K668" t="s">
        <v>37</v>
      </c>
      <c r="L668" t="s">
        <v>26</v>
      </c>
    </row>
    <row r="669" spans="1:12" x14ac:dyDescent="0.25">
      <c r="A669">
        <v>101253</v>
      </c>
      <c r="B669" t="s">
        <v>376</v>
      </c>
      <c r="C669" t="s">
        <v>22</v>
      </c>
      <c r="D669" t="s">
        <v>1125</v>
      </c>
      <c r="E669" t="s">
        <v>1126</v>
      </c>
      <c r="F669" t="s">
        <v>2627</v>
      </c>
      <c r="G669" t="s">
        <v>55</v>
      </c>
      <c r="H669" t="s">
        <v>2587</v>
      </c>
      <c r="I669">
        <v>0</v>
      </c>
      <c r="J669">
        <v>340</v>
      </c>
      <c r="K669" t="s">
        <v>37</v>
      </c>
      <c r="L669" t="s">
        <v>26</v>
      </c>
    </row>
    <row r="670" spans="1:12" x14ac:dyDescent="0.25">
      <c r="A670">
        <v>101201</v>
      </c>
      <c r="B670" t="s">
        <v>210</v>
      </c>
      <c r="C670" t="s">
        <v>95</v>
      </c>
      <c r="D670" t="s">
        <v>63</v>
      </c>
      <c r="E670" t="s">
        <v>1127</v>
      </c>
      <c r="F670" t="s">
        <v>2643</v>
      </c>
      <c r="G670" t="s">
        <v>2658</v>
      </c>
      <c r="H670" t="s">
        <v>2581</v>
      </c>
      <c r="I670">
        <v>0</v>
      </c>
      <c r="J670">
        <v>369</v>
      </c>
      <c r="K670" t="s">
        <v>37</v>
      </c>
      <c r="L670" t="s">
        <v>2588</v>
      </c>
    </row>
    <row r="671" spans="1:12" x14ac:dyDescent="0.25">
      <c r="A671">
        <v>102130</v>
      </c>
      <c r="B671" t="s">
        <v>965</v>
      </c>
      <c r="C671" t="s">
        <v>110</v>
      </c>
      <c r="D671" t="s">
        <v>1128</v>
      </c>
      <c r="E671" t="s">
        <v>1129</v>
      </c>
      <c r="F671" t="s">
        <v>2608</v>
      </c>
      <c r="G671" t="s">
        <v>2625</v>
      </c>
      <c r="H671" t="s">
        <v>83</v>
      </c>
      <c r="I671">
        <v>0</v>
      </c>
      <c r="J671">
        <v>821</v>
      </c>
      <c r="K671" t="s">
        <v>37</v>
      </c>
      <c r="L671" t="s">
        <v>2582</v>
      </c>
    </row>
    <row r="672" spans="1:12" x14ac:dyDescent="0.25">
      <c r="A672">
        <v>101057</v>
      </c>
      <c r="B672" t="s">
        <v>243</v>
      </c>
      <c r="C672" t="s">
        <v>244</v>
      </c>
      <c r="D672" t="s">
        <v>1130</v>
      </c>
      <c r="E672" t="s">
        <v>3020</v>
      </c>
      <c r="F672" t="s">
        <v>2640</v>
      </c>
      <c r="G672" t="s">
        <v>2611</v>
      </c>
      <c r="H672" t="s">
        <v>2581</v>
      </c>
      <c r="I672">
        <v>0</v>
      </c>
      <c r="J672">
        <v>729</v>
      </c>
      <c r="K672" t="s">
        <v>45</v>
      </c>
      <c r="L672" t="s">
        <v>2582</v>
      </c>
    </row>
    <row r="673" spans="1:12" x14ac:dyDescent="0.25">
      <c r="A673">
        <v>100117</v>
      </c>
      <c r="B673" t="s">
        <v>133</v>
      </c>
      <c r="C673" t="s">
        <v>134</v>
      </c>
      <c r="D673" t="s">
        <v>1131</v>
      </c>
      <c r="E673" t="s">
        <v>1132</v>
      </c>
      <c r="F673" t="s">
        <v>2613</v>
      </c>
      <c r="G673" t="s">
        <v>2631</v>
      </c>
      <c r="H673" t="s">
        <v>18</v>
      </c>
      <c r="I673">
        <v>0</v>
      </c>
      <c r="J673">
        <v>345</v>
      </c>
      <c r="K673" t="s">
        <v>32</v>
      </c>
      <c r="L673" t="s">
        <v>2588</v>
      </c>
    </row>
    <row r="674" spans="1:12" x14ac:dyDescent="0.25">
      <c r="A674">
        <v>101047</v>
      </c>
      <c r="B674" t="s">
        <v>481</v>
      </c>
      <c r="C674" t="s">
        <v>168</v>
      </c>
      <c r="D674" t="s">
        <v>1133</v>
      </c>
      <c r="E674" t="s">
        <v>1134</v>
      </c>
      <c r="F674" t="s">
        <v>2641</v>
      </c>
      <c r="G674" t="s">
        <v>2652</v>
      </c>
      <c r="H674" t="s">
        <v>2581</v>
      </c>
      <c r="I674">
        <v>0</v>
      </c>
      <c r="J674">
        <v>548</v>
      </c>
      <c r="K674" t="s">
        <v>19</v>
      </c>
      <c r="L674" t="s">
        <v>20</v>
      </c>
    </row>
    <row r="675" spans="1:12" x14ac:dyDescent="0.25">
      <c r="A675">
        <v>101644</v>
      </c>
      <c r="B675" t="s">
        <v>352</v>
      </c>
      <c r="C675" t="s">
        <v>85</v>
      </c>
      <c r="D675" t="s">
        <v>1135</v>
      </c>
      <c r="E675" t="s">
        <v>1136</v>
      </c>
      <c r="F675" t="s">
        <v>50</v>
      </c>
      <c r="G675" t="s">
        <v>2658</v>
      </c>
      <c r="H675" t="s">
        <v>2630</v>
      </c>
      <c r="I675">
        <v>24</v>
      </c>
      <c r="J675">
        <v>778</v>
      </c>
      <c r="K675" t="s">
        <v>32</v>
      </c>
      <c r="L675" t="s">
        <v>2588</v>
      </c>
    </row>
    <row r="676" spans="1:12" x14ac:dyDescent="0.25">
      <c r="A676">
        <v>101525</v>
      </c>
      <c r="B676" t="s">
        <v>1042</v>
      </c>
      <c r="C676" t="s">
        <v>58</v>
      </c>
      <c r="D676" t="s">
        <v>1137</v>
      </c>
      <c r="E676" t="s">
        <v>1138</v>
      </c>
      <c r="F676" t="s">
        <v>2627</v>
      </c>
      <c r="G676" t="s">
        <v>2591</v>
      </c>
      <c r="H676" t="s">
        <v>2618</v>
      </c>
      <c r="I676">
        <v>0</v>
      </c>
      <c r="J676">
        <v>578</v>
      </c>
      <c r="K676" t="s">
        <v>32</v>
      </c>
      <c r="L676" t="s">
        <v>26</v>
      </c>
    </row>
    <row r="677" spans="1:12" x14ac:dyDescent="0.25">
      <c r="A677">
        <v>100392</v>
      </c>
      <c r="B677" t="s">
        <v>427</v>
      </c>
      <c r="C677" t="s">
        <v>244</v>
      </c>
      <c r="D677" t="s">
        <v>1139</v>
      </c>
      <c r="E677" t="s">
        <v>1140</v>
      </c>
      <c r="F677" t="s">
        <v>2646</v>
      </c>
      <c r="H677" t="s">
        <v>42</v>
      </c>
      <c r="I677">
        <v>56</v>
      </c>
      <c r="J677">
        <v>740</v>
      </c>
      <c r="L677" t="s">
        <v>2582</v>
      </c>
    </row>
    <row r="678" spans="1:12" x14ac:dyDescent="0.25">
      <c r="A678">
        <v>100918</v>
      </c>
      <c r="B678" t="s">
        <v>525</v>
      </c>
      <c r="C678" t="s">
        <v>58</v>
      </c>
      <c r="D678" t="s">
        <v>1117</v>
      </c>
      <c r="E678" t="s">
        <v>3021</v>
      </c>
      <c r="F678" t="s">
        <v>2627</v>
      </c>
      <c r="G678" t="s">
        <v>2631</v>
      </c>
      <c r="H678" t="s">
        <v>2581</v>
      </c>
      <c r="I678">
        <v>0</v>
      </c>
      <c r="J678">
        <v>501</v>
      </c>
      <c r="K678" t="s">
        <v>37</v>
      </c>
      <c r="L678" t="s">
        <v>26</v>
      </c>
    </row>
    <row r="679" spans="1:12" x14ac:dyDescent="0.25">
      <c r="A679">
        <v>101784</v>
      </c>
      <c r="B679" t="s">
        <v>462</v>
      </c>
      <c r="C679" t="s">
        <v>168</v>
      </c>
      <c r="D679" t="s">
        <v>888</v>
      </c>
      <c r="E679" t="s">
        <v>3022</v>
      </c>
      <c r="F679" t="s">
        <v>2646</v>
      </c>
      <c r="G679" t="s">
        <v>2596</v>
      </c>
      <c r="H679" t="s">
        <v>2620</v>
      </c>
      <c r="I679">
        <v>0</v>
      </c>
      <c r="J679">
        <v>716</v>
      </c>
      <c r="K679" t="s">
        <v>56</v>
      </c>
      <c r="L679" t="s">
        <v>2588</v>
      </c>
    </row>
    <row r="680" spans="1:12" x14ac:dyDescent="0.25">
      <c r="A680">
        <v>100836</v>
      </c>
      <c r="B680" t="s">
        <v>269</v>
      </c>
      <c r="C680" t="s">
        <v>2691</v>
      </c>
      <c r="D680" t="s">
        <v>1141</v>
      </c>
      <c r="E680" t="s">
        <v>3023</v>
      </c>
      <c r="F680" t="s">
        <v>2627</v>
      </c>
      <c r="G680" t="s">
        <v>60</v>
      </c>
      <c r="H680" t="s">
        <v>2620</v>
      </c>
      <c r="I680">
        <v>0</v>
      </c>
      <c r="J680">
        <v>515</v>
      </c>
      <c r="K680" t="s">
        <v>37</v>
      </c>
      <c r="L680" t="s">
        <v>26</v>
      </c>
    </row>
    <row r="681" spans="1:12" x14ac:dyDescent="0.25">
      <c r="A681">
        <v>101527</v>
      </c>
      <c r="B681" t="s">
        <v>315</v>
      </c>
      <c r="C681" t="s">
        <v>22</v>
      </c>
      <c r="D681" t="s">
        <v>1142</v>
      </c>
      <c r="E681" t="s">
        <v>1143</v>
      </c>
      <c r="F681" t="s">
        <v>2629</v>
      </c>
      <c r="G681" t="s">
        <v>2611</v>
      </c>
      <c r="H681" t="s">
        <v>18</v>
      </c>
      <c r="I681">
        <v>0</v>
      </c>
      <c r="J681">
        <v>509</v>
      </c>
      <c r="K681" t="s">
        <v>56</v>
      </c>
      <c r="L681" t="s">
        <v>2582</v>
      </c>
    </row>
    <row r="682" spans="1:12" x14ac:dyDescent="0.25">
      <c r="A682">
        <v>101700</v>
      </c>
      <c r="B682" t="s">
        <v>94</v>
      </c>
      <c r="C682" t="s">
        <v>95</v>
      </c>
      <c r="D682" t="s">
        <v>1144</v>
      </c>
      <c r="E682" t="s">
        <v>1145</v>
      </c>
      <c r="F682" t="s">
        <v>2579</v>
      </c>
      <c r="G682" t="s">
        <v>2635</v>
      </c>
      <c r="H682" t="s">
        <v>2581</v>
      </c>
      <c r="I682">
        <v>0</v>
      </c>
      <c r="J682">
        <v>360</v>
      </c>
      <c r="K682" t="s">
        <v>32</v>
      </c>
      <c r="L682" t="s">
        <v>26</v>
      </c>
    </row>
    <row r="683" spans="1:12" x14ac:dyDescent="0.25">
      <c r="A683">
        <v>101169</v>
      </c>
      <c r="B683" t="s">
        <v>200</v>
      </c>
      <c r="C683" t="s">
        <v>142</v>
      </c>
      <c r="D683" t="s">
        <v>1146</v>
      </c>
      <c r="E683" t="s">
        <v>1147</v>
      </c>
      <c r="F683" t="s">
        <v>2593</v>
      </c>
      <c r="G683" t="s">
        <v>2609</v>
      </c>
      <c r="H683" t="s">
        <v>2630</v>
      </c>
      <c r="I683">
        <v>25</v>
      </c>
      <c r="J683">
        <v>784</v>
      </c>
      <c r="K683" t="s">
        <v>56</v>
      </c>
      <c r="L683" t="s">
        <v>2588</v>
      </c>
    </row>
    <row r="684" spans="1:12" x14ac:dyDescent="0.25">
      <c r="A684">
        <v>102187</v>
      </c>
      <c r="B684" t="s">
        <v>382</v>
      </c>
      <c r="C684" t="s">
        <v>152</v>
      </c>
      <c r="D684" t="s">
        <v>764</v>
      </c>
      <c r="E684" t="s">
        <v>1148</v>
      </c>
      <c r="F684" t="s">
        <v>2613</v>
      </c>
      <c r="G684" t="s">
        <v>81</v>
      </c>
      <c r="H684" t="s">
        <v>2620</v>
      </c>
      <c r="I684">
        <v>0</v>
      </c>
      <c r="J684">
        <v>797</v>
      </c>
      <c r="K684" t="s">
        <v>37</v>
      </c>
      <c r="L684" t="s">
        <v>20</v>
      </c>
    </row>
    <row r="685" spans="1:12" x14ac:dyDescent="0.25">
      <c r="A685">
        <v>101542</v>
      </c>
      <c r="B685" t="s">
        <v>325</v>
      </c>
      <c r="C685" t="s">
        <v>126</v>
      </c>
      <c r="D685" t="s">
        <v>1149</v>
      </c>
      <c r="E685" t="s">
        <v>1150</v>
      </c>
      <c r="F685" t="s">
        <v>2616</v>
      </c>
      <c r="G685" t="s">
        <v>81</v>
      </c>
      <c r="H685" t="s">
        <v>2644</v>
      </c>
      <c r="I685">
        <v>0</v>
      </c>
      <c r="J685">
        <v>570</v>
      </c>
      <c r="K685" t="s">
        <v>32</v>
      </c>
      <c r="L685" t="s">
        <v>2582</v>
      </c>
    </row>
    <row r="686" spans="1:12" x14ac:dyDescent="0.25">
      <c r="A686">
        <v>101952</v>
      </c>
      <c r="B686" t="s">
        <v>636</v>
      </c>
      <c r="C686" t="s">
        <v>244</v>
      </c>
      <c r="D686" t="s">
        <v>1151</v>
      </c>
      <c r="F686" t="s">
        <v>2613</v>
      </c>
      <c r="G686" t="s">
        <v>2617</v>
      </c>
      <c r="H686" t="s">
        <v>25</v>
      </c>
      <c r="I686">
        <v>25</v>
      </c>
      <c r="J686">
        <v>303</v>
      </c>
      <c r="K686" t="s">
        <v>19</v>
      </c>
      <c r="L686" t="s">
        <v>26</v>
      </c>
    </row>
    <row r="687" spans="1:12" x14ac:dyDescent="0.25">
      <c r="A687">
        <v>100199</v>
      </c>
      <c r="B687" t="s">
        <v>87</v>
      </c>
      <c r="C687" t="s">
        <v>47</v>
      </c>
      <c r="D687" t="s">
        <v>1152</v>
      </c>
      <c r="E687" t="s">
        <v>3024</v>
      </c>
      <c r="F687" t="s">
        <v>2641</v>
      </c>
      <c r="G687" t="s">
        <v>2635</v>
      </c>
      <c r="H687" t="s">
        <v>83</v>
      </c>
      <c r="I687">
        <v>0</v>
      </c>
      <c r="J687">
        <v>892</v>
      </c>
      <c r="K687" t="s">
        <v>32</v>
      </c>
      <c r="L687" t="s">
        <v>2582</v>
      </c>
    </row>
    <row r="688" spans="1:12" x14ac:dyDescent="0.25">
      <c r="A688">
        <v>100260</v>
      </c>
      <c r="B688" t="s">
        <v>87</v>
      </c>
      <c r="C688" t="s">
        <v>47</v>
      </c>
      <c r="D688" t="s">
        <v>751</v>
      </c>
      <c r="E688" t="s">
        <v>2870</v>
      </c>
      <c r="F688" t="s">
        <v>2629</v>
      </c>
      <c r="G688" t="s">
        <v>2633</v>
      </c>
      <c r="H688" t="s">
        <v>25</v>
      </c>
      <c r="I688">
        <v>25</v>
      </c>
      <c r="J688">
        <v>892</v>
      </c>
      <c r="K688" t="s">
        <v>19</v>
      </c>
      <c r="L688" t="s">
        <v>2582</v>
      </c>
    </row>
    <row r="689" spans="1:12" x14ac:dyDescent="0.25">
      <c r="A689">
        <v>101615</v>
      </c>
      <c r="B689" t="s">
        <v>230</v>
      </c>
      <c r="C689" t="s">
        <v>2743</v>
      </c>
      <c r="D689" t="s">
        <v>1153</v>
      </c>
      <c r="E689" t="s">
        <v>1154</v>
      </c>
      <c r="F689" t="s">
        <v>2590</v>
      </c>
      <c r="G689" t="s">
        <v>2652</v>
      </c>
      <c r="H689" t="s">
        <v>2620</v>
      </c>
      <c r="I689">
        <v>0</v>
      </c>
      <c r="J689">
        <v>818</v>
      </c>
      <c r="K689" t="s">
        <v>56</v>
      </c>
      <c r="L689" t="s">
        <v>2588</v>
      </c>
    </row>
    <row r="690" spans="1:12" x14ac:dyDescent="0.25">
      <c r="A690">
        <v>100384</v>
      </c>
      <c r="B690" t="s">
        <v>1155</v>
      </c>
      <c r="C690" t="s">
        <v>218</v>
      </c>
      <c r="D690" t="s">
        <v>1156</v>
      </c>
      <c r="E690" t="s">
        <v>3025</v>
      </c>
      <c r="F690" t="s">
        <v>2616</v>
      </c>
      <c r="G690" t="s">
        <v>2614</v>
      </c>
      <c r="H690" t="s">
        <v>2618</v>
      </c>
      <c r="I690">
        <v>0</v>
      </c>
      <c r="J690">
        <v>557</v>
      </c>
      <c r="K690" t="s">
        <v>32</v>
      </c>
      <c r="L690" t="s">
        <v>26</v>
      </c>
    </row>
    <row r="691" spans="1:12" x14ac:dyDescent="0.25">
      <c r="A691">
        <v>100881</v>
      </c>
      <c r="B691" t="s">
        <v>222</v>
      </c>
      <c r="C691" t="s">
        <v>100</v>
      </c>
      <c r="D691" t="s">
        <v>300</v>
      </c>
      <c r="E691" t="s">
        <v>1157</v>
      </c>
      <c r="F691" t="s">
        <v>2598</v>
      </c>
      <c r="G691" t="s">
        <v>2584</v>
      </c>
      <c r="H691" t="s">
        <v>2623</v>
      </c>
      <c r="I691">
        <v>118</v>
      </c>
      <c r="J691">
        <v>585</v>
      </c>
      <c r="K691" t="s">
        <v>37</v>
      </c>
      <c r="L691" t="s">
        <v>20</v>
      </c>
    </row>
    <row r="692" spans="1:12" x14ac:dyDescent="0.25">
      <c r="A692">
        <v>100058</v>
      </c>
      <c r="B692" t="s">
        <v>431</v>
      </c>
      <c r="C692" t="s">
        <v>28</v>
      </c>
      <c r="D692" t="s">
        <v>1088</v>
      </c>
      <c r="E692" t="s">
        <v>3026</v>
      </c>
      <c r="F692" t="s">
        <v>64</v>
      </c>
      <c r="G692" t="s">
        <v>81</v>
      </c>
      <c r="H692" t="s">
        <v>2618</v>
      </c>
      <c r="I692">
        <v>0</v>
      </c>
      <c r="J692">
        <v>691</v>
      </c>
      <c r="L692" t="s">
        <v>2588</v>
      </c>
    </row>
    <row r="693" spans="1:12" x14ac:dyDescent="0.25">
      <c r="A693">
        <v>100639</v>
      </c>
      <c r="B693" t="s">
        <v>276</v>
      </c>
      <c r="C693" t="s">
        <v>52</v>
      </c>
      <c r="D693" t="s">
        <v>318</v>
      </c>
      <c r="E693" t="s">
        <v>1158</v>
      </c>
      <c r="F693" t="s">
        <v>50</v>
      </c>
      <c r="G693" t="s">
        <v>2631</v>
      </c>
      <c r="H693" t="s">
        <v>83</v>
      </c>
      <c r="I693">
        <v>0</v>
      </c>
      <c r="J693">
        <v>638</v>
      </c>
      <c r="K693" t="s">
        <v>32</v>
      </c>
      <c r="L693" t="s">
        <v>26</v>
      </c>
    </row>
    <row r="694" spans="1:12" x14ac:dyDescent="0.25">
      <c r="A694">
        <v>101817</v>
      </c>
      <c r="B694" t="s">
        <v>87</v>
      </c>
      <c r="C694" t="s">
        <v>47</v>
      </c>
      <c r="D694" t="s">
        <v>466</v>
      </c>
      <c r="E694" t="s">
        <v>3027</v>
      </c>
      <c r="F694" t="s">
        <v>2613</v>
      </c>
      <c r="G694" t="s">
        <v>2611</v>
      </c>
      <c r="H694" t="s">
        <v>2623</v>
      </c>
      <c r="I694">
        <v>103</v>
      </c>
      <c r="J694">
        <v>892</v>
      </c>
      <c r="K694" t="s">
        <v>56</v>
      </c>
      <c r="L694" t="s">
        <v>2582</v>
      </c>
    </row>
    <row r="695" spans="1:12" x14ac:dyDescent="0.25">
      <c r="A695">
        <v>100855</v>
      </c>
      <c r="B695" t="s">
        <v>816</v>
      </c>
      <c r="C695" t="s">
        <v>95</v>
      </c>
      <c r="D695" t="s">
        <v>1159</v>
      </c>
      <c r="E695" t="s">
        <v>3028</v>
      </c>
      <c r="F695" t="s">
        <v>2593</v>
      </c>
      <c r="G695" t="s">
        <v>2625</v>
      </c>
      <c r="H695" t="s">
        <v>2620</v>
      </c>
      <c r="I695">
        <v>0</v>
      </c>
      <c r="J695">
        <v>422</v>
      </c>
      <c r="K695" t="s">
        <v>45</v>
      </c>
      <c r="L695" t="s">
        <v>20</v>
      </c>
    </row>
    <row r="696" spans="1:12" x14ac:dyDescent="0.25">
      <c r="A696">
        <v>101695</v>
      </c>
      <c r="B696" t="s">
        <v>133</v>
      </c>
      <c r="C696" t="s">
        <v>134</v>
      </c>
      <c r="D696" t="s">
        <v>981</v>
      </c>
      <c r="E696" t="s">
        <v>1160</v>
      </c>
      <c r="F696" t="s">
        <v>30</v>
      </c>
      <c r="G696" t="s">
        <v>2596</v>
      </c>
      <c r="H696" t="s">
        <v>2581</v>
      </c>
      <c r="I696">
        <v>0</v>
      </c>
      <c r="J696">
        <v>345</v>
      </c>
      <c r="K696" t="s">
        <v>45</v>
      </c>
      <c r="L696" t="s">
        <v>2582</v>
      </c>
    </row>
    <row r="697" spans="1:12" x14ac:dyDescent="0.25">
      <c r="A697">
        <v>100779</v>
      </c>
      <c r="B697" t="s">
        <v>392</v>
      </c>
      <c r="C697" t="s">
        <v>72</v>
      </c>
      <c r="D697" t="s">
        <v>1161</v>
      </c>
      <c r="E697" t="s">
        <v>1162</v>
      </c>
      <c r="F697" t="s">
        <v>2629</v>
      </c>
      <c r="G697" t="s">
        <v>2580</v>
      </c>
      <c r="H697" t="s">
        <v>2585</v>
      </c>
      <c r="I697">
        <v>13</v>
      </c>
      <c r="J697">
        <v>433</v>
      </c>
      <c r="K697" t="s">
        <v>56</v>
      </c>
      <c r="L697" t="s">
        <v>26</v>
      </c>
    </row>
    <row r="698" spans="1:12" x14ac:dyDescent="0.25">
      <c r="A698">
        <v>101018</v>
      </c>
      <c r="B698" t="s">
        <v>1163</v>
      </c>
      <c r="C698" t="s">
        <v>13</v>
      </c>
      <c r="D698" t="s">
        <v>1164</v>
      </c>
      <c r="E698" t="s">
        <v>1165</v>
      </c>
      <c r="F698" t="s">
        <v>2629</v>
      </c>
      <c r="G698" t="s">
        <v>55</v>
      </c>
      <c r="H698" t="s">
        <v>2630</v>
      </c>
      <c r="I698">
        <v>22</v>
      </c>
      <c r="J698">
        <v>850</v>
      </c>
      <c r="K698" t="s">
        <v>37</v>
      </c>
      <c r="L698" t="s">
        <v>20</v>
      </c>
    </row>
    <row r="699" spans="1:12" x14ac:dyDescent="0.25">
      <c r="A699">
        <v>100768</v>
      </c>
      <c r="B699" t="s">
        <v>27</v>
      </c>
      <c r="C699" t="s">
        <v>28</v>
      </c>
      <c r="D699" t="s">
        <v>1166</v>
      </c>
      <c r="E699" t="s">
        <v>3029</v>
      </c>
      <c r="F699" t="s">
        <v>2583</v>
      </c>
      <c r="G699" t="s">
        <v>2658</v>
      </c>
      <c r="H699" t="s">
        <v>2581</v>
      </c>
      <c r="I699">
        <v>0</v>
      </c>
      <c r="J699">
        <v>849</v>
      </c>
      <c r="L699" t="s">
        <v>20</v>
      </c>
    </row>
    <row r="700" spans="1:12" x14ac:dyDescent="0.25">
      <c r="A700">
        <v>102112</v>
      </c>
      <c r="B700" t="s">
        <v>355</v>
      </c>
      <c r="C700" t="s">
        <v>244</v>
      </c>
      <c r="D700" t="s">
        <v>1167</v>
      </c>
      <c r="E700" t="s">
        <v>3030</v>
      </c>
      <c r="F700" t="s">
        <v>2641</v>
      </c>
      <c r="G700" t="s">
        <v>55</v>
      </c>
      <c r="H700" t="s">
        <v>2587</v>
      </c>
      <c r="I700">
        <v>0</v>
      </c>
      <c r="J700">
        <v>746</v>
      </c>
      <c r="K700" t="s">
        <v>37</v>
      </c>
      <c r="L700" t="s">
        <v>26</v>
      </c>
    </row>
    <row r="701" spans="1:12" x14ac:dyDescent="0.25">
      <c r="A701">
        <v>102166</v>
      </c>
      <c r="B701" t="s">
        <v>1168</v>
      </c>
      <c r="C701" t="s">
        <v>218</v>
      </c>
      <c r="D701" t="s">
        <v>1169</v>
      </c>
      <c r="E701" t="s">
        <v>3031</v>
      </c>
      <c r="F701" t="s">
        <v>64</v>
      </c>
      <c r="G701" t="s">
        <v>2596</v>
      </c>
      <c r="H701" t="s">
        <v>2587</v>
      </c>
      <c r="I701">
        <v>0</v>
      </c>
      <c r="J701">
        <v>606</v>
      </c>
      <c r="K701" t="s">
        <v>37</v>
      </c>
      <c r="L701" t="s">
        <v>2582</v>
      </c>
    </row>
    <row r="702" spans="1:12" x14ac:dyDescent="0.25">
      <c r="A702">
        <v>101832</v>
      </c>
      <c r="B702" t="s">
        <v>220</v>
      </c>
      <c r="C702" t="s">
        <v>152</v>
      </c>
      <c r="D702" t="s">
        <v>753</v>
      </c>
      <c r="E702" t="s">
        <v>1170</v>
      </c>
      <c r="F702" t="s">
        <v>2593</v>
      </c>
      <c r="G702" t="s">
        <v>2652</v>
      </c>
      <c r="H702" t="s">
        <v>2620</v>
      </c>
      <c r="I702">
        <v>0</v>
      </c>
      <c r="J702">
        <v>710</v>
      </c>
      <c r="K702" t="s">
        <v>56</v>
      </c>
      <c r="L702" t="s">
        <v>2582</v>
      </c>
    </row>
    <row r="703" spans="1:12" x14ac:dyDescent="0.25">
      <c r="A703">
        <v>100378</v>
      </c>
      <c r="B703" t="s">
        <v>1155</v>
      </c>
      <c r="C703" t="s">
        <v>218</v>
      </c>
      <c r="D703" t="s">
        <v>1171</v>
      </c>
      <c r="E703" t="s">
        <v>3032</v>
      </c>
      <c r="F703" t="s">
        <v>2646</v>
      </c>
      <c r="G703" t="s">
        <v>81</v>
      </c>
      <c r="H703" t="s">
        <v>2630</v>
      </c>
      <c r="I703">
        <v>21</v>
      </c>
      <c r="J703">
        <v>557</v>
      </c>
      <c r="K703" t="s">
        <v>32</v>
      </c>
      <c r="L703" t="s">
        <v>26</v>
      </c>
    </row>
    <row r="704" spans="1:12" x14ac:dyDescent="0.25">
      <c r="A704">
        <v>101828</v>
      </c>
      <c r="B704" t="s">
        <v>995</v>
      </c>
      <c r="C704" t="s">
        <v>134</v>
      </c>
      <c r="D704" t="s">
        <v>44</v>
      </c>
      <c r="E704" t="s">
        <v>3033</v>
      </c>
      <c r="F704" t="s">
        <v>2613</v>
      </c>
      <c r="G704" t="s">
        <v>2580</v>
      </c>
      <c r="H704" t="s">
        <v>2587</v>
      </c>
      <c r="I704">
        <v>0</v>
      </c>
      <c r="J704">
        <v>866</v>
      </c>
      <c r="K704" t="s">
        <v>56</v>
      </c>
      <c r="L704" t="s">
        <v>2588</v>
      </c>
    </row>
    <row r="705" spans="1:12" x14ac:dyDescent="0.25">
      <c r="A705">
        <v>101993</v>
      </c>
      <c r="B705" t="s">
        <v>38</v>
      </c>
      <c r="C705" t="s">
        <v>39</v>
      </c>
      <c r="D705" t="s">
        <v>285</v>
      </c>
      <c r="E705" t="s">
        <v>1172</v>
      </c>
      <c r="F705" t="s">
        <v>2627</v>
      </c>
      <c r="G705" t="s">
        <v>2633</v>
      </c>
      <c r="H705" t="s">
        <v>2587</v>
      </c>
      <c r="I705">
        <v>0</v>
      </c>
      <c r="J705">
        <v>533</v>
      </c>
      <c r="K705" t="s">
        <v>37</v>
      </c>
      <c r="L705" t="s">
        <v>20</v>
      </c>
    </row>
    <row r="706" spans="1:12" x14ac:dyDescent="0.25">
      <c r="A706">
        <v>101333</v>
      </c>
      <c r="B706" t="s">
        <v>344</v>
      </c>
      <c r="C706" t="s">
        <v>244</v>
      </c>
      <c r="D706" t="s">
        <v>1078</v>
      </c>
      <c r="E706" t="s">
        <v>1173</v>
      </c>
      <c r="F706" t="s">
        <v>2608</v>
      </c>
      <c r="G706" t="s">
        <v>2602</v>
      </c>
      <c r="H706" t="s">
        <v>18</v>
      </c>
      <c r="I706">
        <v>0</v>
      </c>
      <c r="J706">
        <v>792</v>
      </c>
      <c r="K706" t="s">
        <v>56</v>
      </c>
      <c r="L706" t="s">
        <v>26</v>
      </c>
    </row>
    <row r="707" spans="1:12" x14ac:dyDescent="0.25">
      <c r="A707">
        <v>101473</v>
      </c>
      <c r="B707" t="s">
        <v>515</v>
      </c>
      <c r="C707" t="s">
        <v>22</v>
      </c>
      <c r="E707" t="s">
        <v>1174</v>
      </c>
      <c r="F707" t="s">
        <v>2608</v>
      </c>
      <c r="G707" t="s">
        <v>2600</v>
      </c>
      <c r="H707" t="s">
        <v>2630</v>
      </c>
      <c r="I707">
        <v>27</v>
      </c>
      <c r="J707">
        <v>826</v>
      </c>
      <c r="K707" t="s">
        <v>32</v>
      </c>
      <c r="L707" t="s">
        <v>2588</v>
      </c>
    </row>
    <row r="708" spans="1:12" x14ac:dyDescent="0.25">
      <c r="A708">
        <v>100019</v>
      </c>
      <c r="B708" t="s">
        <v>986</v>
      </c>
      <c r="C708" t="s">
        <v>28</v>
      </c>
      <c r="D708" t="s">
        <v>559</v>
      </c>
      <c r="E708" t="s">
        <v>3034</v>
      </c>
      <c r="F708" t="s">
        <v>30</v>
      </c>
      <c r="G708" t="s">
        <v>81</v>
      </c>
      <c r="H708" t="s">
        <v>2587</v>
      </c>
      <c r="I708">
        <v>0</v>
      </c>
      <c r="J708">
        <v>459</v>
      </c>
      <c r="K708" t="s">
        <v>56</v>
      </c>
      <c r="L708" t="s">
        <v>2582</v>
      </c>
    </row>
    <row r="709" spans="1:12" x14ac:dyDescent="0.25">
      <c r="A709">
        <v>100256</v>
      </c>
      <c r="B709" t="s">
        <v>1175</v>
      </c>
      <c r="C709" t="s">
        <v>142</v>
      </c>
      <c r="D709" t="s">
        <v>1176</v>
      </c>
      <c r="E709" t="s">
        <v>3035</v>
      </c>
      <c r="F709" t="s">
        <v>2627</v>
      </c>
      <c r="G709" t="s">
        <v>2580</v>
      </c>
      <c r="H709" t="s">
        <v>2618</v>
      </c>
      <c r="I709">
        <v>0</v>
      </c>
      <c r="J709">
        <v>573</v>
      </c>
      <c r="K709" t="s">
        <v>32</v>
      </c>
      <c r="L709" t="s">
        <v>20</v>
      </c>
    </row>
    <row r="710" spans="1:12" x14ac:dyDescent="0.25">
      <c r="A710">
        <v>100145</v>
      </c>
      <c r="B710" t="s">
        <v>294</v>
      </c>
      <c r="C710" t="s">
        <v>100</v>
      </c>
      <c r="D710" t="s">
        <v>675</v>
      </c>
      <c r="E710" t="s">
        <v>3036</v>
      </c>
      <c r="F710" t="s">
        <v>2654</v>
      </c>
      <c r="G710" t="s">
        <v>2602</v>
      </c>
      <c r="H710" t="s">
        <v>2620</v>
      </c>
      <c r="I710">
        <v>0</v>
      </c>
      <c r="J710">
        <v>377</v>
      </c>
      <c r="K710" t="s">
        <v>45</v>
      </c>
      <c r="L710" t="s">
        <v>2582</v>
      </c>
    </row>
    <row r="711" spans="1:12" x14ac:dyDescent="0.25">
      <c r="A711">
        <v>100360</v>
      </c>
      <c r="B711" t="s">
        <v>1177</v>
      </c>
      <c r="C711" t="s">
        <v>62</v>
      </c>
      <c r="D711" t="s">
        <v>1178</v>
      </c>
      <c r="E711" t="s">
        <v>1179</v>
      </c>
      <c r="F711" t="s">
        <v>2629</v>
      </c>
      <c r="G711" t="s">
        <v>2580</v>
      </c>
      <c r="H711" t="s">
        <v>2644</v>
      </c>
      <c r="I711">
        <v>0</v>
      </c>
      <c r="J711">
        <v>482</v>
      </c>
      <c r="K711" t="s">
        <v>56</v>
      </c>
      <c r="L711" t="s">
        <v>2582</v>
      </c>
    </row>
    <row r="712" spans="1:12" x14ac:dyDescent="0.25">
      <c r="A712">
        <v>101395</v>
      </c>
      <c r="B712" t="s">
        <v>79</v>
      </c>
      <c r="C712" t="s">
        <v>47</v>
      </c>
      <c r="D712" t="s">
        <v>1166</v>
      </c>
      <c r="E712" t="s">
        <v>3037</v>
      </c>
      <c r="F712" t="s">
        <v>2608</v>
      </c>
      <c r="H712" t="s">
        <v>2620</v>
      </c>
      <c r="I712">
        <v>0</v>
      </c>
      <c r="J712">
        <v>585</v>
      </c>
      <c r="K712" t="s">
        <v>56</v>
      </c>
      <c r="L712" t="s">
        <v>20</v>
      </c>
    </row>
    <row r="713" spans="1:12" x14ac:dyDescent="0.25">
      <c r="A713">
        <v>101638</v>
      </c>
      <c r="B713" t="s">
        <v>682</v>
      </c>
      <c r="C713" t="s">
        <v>152</v>
      </c>
      <c r="D713" t="s">
        <v>1180</v>
      </c>
      <c r="E713" t="s">
        <v>1181</v>
      </c>
      <c r="F713" t="s">
        <v>2641</v>
      </c>
      <c r="G713" t="s">
        <v>2658</v>
      </c>
      <c r="H713" t="s">
        <v>18</v>
      </c>
      <c r="I713">
        <v>0</v>
      </c>
      <c r="J713">
        <v>863</v>
      </c>
      <c r="K713" t="s">
        <v>45</v>
      </c>
      <c r="L713" t="s">
        <v>2582</v>
      </c>
    </row>
    <row r="714" spans="1:12" x14ac:dyDescent="0.25">
      <c r="A714">
        <v>102143</v>
      </c>
      <c r="B714" t="s">
        <v>820</v>
      </c>
      <c r="C714" t="s">
        <v>22</v>
      </c>
      <c r="D714" t="s">
        <v>1182</v>
      </c>
      <c r="E714" t="s">
        <v>1183</v>
      </c>
      <c r="F714" t="s">
        <v>2629</v>
      </c>
      <c r="G714" t="s">
        <v>2652</v>
      </c>
      <c r="H714" t="s">
        <v>2581</v>
      </c>
      <c r="I714">
        <v>0</v>
      </c>
      <c r="J714">
        <v>621</v>
      </c>
      <c r="K714" t="s">
        <v>32</v>
      </c>
      <c r="L714" t="s">
        <v>26</v>
      </c>
    </row>
    <row r="715" spans="1:12" x14ac:dyDescent="0.25">
      <c r="A715">
        <v>101608</v>
      </c>
      <c r="B715" t="s">
        <v>75</v>
      </c>
      <c r="C715" t="s">
        <v>2792</v>
      </c>
      <c r="D715" t="s">
        <v>1184</v>
      </c>
      <c r="E715" t="s">
        <v>1185</v>
      </c>
      <c r="F715" t="s">
        <v>2590</v>
      </c>
      <c r="G715" t="s">
        <v>2652</v>
      </c>
      <c r="H715" t="s">
        <v>2618</v>
      </c>
      <c r="I715">
        <v>0</v>
      </c>
      <c r="J715">
        <v>554</v>
      </c>
      <c r="K715" t="s">
        <v>56</v>
      </c>
      <c r="L715" t="s">
        <v>26</v>
      </c>
    </row>
    <row r="716" spans="1:12" x14ac:dyDescent="0.25">
      <c r="A716">
        <v>101291</v>
      </c>
      <c r="B716" t="s">
        <v>528</v>
      </c>
      <c r="C716" t="s">
        <v>103</v>
      </c>
      <c r="D716" t="s">
        <v>274</v>
      </c>
      <c r="E716" t="s">
        <v>3038</v>
      </c>
      <c r="F716" t="s">
        <v>50</v>
      </c>
      <c r="G716" t="s">
        <v>2584</v>
      </c>
      <c r="H716" t="s">
        <v>2581</v>
      </c>
      <c r="I716">
        <v>0</v>
      </c>
      <c r="J716">
        <v>583</v>
      </c>
      <c r="K716" t="s">
        <v>32</v>
      </c>
      <c r="L716" t="s">
        <v>26</v>
      </c>
    </row>
    <row r="717" spans="1:12" x14ac:dyDescent="0.25">
      <c r="A717">
        <v>101055</v>
      </c>
      <c r="B717" t="s">
        <v>177</v>
      </c>
      <c r="C717" t="s">
        <v>2699</v>
      </c>
      <c r="D717" t="s">
        <v>1186</v>
      </c>
      <c r="E717" t="s">
        <v>3039</v>
      </c>
      <c r="F717" t="s">
        <v>2654</v>
      </c>
      <c r="G717" t="s">
        <v>2617</v>
      </c>
      <c r="H717" t="s">
        <v>2585</v>
      </c>
      <c r="I717">
        <v>28</v>
      </c>
      <c r="J717">
        <v>375</v>
      </c>
      <c r="K717" t="s">
        <v>37</v>
      </c>
      <c r="L717" t="s">
        <v>2582</v>
      </c>
    </row>
    <row r="718" spans="1:12" x14ac:dyDescent="0.25">
      <c r="A718">
        <v>101206</v>
      </c>
      <c r="B718" t="s">
        <v>212</v>
      </c>
      <c r="C718" t="s">
        <v>95</v>
      </c>
      <c r="D718" t="s">
        <v>1187</v>
      </c>
      <c r="E718" t="s">
        <v>3040</v>
      </c>
      <c r="F718" t="s">
        <v>2579</v>
      </c>
      <c r="G718" t="s">
        <v>2617</v>
      </c>
      <c r="H718" t="s">
        <v>18</v>
      </c>
      <c r="I718">
        <v>0</v>
      </c>
      <c r="J718">
        <v>662</v>
      </c>
      <c r="K718" t="s">
        <v>56</v>
      </c>
      <c r="L718" t="s">
        <v>2582</v>
      </c>
    </row>
    <row r="719" spans="1:12" x14ac:dyDescent="0.25">
      <c r="A719">
        <v>101362</v>
      </c>
      <c r="B719" t="s">
        <v>303</v>
      </c>
      <c r="C719" t="s">
        <v>2706</v>
      </c>
      <c r="D719" t="s">
        <v>304</v>
      </c>
      <c r="E719" t="s">
        <v>305</v>
      </c>
      <c r="F719" t="s">
        <v>2613</v>
      </c>
      <c r="G719" t="s">
        <v>2609</v>
      </c>
      <c r="H719" t="s">
        <v>2587</v>
      </c>
      <c r="I719">
        <v>0</v>
      </c>
      <c r="J719">
        <v>800</v>
      </c>
      <c r="K719" t="s">
        <v>45</v>
      </c>
      <c r="L719" t="s">
        <v>20</v>
      </c>
    </row>
    <row r="720" spans="1:12" x14ac:dyDescent="0.25">
      <c r="A720">
        <v>101840</v>
      </c>
      <c r="B720" t="s">
        <v>1059</v>
      </c>
      <c r="C720" t="s">
        <v>149</v>
      </c>
      <c r="D720" t="s">
        <v>1188</v>
      </c>
      <c r="E720" t="s">
        <v>3041</v>
      </c>
      <c r="F720" t="s">
        <v>2583</v>
      </c>
      <c r="G720" t="s">
        <v>2633</v>
      </c>
      <c r="H720" t="s">
        <v>2630</v>
      </c>
      <c r="I720">
        <v>1</v>
      </c>
      <c r="J720">
        <v>571</v>
      </c>
      <c r="K720" t="s">
        <v>37</v>
      </c>
      <c r="L720" t="s">
        <v>20</v>
      </c>
    </row>
    <row r="721" spans="1:12" x14ac:dyDescent="0.25">
      <c r="A721">
        <v>101743</v>
      </c>
      <c r="B721" t="s">
        <v>875</v>
      </c>
      <c r="C721" t="s">
        <v>72</v>
      </c>
      <c r="D721" t="s">
        <v>1189</v>
      </c>
      <c r="E721" t="s">
        <v>3042</v>
      </c>
      <c r="F721" t="s">
        <v>30</v>
      </c>
      <c r="G721" t="s">
        <v>2602</v>
      </c>
      <c r="H721" t="s">
        <v>2585</v>
      </c>
      <c r="I721">
        <v>5</v>
      </c>
      <c r="J721">
        <v>678</v>
      </c>
      <c r="K721" t="s">
        <v>45</v>
      </c>
      <c r="L721" t="s">
        <v>2588</v>
      </c>
    </row>
    <row r="722" spans="1:12" x14ac:dyDescent="0.25">
      <c r="A722">
        <v>100178</v>
      </c>
      <c r="B722" t="s">
        <v>619</v>
      </c>
      <c r="C722" t="s">
        <v>244</v>
      </c>
      <c r="D722" t="s">
        <v>785</v>
      </c>
      <c r="E722" t="s">
        <v>3043</v>
      </c>
      <c r="F722" t="s">
        <v>30</v>
      </c>
      <c r="G722" t="s">
        <v>55</v>
      </c>
      <c r="H722" t="s">
        <v>2620</v>
      </c>
      <c r="I722">
        <v>0</v>
      </c>
      <c r="J722">
        <v>351</v>
      </c>
      <c r="K722" t="s">
        <v>45</v>
      </c>
      <c r="L722" t="s">
        <v>20</v>
      </c>
    </row>
    <row r="723" spans="1:12" x14ac:dyDescent="0.25">
      <c r="A723">
        <v>101149</v>
      </c>
      <c r="B723" t="s">
        <v>678</v>
      </c>
      <c r="C723" t="s">
        <v>270</v>
      </c>
      <c r="D723" t="s">
        <v>175</v>
      </c>
      <c r="E723" t="s">
        <v>3044</v>
      </c>
      <c r="F723" t="s">
        <v>2604</v>
      </c>
      <c r="G723" t="s">
        <v>2633</v>
      </c>
      <c r="H723" t="s">
        <v>2587</v>
      </c>
      <c r="I723">
        <v>0</v>
      </c>
      <c r="J723">
        <v>883</v>
      </c>
      <c r="K723" t="s">
        <v>19</v>
      </c>
      <c r="L723" t="s">
        <v>2588</v>
      </c>
    </row>
    <row r="724" spans="1:12" x14ac:dyDescent="0.25">
      <c r="A724">
        <v>102032</v>
      </c>
      <c r="B724" t="s">
        <v>232</v>
      </c>
      <c r="C724" t="s">
        <v>152</v>
      </c>
      <c r="D724" t="s">
        <v>1190</v>
      </c>
      <c r="E724" t="s">
        <v>3045</v>
      </c>
      <c r="F724" t="s">
        <v>64</v>
      </c>
      <c r="G724" t="s">
        <v>31</v>
      </c>
      <c r="H724" t="s">
        <v>18</v>
      </c>
      <c r="I724">
        <v>0</v>
      </c>
      <c r="J724">
        <v>781</v>
      </c>
      <c r="K724" t="s">
        <v>19</v>
      </c>
      <c r="L724" t="s">
        <v>2582</v>
      </c>
    </row>
    <row r="725" spans="1:12" x14ac:dyDescent="0.25">
      <c r="A725">
        <v>101321</v>
      </c>
      <c r="B725" t="s">
        <v>474</v>
      </c>
      <c r="C725" t="s">
        <v>270</v>
      </c>
      <c r="D725" t="s">
        <v>1191</v>
      </c>
      <c r="E725" t="s">
        <v>3046</v>
      </c>
      <c r="F725" t="s">
        <v>2579</v>
      </c>
      <c r="G725" t="s">
        <v>2633</v>
      </c>
      <c r="H725" t="s">
        <v>2587</v>
      </c>
      <c r="I725">
        <v>0</v>
      </c>
      <c r="J725">
        <v>483</v>
      </c>
      <c r="K725" t="s">
        <v>37</v>
      </c>
      <c r="L725" t="s">
        <v>2588</v>
      </c>
    </row>
    <row r="726" spans="1:12" x14ac:dyDescent="0.25">
      <c r="A726">
        <v>100238</v>
      </c>
      <c r="B726" t="s">
        <v>1036</v>
      </c>
      <c r="C726" t="s">
        <v>149</v>
      </c>
      <c r="D726" t="s">
        <v>764</v>
      </c>
      <c r="E726" t="s">
        <v>1192</v>
      </c>
      <c r="F726" t="s">
        <v>2598</v>
      </c>
      <c r="G726" t="s">
        <v>2633</v>
      </c>
      <c r="H726" t="s">
        <v>2644</v>
      </c>
      <c r="I726">
        <v>0</v>
      </c>
      <c r="J726">
        <v>358</v>
      </c>
      <c r="K726" t="s">
        <v>56</v>
      </c>
      <c r="L726" t="s">
        <v>26</v>
      </c>
    </row>
    <row r="727" spans="1:12" x14ac:dyDescent="0.25">
      <c r="A727">
        <v>100580</v>
      </c>
      <c r="B727" t="s">
        <v>241</v>
      </c>
      <c r="C727" t="s">
        <v>58</v>
      </c>
      <c r="D727" t="s">
        <v>1178</v>
      </c>
      <c r="E727" t="s">
        <v>1193</v>
      </c>
      <c r="F727" t="s">
        <v>2583</v>
      </c>
      <c r="G727" t="s">
        <v>2658</v>
      </c>
      <c r="H727" t="s">
        <v>2620</v>
      </c>
      <c r="I727">
        <v>0</v>
      </c>
      <c r="J727">
        <v>468</v>
      </c>
      <c r="K727" t="s">
        <v>32</v>
      </c>
      <c r="L727" t="s">
        <v>2582</v>
      </c>
    </row>
    <row r="728" spans="1:12" x14ac:dyDescent="0.25">
      <c r="A728">
        <v>100853</v>
      </c>
      <c r="B728" t="s">
        <v>87</v>
      </c>
      <c r="C728" t="s">
        <v>47</v>
      </c>
      <c r="D728" t="s">
        <v>1194</v>
      </c>
      <c r="E728" t="s">
        <v>1195</v>
      </c>
      <c r="F728" t="s">
        <v>2613</v>
      </c>
      <c r="G728" t="s">
        <v>2580</v>
      </c>
      <c r="H728" t="s">
        <v>83</v>
      </c>
      <c r="I728">
        <v>0</v>
      </c>
      <c r="J728">
        <v>892</v>
      </c>
      <c r="K728" t="s">
        <v>56</v>
      </c>
      <c r="L728" t="s">
        <v>26</v>
      </c>
    </row>
    <row r="729" spans="1:12" x14ac:dyDescent="0.25">
      <c r="A729">
        <v>100286</v>
      </c>
      <c r="B729" t="s">
        <v>515</v>
      </c>
      <c r="C729" t="s">
        <v>22</v>
      </c>
      <c r="D729" t="s">
        <v>1196</v>
      </c>
      <c r="E729" t="s">
        <v>1197</v>
      </c>
      <c r="F729" t="s">
        <v>2613</v>
      </c>
      <c r="G729" t="s">
        <v>2611</v>
      </c>
      <c r="H729" t="s">
        <v>2587</v>
      </c>
      <c r="I729">
        <v>0</v>
      </c>
      <c r="J729">
        <v>826</v>
      </c>
      <c r="K729" t="s">
        <v>37</v>
      </c>
      <c r="L729" t="s">
        <v>2588</v>
      </c>
    </row>
    <row r="730" spans="1:12" x14ac:dyDescent="0.25">
      <c r="A730">
        <v>101622</v>
      </c>
      <c r="B730" t="s">
        <v>493</v>
      </c>
      <c r="C730" t="s">
        <v>152</v>
      </c>
      <c r="D730" t="s">
        <v>1198</v>
      </c>
      <c r="E730" t="s">
        <v>1199</v>
      </c>
      <c r="F730" t="s">
        <v>2654</v>
      </c>
      <c r="G730" t="s">
        <v>2617</v>
      </c>
      <c r="H730" t="s">
        <v>2585</v>
      </c>
      <c r="I730">
        <v>9</v>
      </c>
      <c r="J730">
        <v>737</v>
      </c>
      <c r="K730" t="s">
        <v>19</v>
      </c>
      <c r="L730" t="s">
        <v>26</v>
      </c>
    </row>
    <row r="731" spans="1:12" x14ac:dyDescent="0.25">
      <c r="A731">
        <v>101754</v>
      </c>
      <c r="B731" t="s">
        <v>628</v>
      </c>
      <c r="C731" t="s">
        <v>47</v>
      </c>
      <c r="D731" t="s">
        <v>1200</v>
      </c>
      <c r="E731" t="s">
        <v>3047</v>
      </c>
      <c r="F731" t="s">
        <v>2613</v>
      </c>
      <c r="G731" t="s">
        <v>2617</v>
      </c>
      <c r="H731" t="s">
        <v>2587</v>
      </c>
      <c r="J731">
        <v>852</v>
      </c>
      <c r="K731" t="s">
        <v>32</v>
      </c>
      <c r="L731" t="s">
        <v>20</v>
      </c>
    </row>
    <row r="732" spans="1:12" x14ac:dyDescent="0.25">
      <c r="A732">
        <v>102147</v>
      </c>
      <c r="B732" t="s">
        <v>995</v>
      </c>
      <c r="C732" t="s">
        <v>134</v>
      </c>
      <c r="D732" t="s">
        <v>1201</v>
      </c>
      <c r="E732" t="s">
        <v>1202</v>
      </c>
      <c r="F732" t="s">
        <v>30</v>
      </c>
      <c r="G732" t="s">
        <v>2652</v>
      </c>
      <c r="H732" t="s">
        <v>2620</v>
      </c>
      <c r="I732">
        <v>0</v>
      </c>
      <c r="J732">
        <v>866</v>
      </c>
      <c r="K732" t="s">
        <v>37</v>
      </c>
      <c r="L732" t="s">
        <v>26</v>
      </c>
    </row>
    <row r="733" spans="1:12" x14ac:dyDescent="0.25">
      <c r="A733">
        <v>101811</v>
      </c>
      <c r="B733" t="s">
        <v>1203</v>
      </c>
      <c r="C733" t="s">
        <v>187</v>
      </c>
      <c r="D733" t="s">
        <v>1109</v>
      </c>
      <c r="E733" t="s">
        <v>3048</v>
      </c>
      <c r="F733" t="s">
        <v>2640</v>
      </c>
      <c r="G733" t="s">
        <v>2658</v>
      </c>
      <c r="H733" t="s">
        <v>18</v>
      </c>
      <c r="I733">
        <v>0</v>
      </c>
      <c r="J733">
        <v>752</v>
      </c>
      <c r="K733" t="s">
        <v>32</v>
      </c>
      <c r="L733" t="s">
        <v>2588</v>
      </c>
    </row>
    <row r="734" spans="1:12" x14ac:dyDescent="0.25">
      <c r="A734">
        <v>101492</v>
      </c>
      <c r="B734" t="s">
        <v>895</v>
      </c>
      <c r="C734" t="s">
        <v>72</v>
      </c>
      <c r="D734" t="s">
        <v>1204</v>
      </c>
      <c r="E734" t="s">
        <v>1205</v>
      </c>
      <c r="F734" t="s">
        <v>2598</v>
      </c>
      <c r="G734" t="s">
        <v>2609</v>
      </c>
      <c r="H734" t="s">
        <v>2597</v>
      </c>
      <c r="I734">
        <v>28</v>
      </c>
      <c r="J734">
        <v>470</v>
      </c>
      <c r="K734" t="s">
        <v>19</v>
      </c>
      <c r="L734" t="s">
        <v>20</v>
      </c>
    </row>
    <row r="735" spans="1:12" x14ac:dyDescent="0.25">
      <c r="A735">
        <v>100306</v>
      </c>
      <c r="B735" t="s">
        <v>1206</v>
      </c>
      <c r="C735" t="s">
        <v>22</v>
      </c>
      <c r="D735" t="s">
        <v>724</v>
      </c>
      <c r="E735" t="s">
        <v>1207</v>
      </c>
      <c r="F735" t="s">
        <v>2608</v>
      </c>
      <c r="G735" t="s">
        <v>2635</v>
      </c>
      <c r="H735" t="s">
        <v>2581</v>
      </c>
      <c r="I735">
        <v>0</v>
      </c>
      <c r="J735">
        <v>607</v>
      </c>
      <c r="K735" t="s">
        <v>19</v>
      </c>
      <c r="L735" t="s">
        <v>2588</v>
      </c>
    </row>
    <row r="736" spans="1:12" x14ac:dyDescent="0.25">
      <c r="A736">
        <v>101516</v>
      </c>
      <c r="B736" t="s">
        <v>596</v>
      </c>
      <c r="D736" t="s">
        <v>1208</v>
      </c>
      <c r="E736" t="s">
        <v>3049</v>
      </c>
      <c r="F736" t="s">
        <v>2646</v>
      </c>
      <c r="G736" t="s">
        <v>60</v>
      </c>
      <c r="H736" t="s">
        <v>18</v>
      </c>
      <c r="I736">
        <v>0</v>
      </c>
      <c r="J736">
        <v>603</v>
      </c>
      <c r="K736" t="s">
        <v>32</v>
      </c>
    </row>
    <row r="737" spans="1:12" x14ac:dyDescent="0.25">
      <c r="A737">
        <v>100517</v>
      </c>
      <c r="B737" t="s">
        <v>27</v>
      </c>
      <c r="C737" t="s">
        <v>28</v>
      </c>
      <c r="D737" t="s">
        <v>1209</v>
      </c>
      <c r="E737" t="s">
        <v>3050</v>
      </c>
      <c r="F737" t="s">
        <v>2627</v>
      </c>
      <c r="G737" t="s">
        <v>2631</v>
      </c>
      <c r="H737" t="s">
        <v>18</v>
      </c>
      <c r="I737">
        <v>0</v>
      </c>
      <c r="J737">
        <v>849</v>
      </c>
      <c r="K737" t="s">
        <v>19</v>
      </c>
      <c r="L737" t="s">
        <v>2588</v>
      </c>
    </row>
    <row r="738" spans="1:12" x14ac:dyDescent="0.25">
      <c r="A738">
        <v>100772</v>
      </c>
      <c r="B738" t="s">
        <v>794</v>
      </c>
      <c r="C738" t="s">
        <v>52</v>
      </c>
      <c r="D738" t="s">
        <v>1210</v>
      </c>
      <c r="E738" t="s">
        <v>3051</v>
      </c>
      <c r="F738" t="s">
        <v>64</v>
      </c>
      <c r="G738" t="s">
        <v>2607</v>
      </c>
      <c r="H738" t="s">
        <v>2581</v>
      </c>
      <c r="I738">
        <v>0</v>
      </c>
      <c r="J738">
        <v>733</v>
      </c>
      <c r="K738" t="s">
        <v>32</v>
      </c>
      <c r="L738" t="s">
        <v>2588</v>
      </c>
    </row>
    <row r="739" spans="1:12" x14ac:dyDescent="0.25">
      <c r="A739">
        <v>102109</v>
      </c>
      <c r="B739" t="s">
        <v>1211</v>
      </c>
      <c r="C739" t="s">
        <v>62</v>
      </c>
      <c r="D739" t="s">
        <v>831</v>
      </c>
      <c r="E739" t="s">
        <v>1212</v>
      </c>
      <c r="F739" t="s">
        <v>41</v>
      </c>
      <c r="G739" t="s">
        <v>2596</v>
      </c>
      <c r="H739" t="s">
        <v>18</v>
      </c>
      <c r="J739">
        <v>741</v>
      </c>
      <c r="K739" t="s">
        <v>56</v>
      </c>
      <c r="L739" t="s">
        <v>2582</v>
      </c>
    </row>
    <row r="740" spans="1:12" x14ac:dyDescent="0.25">
      <c r="A740">
        <v>100333</v>
      </c>
      <c r="B740" t="s">
        <v>487</v>
      </c>
      <c r="C740" t="s">
        <v>22</v>
      </c>
      <c r="D740" t="s">
        <v>1213</v>
      </c>
      <c r="E740" t="s">
        <v>1214</v>
      </c>
      <c r="F740" t="s">
        <v>50</v>
      </c>
      <c r="G740" t="s">
        <v>2602</v>
      </c>
      <c r="H740" t="s">
        <v>2597</v>
      </c>
      <c r="I740">
        <v>20</v>
      </c>
      <c r="J740">
        <v>647</v>
      </c>
      <c r="K740" t="s">
        <v>37</v>
      </c>
      <c r="L740" t="s">
        <v>26</v>
      </c>
    </row>
    <row r="741" spans="1:12" x14ac:dyDescent="0.25">
      <c r="A741">
        <v>101777</v>
      </c>
      <c r="B741" t="s">
        <v>307</v>
      </c>
      <c r="C741" t="s">
        <v>58</v>
      </c>
      <c r="D741" t="s">
        <v>1215</v>
      </c>
      <c r="E741" t="s">
        <v>1216</v>
      </c>
      <c r="F741" t="s">
        <v>2643</v>
      </c>
      <c r="G741" t="s">
        <v>2600</v>
      </c>
      <c r="H741" t="s">
        <v>2597</v>
      </c>
      <c r="I741">
        <v>24</v>
      </c>
      <c r="J741">
        <v>616</v>
      </c>
      <c r="K741" t="s">
        <v>56</v>
      </c>
      <c r="L741" t="s">
        <v>2582</v>
      </c>
    </row>
    <row r="742" spans="1:12" x14ac:dyDescent="0.25">
      <c r="A742">
        <v>101999</v>
      </c>
      <c r="B742" t="s">
        <v>280</v>
      </c>
      <c r="C742" t="s">
        <v>187</v>
      </c>
      <c r="D742" t="s">
        <v>316</v>
      </c>
      <c r="E742" t="s">
        <v>1217</v>
      </c>
      <c r="F742" t="s">
        <v>30</v>
      </c>
      <c r="G742" t="s">
        <v>2652</v>
      </c>
      <c r="H742" t="s">
        <v>2581</v>
      </c>
      <c r="I742">
        <v>0</v>
      </c>
      <c r="J742">
        <v>621</v>
      </c>
      <c r="K742" t="s">
        <v>56</v>
      </c>
      <c r="L742" t="s">
        <v>20</v>
      </c>
    </row>
    <row r="743" spans="1:12" x14ac:dyDescent="0.25">
      <c r="A743">
        <v>101692</v>
      </c>
      <c r="B743" t="s">
        <v>420</v>
      </c>
      <c r="C743" t="s">
        <v>72</v>
      </c>
      <c r="D743" t="s">
        <v>804</v>
      </c>
      <c r="E743" t="s">
        <v>3052</v>
      </c>
      <c r="F743" t="s">
        <v>2643</v>
      </c>
      <c r="G743" t="s">
        <v>60</v>
      </c>
      <c r="H743" t="s">
        <v>2581</v>
      </c>
      <c r="I743">
        <v>0</v>
      </c>
      <c r="J743">
        <v>418</v>
      </c>
      <c r="K743" t="s">
        <v>56</v>
      </c>
      <c r="L743" t="s">
        <v>2588</v>
      </c>
    </row>
    <row r="744" spans="1:12" x14ac:dyDescent="0.25">
      <c r="A744">
        <v>102083</v>
      </c>
      <c r="B744" t="s">
        <v>278</v>
      </c>
      <c r="C744" t="s">
        <v>62</v>
      </c>
      <c r="D744" t="s">
        <v>1218</v>
      </c>
      <c r="E744" t="s">
        <v>3053</v>
      </c>
      <c r="F744" t="s">
        <v>2654</v>
      </c>
      <c r="G744" t="s">
        <v>2599</v>
      </c>
      <c r="H744" t="s">
        <v>2581</v>
      </c>
      <c r="I744">
        <v>0</v>
      </c>
      <c r="J744">
        <v>713</v>
      </c>
      <c r="K744" t="s">
        <v>56</v>
      </c>
      <c r="L744" t="s">
        <v>2582</v>
      </c>
    </row>
    <row r="745" spans="1:12" x14ac:dyDescent="0.25">
      <c r="A745">
        <v>101294</v>
      </c>
      <c r="B745" t="s">
        <v>200</v>
      </c>
      <c r="C745" t="s">
        <v>142</v>
      </c>
      <c r="D745" t="s">
        <v>1219</v>
      </c>
      <c r="E745" t="s">
        <v>1220</v>
      </c>
      <c r="F745" t="s">
        <v>2598</v>
      </c>
      <c r="G745" t="s">
        <v>2602</v>
      </c>
      <c r="H745" t="s">
        <v>2581</v>
      </c>
      <c r="I745">
        <v>0</v>
      </c>
      <c r="J745">
        <v>784</v>
      </c>
      <c r="K745" t="s">
        <v>19</v>
      </c>
      <c r="L745" t="s">
        <v>2588</v>
      </c>
    </row>
    <row r="746" spans="1:12" x14ac:dyDescent="0.25">
      <c r="A746">
        <v>100995</v>
      </c>
      <c r="B746" t="s">
        <v>1042</v>
      </c>
      <c r="C746" t="s">
        <v>58</v>
      </c>
      <c r="D746" t="s">
        <v>1221</v>
      </c>
      <c r="E746" t="s">
        <v>3054</v>
      </c>
      <c r="F746" t="s">
        <v>2598</v>
      </c>
      <c r="G746" t="s">
        <v>2633</v>
      </c>
      <c r="H746" t="s">
        <v>2581</v>
      </c>
      <c r="I746">
        <v>0</v>
      </c>
      <c r="J746">
        <v>578</v>
      </c>
      <c r="K746" t="s">
        <v>45</v>
      </c>
      <c r="L746" t="s">
        <v>20</v>
      </c>
    </row>
    <row r="747" spans="1:12" x14ac:dyDescent="0.25">
      <c r="A747">
        <v>101995</v>
      </c>
      <c r="B747" t="s">
        <v>825</v>
      </c>
      <c r="C747" t="s">
        <v>2728</v>
      </c>
      <c r="D747" t="s">
        <v>1222</v>
      </c>
      <c r="E747" t="s">
        <v>1223</v>
      </c>
      <c r="F747" t="s">
        <v>30</v>
      </c>
      <c r="G747" t="s">
        <v>2591</v>
      </c>
      <c r="H747" t="s">
        <v>18</v>
      </c>
      <c r="I747">
        <v>0</v>
      </c>
      <c r="J747">
        <v>636</v>
      </c>
      <c r="L747" t="s">
        <v>2588</v>
      </c>
    </row>
    <row r="748" spans="1:12" x14ac:dyDescent="0.25">
      <c r="A748">
        <v>101519</v>
      </c>
      <c r="B748" t="s">
        <v>986</v>
      </c>
      <c r="C748" t="s">
        <v>28</v>
      </c>
      <c r="D748" t="s">
        <v>1224</v>
      </c>
      <c r="E748" t="s">
        <v>3055</v>
      </c>
      <c r="F748" t="s">
        <v>2641</v>
      </c>
      <c r="G748" t="s">
        <v>2584</v>
      </c>
      <c r="H748" t="s">
        <v>2581</v>
      </c>
      <c r="I748">
        <v>0</v>
      </c>
      <c r="J748">
        <v>459</v>
      </c>
      <c r="K748" t="s">
        <v>45</v>
      </c>
      <c r="L748" t="s">
        <v>2588</v>
      </c>
    </row>
    <row r="749" spans="1:12" x14ac:dyDescent="0.25">
      <c r="A749">
        <v>101099</v>
      </c>
      <c r="B749" t="s">
        <v>307</v>
      </c>
      <c r="C749" t="s">
        <v>58</v>
      </c>
      <c r="D749" t="s">
        <v>1225</v>
      </c>
      <c r="E749" t="s">
        <v>3056</v>
      </c>
      <c r="F749" t="s">
        <v>64</v>
      </c>
      <c r="G749" t="s">
        <v>2611</v>
      </c>
      <c r="H749" t="s">
        <v>2620</v>
      </c>
      <c r="I749">
        <v>0</v>
      </c>
      <c r="J749">
        <v>616</v>
      </c>
      <c r="K749" t="s">
        <v>56</v>
      </c>
      <c r="L749" t="s">
        <v>2588</v>
      </c>
    </row>
    <row r="750" spans="1:12" x14ac:dyDescent="0.25">
      <c r="A750">
        <v>101320</v>
      </c>
      <c r="B750" t="s">
        <v>1036</v>
      </c>
      <c r="C750" t="s">
        <v>149</v>
      </c>
      <c r="D750" t="s">
        <v>1226</v>
      </c>
      <c r="E750" t="s">
        <v>3057</v>
      </c>
      <c r="F750" t="s">
        <v>41</v>
      </c>
      <c r="G750" t="s">
        <v>2602</v>
      </c>
      <c r="H750" t="s">
        <v>2618</v>
      </c>
      <c r="I750">
        <v>0</v>
      </c>
      <c r="J750">
        <v>358</v>
      </c>
      <c r="K750" t="s">
        <v>37</v>
      </c>
      <c r="L750" t="s">
        <v>26</v>
      </c>
    </row>
    <row r="751" spans="1:12" x14ac:dyDescent="0.25">
      <c r="A751">
        <v>101175</v>
      </c>
      <c r="B751" t="s">
        <v>319</v>
      </c>
      <c r="C751" t="s">
        <v>100</v>
      </c>
      <c r="D751" t="s">
        <v>1227</v>
      </c>
      <c r="E751" t="s">
        <v>1228</v>
      </c>
      <c r="F751" t="s">
        <v>2593</v>
      </c>
      <c r="G751" t="s">
        <v>2600</v>
      </c>
      <c r="H751" t="s">
        <v>2587</v>
      </c>
      <c r="I751">
        <v>0</v>
      </c>
      <c r="J751">
        <v>411</v>
      </c>
      <c r="L751" t="s">
        <v>2582</v>
      </c>
    </row>
    <row r="752" spans="1:12" x14ac:dyDescent="0.25">
      <c r="A752">
        <v>100477</v>
      </c>
      <c r="B752" t="s">
        <v>145</v>
      </c>
      <c r="C752" t="s">
        <v>52</v>
      </c>
      <c r="D752" t="s">
        <v>1229</v>
      </c>
      <c r="E752" t="s">
        <v>3058</v>
      </c>
      <c r="F752" t="s">
        <v>2616</v>
      </c>
      <c r="G752" t="s">
        <v>60</v>
      </c>
      <c r="H752" t="s">
        <v>2581</v>
      </c>
      <c r="I752">
        <v>0</v>
      </c>
      <c r="J752">
        <v>435</v>
      </c>
      <c r="K752" t="s">
        <v>19</v>
      </c>
      <c r="L752" t="s">
        <v>26</v>
      </c>
    </row>
    <row r="753" spans="1:12" x14ac:dyDescent="0.25">
      <c r="A753">
        <v>102192</v>
      </c>
      <c r="B753" t="s">
        <v>360</v>
      </c>
      <c r="C753" t="s">
        <v>149</v>
      </c>
      <c r="D753" t="s">
        <v>1230</v>
      </c>
      <c r="E753" t="s">
        <v>1231</v>
      </c>
      <c r="F753" t="s">
        <v>2613</v>
      </c>
      <c r="G753" t="s">
        <v>2625</v>
      </c>
      <c r="H753" t="s">
        <v>2587</v>
      </c>
      <c r="I753">
        <v>0</v>
      </c>
      <c r="J753">
        <v>621</v>
      </c>
      <c r="K753" t="s">
        <v>56</v>
      </c>
      <c r="L753" t="s">
        <v>26</v>
      </c>
    </row>
    <row r="754" spans="1:12" x14ac:dyDescent="0.25">
      <c r="A754">
        <v>101168</v>
      </c>
      <c r="B754" t="s">
        <v>179</v>
      </c>
      <c r="C754" t="s">
        <v>149</v>
      </c>
      <c r="D754" t="s">
        <v>1232</v>
      </c>
      <c r="F754" t="s">
        <v>2613</v>
      </c>
      <c r="G754" t="s">
        <v>31</v>
      </c>
      <c r="H754" t="s">
        <v>2594</v>
      </c>
      <c r="I754">
        <v>93</v>
      </c>
      <c r="J754">
        <v>518</v>
      </c>
      <c r="K754" t="s">
        <v>32</v>
      </c>
      <c r="L754" t="s">
        <v>20</v>
      </c>
    </row>
    <row r="755" spans="1:12" x14ac:dyDescent="0.25">
      <c r="A755">
        <v>100631</v>
      </c>
      <c r="B755" t="s">
        <v>462</v>
      </c>
      <c r="C755" t="s">
        <v>168</v>
      </c>
      <c r="E755" t="s">
        <v>1233</v>
      </c>
      <c r="F755" t="s">
        <v>50</v>
      </c>
      <c r="G755" t="s">
        <v>2625</v>
      </c>
      <c r="H755" t="s">
        <v>2587</v>
      </c>
      <c r="I755">
        <v>0</v>
      </c>
      <c r="J755">
        <v>716</v>
      </c>
      <c r="K755" t="s">
        <v>32</v>
      </c>
      <c r="L755" t="s">
        <v>26</v>
      </c>
    </row>
    <row r="756" spans="1:12" x14ac:dyDescent="0.25">
      <c r="A756">
        <v>101805</v>
      </c>
      <c r="B756" t="s">
        <v>1036</v>
      </c>
      <c r="C756" t="s">
        <v>149</v>
      </c>
      <c r="D756" t="s">
        <v>1234</v>
      </c>
      <c r="E756" t="s">
        <v>1235</v>
      </c>
      <c r="F756" t="s">
        <v>41</v>
      </c>
      <c r="G756" t="s">
        <v>2602</v>
      </c>
      <c r="H756" t="s">
        <v>83</v>
      </c>
      <c r="I756">
        <v>0</v>
      </c>
      <c r="J756">
        <v>358</v>
      </c>
      <c r="K756" t="s">
        <v>45</v>
      </c>
      <c r="L756" t="s">
        <v>2582</v>
      </c>
    </row>
    <row r="757" spans="1:12" x14ac:dyDescent="0.25">
      <c r="A757">
        <v>101524</v>
      </c>
      <c r="B757" t="s">
        <v>367</v>
      </c>
      <c r="C757" t="s">
        <v>103</v>
      </c>
      <c r="D757" t="s">
        <v>328</v>
      </c>
      <c r="E757" t="s">
        <v>3059</v>
      </c>
      <c r="F757" t="s">
        <v>2641</v>
      </c>
      <c r="G757" t="s">
        <v>55</v>
      </c>
      <c r="H757" t="s">
        <v>18</v>
      </c>
      <c r="I757">
        <v>0</v>
      </c>
      <c r="J757">
        <v>621</v>
      </c>
      <c r="K757" t="s">
        <v>45</v>
      </c>
      <c r="L757" t="s">
        <v>20</v>
      </c>
    </row>
    <row r="758" spans="1:12" x14ac:dyDescent="0.25">
      <c r="A758">
        <v>101666</v>
      </c>
      <c r="B758" t="s">
        <v>286</v>
      </c>
      <c r="C758" t="s">
        <v>168</v>
      </c>
      <c r="D758" t="s">
        <v>1236</v>
      </c>
      <c r="E758" t="s">
        <v>3060</v>
      </c>
      <c r="F758" t="s">
        <v>2604</v>
      </c>
      <c r="G758" t="s">
        <v>2584</v>
      </c>
      <c r="H758" t="s">
        <v>2585</v>
      </c>
      <c r="I758">
        <v>18</v>
      </c>
      <c r="J758">
        <v>434</v>
      </c>
      <c r="K758" t="s">
        <v>19</v>
      </c>
      <c r="L758" t="s">
        <v>2588</v>
      </c>
    </row>
    <row r="759" spans="1:12" x14ac:dyDescent="0.25">
      <c r="A759">
        <v>101415</v>
      </c>
      <c r="B759" t="s">
        <v>162</v>
      </c>
      <c r="C759" t="s">
        <v>2786</v>
      </c>
      <c r="D759" t="s">
        <v>1237</v>
      </c>
      <c r="E759" t="s">
        <v>1238</v>
      </c>
      <c r="F759" t="s">
        <v>2608</v>
      </c>
      <c r="G759" t="s">
        <v>55</v>
      </c>
      <c r="H759" t="s">
        <v>18</v>
      </c>
      <c r="I759">
        <v>0</v>
      </c>
      <c r="J759">
        <v>410</v>
      </c>
      <c r="K759" t="s">
        <v>32</v>
      </c>
      <c r="L759" t="s">
        <v>20</v>
      </c>
    </row>
    <row r="760" spans="1:12" x14ac:dyDescent="0.25">
      <c r="A760">
        <v>101976</v>
      </c>
      <c r="B760" t="s">
        <v>438</v>
      </c>
      <c r="C760" t="s">
        <v>95</v>
      </c>
      <c r="D760" t="s">
        <v>1239</v>
      </c>
      <c r="E760" t="s">
        <v>3061</v>
      </c>
      <c r="F760" t="s">
        <v>2616</v>
      </c>
      <c r="G760" t="s">
        <v>55</v>
      </c>
      <c r="H760" t="s">
        <v>2597</v>
      </c>
      <c r="I760">
        <v>21</v>
      </c>
      <c r="J760">
        <v>858</v>
      </c>
      <c r="K760" t="s">
        <v>45</v>
      </c>
      <c r="L760" t="s">
        <v>20</v>
      </c>
    </row>
    <row r="761" spans="1:12" x14ac:dyDescent="0.25">
      <c r="A761">
        <v>102167</v>
      </c>
      <c r="B761" t="s">
        <v>497</v>
      </c>
      <c r="C761" t="s">
        <v>142</v>
      </c>
      <c r="D761" t="s">
        <v>1240</v>
      </c>
      <c r="E761" t="s">
        <v>3062</v>
      </c>
      <c r="F761" t="s">
        <v>2593</v>
      </c>
      <c r="G761" t="s">
        <v>2658</v>
      </c>
      <c r="H761" t="s">
        <v>2597</v>
      </c>
      <c r="I761">
        <v>23</v>
      </c>
      <c r="J761">
        <v>465</v>
      </c>
      <c r="K761" t="s">
        <v>32</v>
      </c>
      <c r="L761" t="s">
        <v>26</v>
      </c>
    </row>
    <row r="762" spans="1:12" x14ac:dyDescent="0.25">
      <c r="A762">
        <v>100982</v>
      </c>
      <c r="B762" t="s">
        <v>671</v>
      </c>
      <c r="C762" t="s">
        <v>122</v>
      </c>
      <c r="D762" t="s">
        <v>1241</v>
      </c>
      <c r="E762" t="s">
        <v>1242</v>
      </c>
      <c r="F762" t="s">
        <v>41</v>
      </c>
      <c r="G762" t="s">
        <v>2584</v>
      </c>
      <c r="H762" t="s">
        <v>2620</v>
      </c>
      <c r="I762">
        <v>0</v>
      </c>
      <c r="J762">
        <v>302</v>
      </c>
      <c r="K762" t="s">
        <v>19</v>
      </c>
      <c r="L762" t="s">
        <v>2582</v>
      </c>
    </row>
    <row r="763" spans="1:12" x14ac:dyDescent="0.25">
      <c r="A763">
        <v>100488</v>
      </c>
      <c r="B763" t="s">
        <v>402</v>
      </c>
      <c r="C763" t="s">
        <v>95</v>
      </c>
      <c r="D763" t="s">
        <v>1243</v>
      </c>
      <c r="E763" t="s">
        <v>3063</v>
      </c>
      <c r="F763" t="s">
        <v>2641</v>
      </c>
      <c r="G763" t="s">
        <v>2617</v>
      </c>
      <c r="H763" t="s">
        <v>42</v>
      </c>
      <c r="I763">
        <v>161</v>
      </c>
      <c r="J763">
        <v>355</v>
      </c>
      <c r="K763" t="s">
        <v>56</v>
      </c>
      <c r="L763" t="s">
        <v>2588</v>
      </c>
    </row>
    <row r="764" spans="1:12" x14ac:dyDescent="0.25">
      <c r="A764">
        <v>100719</v>
      </c>
      <c r="B764" t="s">
        <v>198</v>
      </c>
      <c r="C764" t="s">
        <v>2664</v>
      </c>
      <c r="D764" t="s">
        <v>199</v>
      </c>
      <c r="E764" t="s">
        <v>2665</v>
      </c>
      <c r="F764" t="s">
        <v>64</v>
      </c>
      <c r="H764" t="s">
        <v>2587</v>
      </c>
      <c r="I764">
        <v>0</v>
      </c>
      <c r="J764">
        <v>555</v>
      </c>
      <c r="L764" t="s">
        <v>26</v>
      </c>
    </row>
    <row r="765" spans="1:12" x14ac:dyDescent="0.25">
      <c r="A765">
        <v>101629</v>
      </c>
      <c r="B765" t="s">
        <v>427</v>
      </c>
      <c r="C765" t="s">
        <v>244</v>
      </c>
      <c r="D765" t="s">
        <v>1244</v>
      </c>
      <c r="E765" t="s">
        <v>3064</v>
      </c>
      <c r="F765" t="s">
        <v>2598</v>
      </c>
      <c r="G765" t="s">
        <v>2658</v>
      </c>
      <c r="H765" t="s">
        <v>2644</v>
      </c>
      <c r="I765">
        <v>0</v>
      </c>
      <c r="J765">
        <v>740</v>
      </c>
      <c r="L765" t="s">
        <v>20</v>
      </c>
    </row>
    <row r="766" spans="1:12" x14ac:dyDescent="0.25">
      <c r="A766">
        <v>101015</v>
      </c>
      <c r="B766" t="s">
        <v>786</v>
      </c>
      <c r="C766" t="s">
        <v>2743</v>
      </c>
      <c r="D766" t="s">
        <v>300</v>
      </c>
      <c r="E766" t="s">
        <v>1245</v>
      </c>
      <c r="F766" t="s">
        <v>2579</v>
      </c>
      <c r="G766" t="s">
        <v>2625</v>
      </c>
      <c r="H766" t="s">
        <v>2587</v>
      </c>
      <c r="I766">
        <v>0</v>
      </c>
      <c r="J766">
        <v>835</v>
      </c>
      <c r="K766" t="s">
        <v>19</v>
      </c>
      <c r="L766" t="s">
        <v>20</v>
      </c>
    </row>
    <row r="767" spans="1:12" x14ac:dyDescent="0.25">
      <c r="A767">
        <v>101488</v>
      </c>
      <c r="B767" t="s">
        <v>563</v>
      </c>
      <c r="C767" t="s">
        <v>58</v>
      </c>
      <c r="D767" t="s">
        <v>1246</v>
      </c>
      <c r="E767" t="s">
        <v>3065</v>
      </c>
      <c r="F767" t="s">
        <v>2604</v>
      </c>
      <c r="G767" t="s">
        <v>2614</v>
      </c>
      <c r="H767" t="s">
        <v>2618</v>
      </c>
      <c r="I767">
        <v>0</v>
      </c>
      <c r="J767">
        <v>893</v>
      </c>
      <c r="K767" t="s">
        <v>37</v>
      </c>
      <c r="L767" t="s">
        <v>26</v>
      </c>
    </row>
    <row r="768" spans="1:12" x14ac:dyDescent="0.25">
      <c r="A768">
        <v>100638</v>
      </c>
      <c r="B768" t="s">
        <v>319</v>
      </c>
      <c r="C768" t="s">
        <v>100</v>
      </c>
      <c r="D768" t="s">
        <v>1247</v>
      </c>
      <c r="E768" t="s">
        <v>3066</v>
      </c>
      <c r="F768" t="s">
        <v>2598</v>
      </c>
      <c r="G768" t="s">
        <v>2591</v>
      </c>
      <c r="H768" t="s">
        <v>2581</v>
      </c>
      <c r="I768">
        <v>0</v>
      </c>
      <c r="J768">
        <v>411</v>
      </c>
      <c r="K768" t="s">
        <v>56</v>
      </c>
      <c r="L768" t="s">
        <v>20</v>
      </c>
    </row>
    <row r="769" spans="1:12" x14ac:dyDescent="0.25">
      <c r="A769">
        <v>100141</v>
      </c>
      <c r="B769" t="s">
        <v>179</v>
      </c>
      <c r="C769" t="s">
        <v>149</v>
      </c>
      <c r="D769" t="s">
        <v>1248</v>
      </c>
      <c r="E769" t="s">
        <v>1249</v>
      </c>
      <c r="F769" t="s">
        <v>2583</v>
      </c>
      <c r="G769" t="s">
        <v>2584</v>
      </c>
      <c r="H769" t="s">
        <v>2644</v>
      </c>
      <c r="I769">
        <v>0</v>
      </c>
      <c r="J769">
        <v>518</v>
      </c>
      <c r="K769" t="s">
        <v>56</v>
      </c>
      <c r="L769" t="s">
        <v>20</v>
      </c>
    </row>
    <row r="770" spans="1:12" x14ac:dyDescent="0.25">
      <c r="A770">
        <v>101143</v>
      </c>
      <c r="B770" t="s">
        <v>174</v>
      </c>
      <c r="C770" t="s">
        <v>134</v>
      </c>
      <c r="D770" t="s">
        <v>1250</v>
      </c>
      <c r="F770" t="s">
        <v>2590</v>
      </c>
      <c r="G770" t="s">
        <v>2584</v>
      </c>
      <c r="H770" t="s">
        <v>2597</v>
      </c>
      <c r="I770">
        <v>5</v>
      </c>
      <c r="J770">
        <v>554</v>
      </c>
      <c r="K770" t="s">
        <v>19</v>
      </c>
      <c r="L770" t="s">
        <v>20</v>
      </c>
    </row>
    <row r="771" spans="1:12" x14ac:dyDescent="0.25">
      <c r="A771">
        <v>100588</v>
      </c>
      <c r="B771" t="s">
        <v>863</v>
      </c>
      <c r="C771" t="s">
        <v>39</v>
      </c>
      <c r="D771" t="s">
        <v>153</v>
      </c>
      <c r="E771" t="s">
        <v>1251</v>
      </c>
      <c r="F771" t="s">
        <v>2641</v>
      </c>
      <c r="G771" t="s">
        <v>2611</v>
      </c>
      <c r="H771" t="s">
        <v>2587</v>
      </c>
      <c r="I771">
        <v>0</v>
      </c>
      <c r="J771">
        <v>427</v>
      </c>
      <c r="K771" t="s">
        <v>37</v>
      </c>
      <c r="L771" t="s">
        <v>2582</v>
      </c>
    </row>
    <row r="772" spans="1:12" x14ac:dyDescent="0.25">
      <c r="A772">
        <v>100569</v>
      </c>
      <c r="B772" t="s">
        <v>628</v>
      </c>
      <c r="C772" t="s">
        <v>47</v>
      </c>
      <c r="D772" t="s">
        <v>1252</v>
      </c>
      <c r="E772" t="s">
        <v>3067</v>
      </c>
      <c r="F772" t="s">
        <v>2613</v>
      </c>
      <c r="G772" t="s">
        <v>2591</v>
      </c>
      <c r="H772" t="s">
        <v>42</v>
      </c>
      <c r="I772">
        <v>157</v>
      </c>
      <c r="J772">
        <v>852</v>
      </c>
      <c r="K772" t="s">
        <v>37</v>
      </c>
      <c r="L772" t="s">
        <v>2582</v>
      </c>
    </row>
    <row r="773" spans="1:12" x14ac:dyDescent="0.25">
      <c r="A773">
        <v>101984</v>
      </c>
      <c r="B773" t="s">
        <v>986</v>
      </c>
      <c r="C773" t="s">
        <v>28</v>
      </c>
      <c r="D773" t="s">
        <v>1178</v>
      </c>
      <c r="E773" t="s">
        <v>3068</v>
      </c>
      <c r="F773" t="s">
        <v>2579</v>
      </c>
      <c r="G773" t="s">
        <v>2611</v>
      </c>
      <c r="H773" t="s">
        <v>2618</v>
      </c>
      <c r="I773">
        <v>0</v>
      </c>
      <c r="J773">
        <v>459</v>
      </c>
      <c r="K773" t="s">
        <v>19</v>
      </c>
    </row>
    <row r="774" spans="1:12" x14ac:dyDescent="0.25">
      <c r="A774">
        <v>100966</v>
      </c>
      <c r="B774" t="s">
        <v>94</v>
      </c>
      <c r="C774" t="s">
        <v>2743</v>
      </c>
      <c r="D774" t="s">
        <v>1253</v>
      </c>
      <c r="E774" t="s">
        <v>1254</v>
      </c>
      <c r="F774" t="s">
        <v>2629</v>
      </c>
      <c r="G774" t="s">
        <v>2580</v>
      </c>
      <c r="H774" t="s">
        <v>2644</v>
      </c>
      <c r="I774">
        <v>0</v>
      </c>
      <c r="J774">
        <v>360</v>
      </c>
      <c r="K774" t="s">
        <v>37</v>
      </c>
      <c r="L774" t="s">
        <v>2588</v>
      </c>
    </row>
    <row r="775" spans="1:12" x14ac:dyDescent="0.25">
      <c r="A775">
        <v>101396</v>
      </c>
      <c r="B775" t="s">
        <v>1036</v>
      </c>
      <c r="C775" t="s">
        <v>149</v>
      </c>
      <c r="D775" t="s">
        <v>549</v>
      </c>
      <c r="E775" t="s">
        <v>1255</v>
      </c>
      <c r="F775" t="s">
        <v>2608</v>
      </c>
      <c r="G775" t="s">
        <v>2611</v>
      </c>
      <c r="H775" t="s">
        <v>83</v>
      </c>
      <c r="I775">
        <v>0</v>
      </c>
      <c r="J775">
        <v>358</v>
      </c>
      <c r="K775" t="s">
        <v>45</v>
      </c>
      <c r="L775" t="s">
        <v>2582</v>
      </c>
    </row>
    <row r="776" spans="1:12" x14ac:dyDescent="0.25">
      <c r="A776">
        <v>102026</v>
      </c>
      <c r="B776" t="s">
        <v>595</v>
      </c>
      <c r="C776" t="s">
        <v>22</v>
      </c>
      <c r="D776" t="s">
        <v>1077</v>
      </c>
      <c r="E776" t="s">
        <v>3069</v>
      </c>
      <c r="F776" t="s">
        <v>2590</v>
      </c>
      <c r="G776" t="s">
        <v>2633</v>
      </c>
      <c r="H776" t="s">
        <v>2644</v>
      </c>
      <c r="I776">
        <v>0</v>
      </c>
      <c r="J776">
        <v>372</v>
      </c>
      <c r="K776" t="s">
        <v>56</v>
      </c>
    </row>
    <row r="777" spans="1:12" x14ac:dyDescent="0.25">
      <c r="A777">
        <v>101904</v>
      </c>
      <c r="B777" t="s">
        <v>1163</v>
      </c>
      <c r="C777" t="s">
        <v>2786</v>
      </c>
      <c r="D777" t="s">
        <v>1256</v>
      </c>
      <c r="E777" t="s">
        <v>1257</v>
      </c>
      <c r="F777" t="s">
        <v>2613</v>
      </c>
      <c r="G777" t="s">
        <v>2635</v>
      </c>
      <c r="H777" t="s">
        <v>2597</v>
      </c>
      <c r="I777">
        <v>1</v>
      </c>
      <c r="J777">
        <v>850</v>
      </c>
      <c r="K777" t="s">
        <v>32</v>
      </c>
      <c r="L777" t="s">
        <v>20</v>
      </c>
    </row>
    <row r="778" spans="1:12" x14ac:dyDescent="0.25">
      <c r="A778">
        <v>100223</v>
      </c>
      <c r="B778" t="s">
        <v>890</v>
      </c>
      <c r="C778" t="s">
        <v>149</v>
      </c>
      <c r="D778" t="s">
        <v>1258</v>
      </c>
      <c r="E778" t="s">
        <v>3070</v>
      </c>
      <c r="F778" t="s">
        <v>2613</v>
      </c>
      <c r="G778" t="s">
        <v>2631</v>
      </c>
      <c r="H778" t="s">
        <v>2644</v>
      </c>
      <c r="J778">
        <v>733</v>
      </c>
      <c r="K778" t="s">
        <v>56</v>
      </c>
      <c r="L778" t="s">
        <v>2582</v>
      </c>
    </row>
    <row r="779" spans="1:12" x14ac:dyDescent="0.25">
      <c r="A779">
        <v>100825</v>
      </c>
      <c r="B779" t="s">
        <v>1259</v>
      </c>
      <c r="C779" t="s">
        <v>47</v>
      </c>
      <c r="D779" t="s">
        <v>1260</v>
      </c>
      <c r="E779" t="s">
        <v>1261</v>
      </c>
      <c r="F779" t="s">
        <v>2627</v>
      </c>
      <c r="G779" t="s">
        <v>2635</v>
      </c>
      <c r="H779" t="s">
        <v>2620</v>
      </c>
      <c r="J779">
        <v>748</v>
      </c>
      <c r="K779" t="s">
        <v>45</v>
      </c>
      <c r="L779" t="s">
        <v>26</v>
      </c>
    </row>
    <row r="780" spans="1:12" x14ac:dyDescent="0.25">
      <c r="A780">
        <v>100652</v>
      </c>
      <c r="B780" t="s">
        <v>360</v>
      </c>
      <c r="C780" t="s">
        <v>149</v>
      </c>
      <c r="D780" t="s">
        <v>670</v>
      </c>
      <c r="E780" t="s">
        <v>1262</v>
      </c>
      <c r="F780" t="s">
        <v>30</v>
      </c>
      <c r="G780" t="s">
        <v>2580</v>
      </c>
      <c r="H780" t="s">
        <v>2587</v>
      </c>
      <c r="I780">
        <v>0</v>
      </c>
      <c r="J780">
        <v>621</v>
      </c>
      <c r="K780" t="s">
        <v>32</v>
      </c>
      <c r="L780" t="s">
        <v>20</v>
      </c>
    </row>
    <row r="781" spans="1:12" x14ac:dyDescent="0.25">
      <c r="A781">
        <v>102036</v>
      </c>
      <c r="B781" t="s">
        <v>446</v>
      </c>
      <c r="C781" t="s">
        <v>168</v>
      </c>
      <c r="D781" t="s">
        <v>1263</v>
      </c>
      <c r="E781" t="s">
        <v>3071</v>
      </c>
      <c r="F781" t="s">
        <v>2616</v>
      </c>
      <c r="G781" t="s">
        <v>2614</v>
      </c>
      <c r="H781" t="s">
        <v>2581</v>
      </c>
      <c r="I781">
        <v>0</v>
      </c>
      <c r="J781">
        <v>515</v>
      </c>
      <c r="K781" t="s">
        <v>56</v>
      </c>
      <c r="L781" t="s">
        <v>26</v>
      </c>
    </row>
    <row r="782" spans="1:12" x14ac:dyDescent="0.25">
      <c r="A782">
        <v>100173</v>
      </c>
      <c r="B782" t="s">
        <v>866</v>
      </c>
      <c r="C782" t="s">
        <v>168</v>
      </c>
      <c r="D782" t="s">
        <v>1264</v>
      </c>
      <c r="E782" t="s">
        <v>3072</v>
      </c>
      <c r="F782" t="s">
        <v>2629</v>
      </c>
      <c r="G782" t="s">
        <v>2635</v>
      </c>
      <c r="H782" t="s">
        <v>2587</v>
      </c>
      <c r="I782">
        <v>0</v>
      </c>
      <c r="J782">
        <v>458</v>
      </c>
      <c r="K782" t="s">
        <v>37</v>
      </c>
      <c r="L782" t="s">
        <v>2588</v>
      </c>
    </row>
    <row r="783" spans="1:12" x14ac:dyDescent="0.25">
      <c r="A783">
        <v>101414</v>
      </c>
      <c r="B783" t="s">
        <v>247</v>
      </c>
      <c r="C783" t="s">
        <v>126</v>
      </c>
      <c r="D783" t="s">
        <v>1265</v>
      </c>
      <c r="E783" t="s">
        <v>3073</v>
      </c>
      <c r="F783" t="s">
        <v>2593</v>
      </c>
      <c r="G783" t="s">
        <v>31</v>
      </c>
      <c r="H783" t="s">
        <v>2644</v>
      </c>
      <c r="I783">
        <v>0</v>
      </c>
      <c r="J783">
        <v>527</v>
      </c>
      <c r="K783" t="s">
        <v>45</v>
      </c>
      <c r="L783" t="s">
        <v>2588</v>
      </c>
    </row>
    <row r="784" spans="1:12" x14ac:dyDescent="0.25">
      <c r="A784">
        <v>101850</v>
      </c>
      <c r="B784" t="s">
        <v>607</v>
      </c>
      <c r="C784" t="s">
        <v>134</v>
      </c>
      <c r="D784" t="s">
        <v>1266</v>
      </c>
      <c r="E784" t="s">
        <v>1267</v>
      </c>
      <c r="F784" t="s">
        <v>2641</v>
      </c>
      <c r="G784" t="s">
        <v>2617</v>
      </c>
      <c r="H784" t="s">
        <v>2581</v>
      </c>
      <c r="I784">
        <v>0</v>
      </c>
      <c r="J784">
        <v>458</v>
      </c>
      <c r="K784" t="s">
        <v>19</v>
      </c>
      <c r="L784" t="s">
        <v>20</v>
      </c>
    </row>
    <row r="785" spans="1:12" x14ac:dyDescent="0.25">
      <c r="A785">
        <v>101680</v>
      </c>
      <c r="B785" t="s">
        <v>133</v>
      </c>
      <c r="C785" t="s">
        <v>134</v>
      </c>
      <c r="D785" t="s">
        <v>666</v>
      </c>
      <c r="E785" t="s">
        <v>3074</v>
      </c>
      <c r="F785" t="s">
        <v>50</v>
      </c>
      <c r="G785" t="s">
        <v>2607</v>
      </c>
      <c r="H785" t="s">
        <v>2630</v>
      </c>
      <c r="I785">
        <v>11</v>
      </c>
      <c r="J785">
        <v>345</v>
      </c>
      <c r="K785" t="s">
        <v>19</v>
      </c>
      <c r="L785" t="s">
        <v>2588</v>
      </c>
    </row>
    <row r="786" spans="1:12" x14ac:dyDescent="0.25">
      <c r="A786">
        <v>100811</v>
      </c>
      <c r="B786" t="s">
        <v>325</v>
      </c>
      <c r="C786" t="s">
        <v>126</v>
      </c>
      <c r="D786" t="s">
        <v>1268</v>
      </c>
      <c r="E786" t="s">
        <v>1269</v>
      </c>
      <c r="F786" t="s">
        <v>2616</v>
      </c>
      <c r="G786" t="s">
        <v>2600</v>
      </c>
      <c r="H786" t="s">
        <v>83</v>
      </c>
      <c r="I786">
        <v>0</v>
      </c>
      <c r="J786">
        <v>570</v>
      </c>
      <c r="K786" t="s">
        <v>56</v>
      </c>
      <c r="L786" t="s">
        <v>2588</v>
      </c>
    </row>
    <row r="787" spans="1:12" x14ac:dyDescent="0.25">
      <c r="A787">
        <v>100979</v>
      </c>
      <c r="B787" t="s">
        <v>610</v>
      </c>
      <c r="C787" t="s">
        <v>126</v>
      </c>
      <c r="D787" t="s">
        <v>1270</v>
      </c>
      <c r="E787" t="s">
        <v>1271</v>
      </c>
      <c r="F787" t="s">
        <v>2627</v>
      </c>
      <c r="G787" t="s">
        <v>55</v>
      </c>
      <c r="H787" t="s">
        <v>2587</v>
      </c>
      <c r="I787">
        <v>0</v>
      </c>
      <c r="J787">
        <v>315</v>
      </c>
      <c r="K787" t="s">
        <v>32</v>
      </c>
      <c r="L787" t="s">
        <v>2588</v>
      </c>
    </row>
    <row r="788" spans="1:12" x14ac:dyDescent="0.25">
      <c r="A788">
        <v>100781</v>
      </c>
      <c r="B788" t="s">
        <v>388</v>
      </c>
      <c r="C788" t="s">
        <v>142</v>
      </c>
      <c r="D788" t="s">
        <v>1272</v>
      </c>
      <c r="E788" t="s">
        <v>3075</v>
      </c>
      <c r="F788" t="s">
        <v>2593</v>
      </c>
      <c r="G788" t="s">
        <v>2580</v>
      </c>
      <c r="H788" t="s">
        <v>18</v>
      </c>
      <c r="I788">
        <v>0</v>
      </c>
      <c r="J788">
        <v>662</v>
      </c>
      <c r="K788" t="s">
        <v>32</v>
      </c>
      <c r="L788" t="s">
        <v>26</v>
      </c>
    </row>
    <row r="789" spans="1:12" x14ac:dyDescent="0.25">
      <c r="A789">
        <v>102061</v>
      </c>
      <c r="B789" t="s">
        <v>682</v>
      </c>
      <c r="C789" t="s">
        <v>152</v>
      </c>
      <c r="D789" t="s">
        <v>1273</v>
      </c>
      <c r="E789" t="s">
        <v>3076</v>
      </c>
      <c r="F789" t="s">
        <v>2598</v>
      </c>
      <c r="H789" t="s">
        <v>18</v>
      </c>
      <c r="I789">
        <v>0</v>
      </c>
      <c r="J789">
        <v>863</v>
      </c>
      <c r="K789" t="s">
        <v>56</v>
      </c>
      <c r="L789" t="s">
        <v>2582</v>
      </c>
    </row>
    <row r="790" spans="1:12" x14ac:dyDescent="0.25">
      <c r="A790">
        <v>100462</v>
      </c>
      <c r="B790" t="s">
        <v>402</v>
      </c>
      <c r="C790" t="s">
        <v>95</v>
      </c>
      <c r="D790" t="s">
        <v>710</v>
      </c>
      <c r="E790" t="s">
        <v>3077</v>
      </c>
      <c r="F790" t="s">
        <v>2604</v>
      </c>
      <c r="G790" t="s">
        <v>60</v>
      </c>
      <c r="H790" t="s">
        <v>2587</v>
      </c>
      <c r="I790">
        <v>0</v>
      </c>
      <c r="J790">
        <v>355</v>
      </c>
      <c r="K790" t="s">
        <v>45</v>
      </c>
      <c r="L790" t="s">
        <v>20</v>
      </c>
    </row>
    <row r="791" spans="1:12" x14ac:dyDescent="0.25">
      <c r="A791">
        <v>101985</v>
      </c>
      <c r="B791" t="s">
        <v>581</v>
      </c>
      <c r="C791" t="s">
        <v>103</v>
      </c>
      <c r="D791" t="s">
        <v>428</v>
      </c>
      <c r="E791" t="s">
        <v>1274</v>
      </c>
      <c r="F791" t="s">
        <v>2643</v>
      </c>
      <c r="G791" t="s">
        <v>2602</v>
      </c>
      <c r="H791" t="s">
        <v>25</v>
      </c>
      <c r="I791">
        <v>28</v>
      </c>
      <c r="J791">
        <v>435</v>
      </c>
      <c r="K791" t="s">
        <v>56</v>
      </c>
      <c r="L791" t="s">
        <v>26</v>
      </c>
    </row>
    <row r="792" spans="1:12" x14ac:dyDescent="0.25">
      <c r="A792">
        <v>100888</v>
      </c>
      <c r="B792" t="s">
        <v>294</v>
      </c>
      <c r="C792" t="s">
        <v>100</v>
      </c>
      <c r="D792" t="s">
        <v>1075</v>
      </c>
      <c r="E792" t="s">
        <v>1076</v>
      </c>
      <c r="F792" t="s">
        <v>2648</v>
      </c>
      <c r="G792" t="s">
        <v>2652</v>
      </c>
      <c r="H792" t="s">
        <v>2587</v>
      </c>
      <c r="I792">
        <v>0</v>
      </c>
      <c r="J792">
        <v>377</v>
      </c>
      <c r="K792" t="s">
        <v>32</v>
      </c>
      <c r="L792" t="s">
        <v>2588</v>
      </c>
    </row>
    <row r="793" spans="1:12" x14ac:dyDescent="0.25">
      <c r="A793">
        <v>101282</v>
      </c>
      <c r="B793" t="s">
        <v>728</v>
      </c>
      <c r="C793" t="s">
        <v>85</v>
      </c>
      <c r="D793" t="s">
        <v>1275</v>
      </c>
      <c r="E793" t="s">
        <v>1276</v>
      </c>
      <c r="F793" t="s">
        <v>2641</v>
      </c>
      <c r="G793" t="s">
        <v>2591</v>
      </c>
      <c r="H793" t="s">
        <v>2585</v>
      </c>
      <c r="I793">
        <v>7</v>
      </c>
      <c r="J793">
        <v>653</v>
      </c>
      <c r="K793" t="s">
        <v>37</v>
      </c>
      <c r="L793" t="s">
        <v>2582</v>
      </c>
    </row>
    <row r="794" spans="1:12" x14ac:dyDescent="0.25">
      <c r="A794">
        <v>101679</v>
      </c>
      <c r="B794" t="s">
        <v>399</v>
      </c>
      <c r="C794" t="s">
        <v>187</v>
      </c>
      <c r="D794" t="s">
        <v>1277</v>
      </c>
      <c r="E794" t="s">
        <v>3078</v>
      </c>
      <c r="F794" t="s">
        <v>2627</v>
      </c>
      <c r="G794" t="s">
        <v>2584</v>
      </c>
      <c r="H794" t="s">
        <v>2581</v>
      </c>
      <c r="I794">
        <v>0</v>
      </c>
      <c r="J794">
        <v>370</v>
      </c>
      <c r="K794" t="s">
        <v>37</v>
      </c>
      <c r="L794" t="s">
        <v>2588</v>
      </c>
    </row>
    <row r="795" spans="1:12" x14ac:dyDescent="0.25">
      <c r="A795">
        <v>101142</v>
      </c>
      <c r="B795" t="s">
        <v>225</v>
      </c>
      <c r="C795" t="s">
        <v>2649</v>
      </c>
      <c r="D795" t="s">
        <v>1077</v>
      </c>
      <c r="E795" t="s">
        <v>1278</v>
      </c>
      <c r="F795" t="s">
        <v>2640</v>
      </c>
      <c r="G795" t="s">
        <v>2600</v>
      </c>
      <c r="H795" t="s">
        <v>2630</v>
      </c>
      <c r="I795">
        <v>30</v>
      </c>
      <c r="J795">
        <v>741</v>
      </c>
      <c r="K795" t="s">
        <v>45</v>
      </c>
      <c r="L795" t="s">
        <v>2582</v>
      </c>
    </row>
    <row r="796" spans="1:12" x14ac:dyDescent="0.25">
      <c r="A796">
        <v>101239</v>
      </c>
      <c r="B796" t="s">
        <v>585</v>
      </c>
      <c r="C796" t="s">
        <v>270</v>
      </c>
      <c r="E796" t="s">
        <v>3079</v>
      </c>
      <c r="F796" t="s">
        <v>30</v>
      </c>
      <c r="G796" t="s">
        <v>2633</v>
      </c>
      <c r="H796" t="s">
        <v>18</v>
      </c>
      <c r="I796">
        <v>0</v>
      </c>
      <c r="J796">
        <v>814</v>
      </c>
      <c r="K796" t="s">
        <v>56</v>
      </c>
      <c r="L796" t="s">
        <v>26</v>
      </c>
    </row>
    <row r="797" spans="1:12" x14ac:dyDescent="0.25">
      <c r="A797">
        <v>100712</v>
      </c>
      <c r="B797" t="s">
        <v>450</v>
      </c>
      <c r="C797" t="s">
        <v>95</v>
      </c>
      <c r="D797" t="s">
        <v>1279</v>
      </c>
      <c r="E797" t="s">
        <v>3080</v>
      </c>
      <c r="F797" t="s">
        <v>2593</v>
      </c>
      <c r="G797" t="s">
        <v>2658</v>
      </c>
      <c r="H797" t="s">
        <v>2594</v>
      </c>
      <c r="I797">
        <v>113</v>
      </c>
      <c r="J797">
        <v>890</v>
      </c>
      <c r="K797" t="s">
        <v>19</v>
      </c>
      <c r="L797" t="s">
        <v>2582</v>
      </c>
    </row>
    <row r="798" spans="1:12" x14ac:dyDescent="0.25">
      <c r="A798">
        <v>101472</v>
      </c>
      <c r="B798" t="s">
        <v>131</v>
      </c>
      <c r="C798" t="s">
        <v>39</v>
      </c>
      <c r="D798" t="s">
        <v>1280</v>
      </c>
      <c r="E798" t="s">
        <v>3081</v>
      </c>
      <c r="F798" t="s">
        <v>2593</v>
      </c>
      <c r="G798" t="s">
        <v>2631</v>
      </c>
      <c r="H798" t="s">
        <v>18</v>
      </c>
      <c r="I798">
        <v>0</v>
      </c>
      <c r="J798">
        <v>867</v>
      </c>
      <c r="K798" t="s">
        <v>37</v>
      </c>
      <c r="L798" t="s">
        <v>2588</v>
      </c>
    </row>
    <row r="799" spans="1:12" x14ac:dyDescent="0.25">
      <c r="A799">
        <v>101547</v>
      </c>
      <c r="B799" t="s">
        <v>385</v>
      </c>
      <c r="C799" t="s">
        <v>2699</v>
      </c>
      <c r="D799" t="s">
        <v>1281</v>
      </c>
      <c r="F799" t="s">
        <v>2604</v>
      </c>
      <c r="G799" t="s">
        <v>2596</v>
      </c>
      <c r="H799" t="s">
        <v>2581</v>
      </c>
      <c r="I799">
        <v>0</v>
      </c>
      <c r="J799">
        <v>490</v>
      </c>
      <c r="K799" t="s">
        <v>19</v>
      </c>
      <c r="L799" t="s">
        <v>2588</v>
      </c>
    </row>
    <row r="800" spans="1:12" x14ac:dyDescent="0.25">
      <c r="A800">
        <v>101003</v>
      </c>
      <c r="B800" t="s">
        <v>607</v>
      </c>
      <c r="C800" t="s">
        <v>134</v>
      </c>
      <c r="D800" t="s">
        <v>685</v>
      </c>
      <c r="E800" t="s">
        <v>3082</v>
      </c>
      <c r="F800" t="s">
        <v>2590</v>
      </c>
      <c r="G800" t="s">
        <v>2635</v>
      </c>
      <c r="H800" t="s">
        <v>2630</v>
      </c>
      <c r="I800">
        <v>21</v>
      </c>
      <c r="J800">
        <v>458</v>
      </c>
      <c r="K800" t="s">
        <v>37</v>
      </c>
      <c r="L800" t="s">
        <v>20</v>
      </c>
    </row>
    <row r="801" spans="1:12" x14ac:dyDescent="0.25">
      <c r="A801">
        <v>101977</v>
      </c>
      <c r="B801" t="s">
        <v>299</v>
      </c>
      <c r="C801" t="s">
        <v>22</v>
      </c>
      <c r="D801" t="s">
        <v>1282</v>
      </c>
      <c r="E801" t="s">
        <v>1283</v>
      </c>
      <c r="F801" t="s">
        <v>2613</v>
      </c>
      <c r="G801" t="s">
        <v>2614</v>
      </c>
      <c r="H801" t="s">
        <v>2620</v>
      </c>
      <c r="I801">
        <v>0</v>
      </c>
      <c r="J801">
        <v>855</v>
      </c>
      <c r="L801" t="s">
        <v>20</v>
      </c>
    </row>
    <row r="802" spans="1:12" x14ac:dyDescent="0.25">
      <c r="A802">
        <v>100492</v>
      </c>
      <c r="B802" t="s">
        <v>807</v>
      </c>
      <c r="C802" t="s">
        <v>85</v>
      </c>
      <c r="D802" t="s">
        <v>1284</v>
      </c>
      <c r="E802" t="s">
        <v>1285</v>
      </c>
      <c r="F802" t="s">
        <v>2583</v>
      </c>
      <c r="G802" t="s">
        <v>2591</v>
      </c>
      <c r="H802" t="s">
        <v>2587</v>
      </c>
      <c r="I802">
        <v>0</v>
      </c>
      <c r="J802">
        <v>443</v>
      </c>
      <c r="K802" t="s">
        <v>19</v>
      </c>
      <c r="L802" t="s">
        <v>20</v>
      </c>
    </row>
    <row r="803" spans="1:12" x14ac:dyDescent="0.25">
      <c r="A803">
        <v>101835</v>
      </c>
      <c r="B803" t="s">
        <v>671</v>
      </c>
      <c r="C803" t="s">
        <v>122</v>
      </c>
      <c r="D803" t="s">
        <v>1239</v>
      </c>
      <c r="E803" t="s">
        <v>3083</v>
      </c>
      <c r="F803" t="s">
        <v>2583</v>
      </c>
      <c r="G803" t="s">
        <v>2652</v>
      </c>
      <c r="H803" t="s">
        <v>83</v>
      </c>
      <c r="I803">
        <v>0</v>
      </c>
      <c r="J803">
        <v>302</v>
      </c>
      <c r="K803" t="s">
        <v>19</v>
      </c>
      <c r="L803" t="s">
        <v>20</v>
      </c>
    </row>
    <row r="804" spans="1:12" x14ac:dyDescent="0.25">
      <c r="A804">
        <v>100654</v>
      </c>
      <c r="B804" t="s">
        <v>438</v>
      </c>
      <c r="C804" t="s">
        <v>95</v>
      </c>
      <c r="D804" t="s">
        <v>1286</v>
      </c>
      <c r="E804" t="s">
        <v>3084</v>
      </c>
      <c r="F804" t="s">
        <v>2629</v>
      </c>
      <c r="G804" t="s">
        <v>2591</v>
      </c>
      <c r="H804" t="s">
        <v>2581</v>
      </c>
      <c r="I804">
        <v>0</v>
      </c>
      <c r="J804">
        <v>858</v>
      </c>
      <c r="K804" t="s">
        <v>37</v>
      </c>
      <c r="L804" t="s">
        <v>2588</v>
      </c>
    </row>
    <row r="805" spans="1:12" x14ac:dyDescent="0.25">
      <c r="A805">
        <v>101880</v>
      </c>
      <c r="B805" t="s">
        <v>342</v>
      </c>
      <c r="C805" t="s">
        <v>110</v>
      </c>
      <c r="D805" t="s">
        <v>888</v>
      </c>
      <c r="E805" t="s">
        <v>1287</v>
      </c>
      <c r="F805" t="s">
        <v>41</v>
      </c>
      <c r="G805" t="s">
        <v>2614</v>
      </c>
      <c r="H805" t="s">
        <v>18</v>
      </c>
      <c r="I805">
        <v>0</v>
      </c>
      <c r="J805">
        <v>659</v>
      </c>
      <c r="K805" t="s">
        <v>45</v>
      </c>
      <c r="L805" t="s">
        <v>2582</v>
      </c>
    </row>
    <row r="806" spans="1:12" x14ac:dyDescent="0.25">
      <c r="A806">
        <v>100124</v>
      </c>
      <c r="B806" t="s">
        <v>91</v>
      </c>
      <c r="C806" t="s">
        <v>58</v>
      </c>
      <c r="D806" t="s">
        <v>1288</v>
      </c>
      <c r="E806" t="s">
        <v>1289</v>
      </c>
      <c r="F806" t="s">
        <v>2613</v>
      </c>
      <c r="G806" t="s">
        <v>2607</v>
      </c>
      <c r="H806" t="s">
        <v>2587</v>
      </c>
      <c r="I806">
        <v>0</v>
      </c>
      <c r="J806">
        <v>769</v>
      </c>
      <c r="K806" t="s">
        <v>32</v>
      </c>
      <c r="L806" t="s">
        <v>2582</v>
      </c>
    </row>
    <row r="807" spans="1:12" x14ac:dyDescent="0.25">
      <c r="A807">
        <v>101106</v>
      </c>
      <c r="B807" t="s">
        <v>1042</v>
      </c>
      <c r="C807" t="s">
        <v>58</v>
      </c>
      <c r="D807" t="s">
        <v>713</v>
      </c>
      <c r="E807" t="s">
        <v>3085</v>
      </c>
      <c r="F807" t="s">
        <v>2648</v>
      </c>
      <c r="G807" t="s">
        <v>2600</v>
      </c>
      <c r="H807" t="s">
        <v>2597</v>
      </c>
      <c r="I807">
        <v>25</v>
      </c>
      <c r="J807">
        <v>578</v>
      </c>
      <c r="K807" t="s">
        <v>37</v>
      </c>
      <c r="L807" t="s">
        <v>26</v>
      </c>
    </row>
    <row r="808" spans="1:12" x14ac:dyDescent="0.25">
      <c r="A808">
        <v>100759</v>
      </c>
      <c r="B808" t="s">
        <v>113</v>
      </c>
      <c r="C808" t="s">
        <v>95</v>
      </c>
      <c r="D808" t="s">
        <v>1290</v>
      </c>
      <c r="E808" t="s">
        <v>3086</v>
      </c>
      <c r="F808" t="s">
        <v>41</v>
      </c>
      <c r="G808" t="s">
        <v>2617</v>
      </c>
      <c r="H808" t="s">
        <v>18</v>
      </c>
      <c r="I808">
        <v>0</v>
      </c>
      <c r="J808">
        <v>657</v>
      </c>
      <c r="K808" t="s">
        <v>19</v>
      </c>
      <c r="L808" t="s">
        <v>20</v>
      </c>
    </row>
    <row r="809" spans="1:12" x14ac:dyDescent="0.25">
      <c r="A809">
        <v>101332</v>
      </c>
      <c r="B809" t="s">
        <v>125</v>
      </c>
      <c r="C809" t="s">
        <v>126</v>
      </c>
      <c r="D809" t="s">
        <v>386</v>
      </c>
      <c r="E809" t="s">
        <v>1291</v>
      </c>
      <c r="F809" t="s">
        <v>2608</v>
      </c>
      <c r="G809" t="s">
        <v>2631</v>
      </c>
      <c r="H809" t="s">
        <v>18</v>
      </c>
      <c r="J809">
        <v>461</v>
      </c>
      <c r="K809" t="s">
        <v>19</v>
      </c>
      <c r="L809" t="s">
        <v>26</v>
      </c>
    </row>
    <row r="810" spans="1:12" x14ac:dyDescent="0.25">
      <c r="A810">
        <v>100618</v>
      </c>
      <c r="B810" t="s">
        <v>908</v>
      </c>
      <c r="C810" t="s">
        <v>110</v>
      </c>
      <c r="D810" t="s">
        <v>620</v>
      </c>
      <c r="E810" t="s">
        <v>3087</v>
      </c>
      <c r="F810" t="s">
        <v>2593</v>
      </c>
      <c r="G810" t="s">
        <v>2635</v>
      </c>
      <c r="H810" t="s">
        <v>2581</v>
      </c>
      <c r="I810">
        <v>0</v>
      </c>
      <c r="J810">
        <v>550</v>
      </c>
      <c r="K810" t="s">
        <v>56</v>
      </c>
      <c r="L810" t="s">
        <v>26</v>
      </c>
    </row>
    <row r="811" spans="1:12" x14ac:dyDescent="0.25">
      <c r="A811">
        <v>101111</v>
      </c>
      <c r="B811" t="s">
        <v>750</v>
      </c>
      <c r="C811" t="s">
        <v>52</v>
      </c>
      <c r="D811" t="s">
        <v>904</v>
      </c>
      <c r="E811" t="s">
        <v>1292</v>
      </c>
      <c r="F811" t="s">
        <v>2579</v>
      </c>
      <c r="G811" t="s">
        <v>2658</v>
      </c>
      <c r="H811" t="s">
        <v>2585</v>
      </c>
      <c r="I811">
        <v>1</v>
      </c>
      <c r="J811">
        <v>856</v>
      </c>
      <c r="K811" t="s">
        <v>32</v>
      </c>
      <c r="L811" t="s">
        <v>20</v>
      </c>
    </row>
    <row r="812" spans="1:12" x14ac:dyDescent="0.25">
      <c r="A812">
        <v>100250</v>
      </c>
      <c r="B812" t="s">
        <v>109</v>
      </c>
      <c r="C812" t="s">
        <v>110</v>
      </c>
      <c r="D812" t="s">
        <v>1293</v>
      </c>
      <c r="E812" t="s">
        <v>3088</v>
      </c>
      <c r="F812" t="s">
        <v>2629</v>
      </c>
      <c r="G812" t="s">
        <v>2602</v>
      </c>
      <c r="H812" t="s">
        <v>2581</v>
      </c>
      <c r="I812">
        <v>0</v>
      </c>
      <c r="J812">
        <v>591</v>
      </c>
      <c r="K812" t="s">
        <v>37</v>
      </c>
      <c r="L812" t="s">
        <v>2582</v>
      </c>
    </row>
    <row r="813" spans="1:12" x14ac:dyDescent="0.25">
      <c r="A813">
        <v>102154</v>
      </c>
      <c r="B813" t="s">
        <v>141</v>
      </c>
      <c r="C813" t="s">
        <v>142</v>
      </c>
      <c r="D813" t="s">
        <v>1294</v>
      </c>
      <c r="E813" t="s">
        <v>1295</v>
      </c>
      <c r="F813" t="s">
        <v>50</v>
      </c>
      <c r="G813" t="s">
        <v>2611</v>
      </c>
      <c r="H813" t="s">
        <v>2620</v>
      </c>
      <c r="I813">
        <v>0</v>
      </c>
      <c r="J813">
        <v>430</v>
      </c>
      <c r="L813" t="s">
        <v>26</v>
      </c>
    </row>
    <row r="814" spans="1:12" x14ac:dyDescent="0.25">
      <c r="A814">
        <v>101543</v>
      </c>
      <c r="B814" t="s">
        <v>129</v>
      </c>
      <c r="C814" t="s">
        <v>13</v>
      </c>
      <c r="D814" t="s">
        <v>332</v>
      </c>
      <c r="E814" t="s">
        <v>1296</v>
      </c>
      <c r="F814" t="s">
        <v>30</v>
      </c>
      <c r="G814" t="s">
        <v>2591</v>
      </c>
      <c r="H814" t="s">
        <v>2594</v>
      </c>
      <c r="I814">
        <v>145</v>
      </c>
      <c r="J814">
        <v>336</v>
      </c>
      <c r="K814" t="s">
        <v>19</v>
      </c>
      <c r="L814" t="s">
        <v>26</v>
      </c>
    </row>
    <row r="815" spans="1:12" x14ac:dyDescent="0.25">
      <c r="A815">
        <v>100686</v>
      </c>
      <c r="B815" t="s">
        <v>1059</v>
      </c>
      <c r="C815" t="s">
        <v>149</v>
      </c>
      <c r="D815" t="s">
        <v>580</v>
      </c>
      <c r="E815" t="s">
        <v>3089</v>
      </c>
      <c r="F815" t="s">
        <v>2648</v>
      </c>
      <c r="G815" t="s">
        <v>2611</v>
      </c>
      <c r="H815" t="s">
        <v>2620</v>
      </c>
      <c r="I815">
        <v>0</v>
      </c>
      <c r="J815">
        <v>571</v>
      </c>
      <c r="K815" t="s">
        <v>37</v>
      </c>
      <c r="L815" t="s">
        <v>26</v>
      </c>
    </row>
    <row r="816" spans="1:12" x14ac:dyDescent="0.25">
      <c r="A816">
        <v>100562</v>
      </c>
      <c r="B816" t="s">
        <v>738</v>
      </c>
      <c r="C816" t="s">
        <v>100</v>
      </c>
      <c r="D816" t="s">
        <v>158</v>
      </c>
      <c r="E816" t="s">
        <v>3090</v>
      </c>
      <c r="F816" t="s">
        <v>2613</v>
      </c>
      <c r="H816" t="s">
        <v>2587</v>
      </c>
      <c r="I816">
        <v>0</v>
      </c>
      <c r="J816">
        <v>585</v>
      </c>
      <c r="K816" t="s">
        <v>56</v>
      </c>
      <c r="L816" t="s">
        <v>2582</v>
      </c>
    </row>
    <row r="817" spans="1:12" x14ac:dyDescent="0.25">
      <c r="A817">
        <v>101353</v>
      </c>
      <c r="B817" t="s">
        <v>462</v>
      </c>
      <c r="C817" t="s">
        <v>168</v>
      </c>
      <c r="D817" t="s">
        <v>918</v>
      </c>
      <c r="E817" t="s">
        <v>3091</v>
      </c>
      <c r="F817" t="s">
        <v>2629</v>
      </c>
      <c r="G817" t="s">
        <v>2609</v>
      </c>
      <c r="H817" t="s">
        <v>2620</v>
      </c>
      <c r="I817">
        <v>0</v>
      </c>
      <c r="J817">
        <v>716</v>
      </c>
      <c r="K817" t="s">
        <v>32</v>
      </c>
      <c r="L817" t="s">
        <v>20</v>
      </c>
    </row>
    <row r="818" spans="1:12" x14ac:dyDescent="0.25">
      <c r="A818">
        <v>100674</v>
      </c>
      <c r="B818" t="s">
        <v>288</v>
      </c>
      <c r="C818" t="s">
        <v>85</v>
      </c>
      <c r="D818" t="s">
        <v>692</v>
      </c>
      <c r="E818" t="s">
        <v>1297</v>
      </c>
      <c r="F818" t="s">
        <v>2598</v>
      </c>
      <c r="G818" t="s">
        <v>2614</v>
      </c>
      <c r="H818" t="s">
        <v>25</v>
      </c>
      <c r="I818">
        <v>15</v>
      </c>
      <c r="J818">
        <v>746</v>
      </c>
      <c r="K818" t="s">
        <v>45</v>
      </c>
      <c r="L818" t="s">
        <v>2588</v>
      </c>
    </row>
    <row r="819" spans="1:12" x14ac:dyDescent="0.25">
      <c r="A819">
        <v>100765</v>
      </c>
      <c r="B819" t="s">
        <v>1175</v>
      </c>
      <c r="C819" t="s">
        <v>142</v>
      </c>
      <c r="D819" t="s">
        <v>1298</v>
      </c>
      <c r="F819" t="s">
        <v>2593</v>
      </c>
      <c r="G819" t="s">
        <v>2631</v>
      </c>
      <c r="H819" t="s">
        <v>2581</v>
      </c>
      <c r="I819">
        <v>0</v>
      </c>
      <c r="J819">
        <v>573</v>
      </c>
      <c r="K819" t="s">
        <v>32</v>
      </c>
      <c r="L819" t="s">
        <v>26</v>
      </c>
    </row>
    <row r="820" spans="1:12" x14ac:dyDescent="0.25">
      <c r="A820">
        <v>100107</v>
      </c>
      <c r="B820" t="s">
        <v>657</v>
      </c>
      <c r="C820" t="s">
        <v>52</v>
      </c>
      <c r="D820" t="s">
        <v>1299</v>
      </c>
      <c r="E820" t="s">
        <v>3092</v>
      </c>
      <c r="F820" t="s">
        <v>50</v>
      </c>
      <c r="G820" t="s">
        <v>2631</v>
      </c>
      <c r="H820" t="s">
        <v>2620</v>
      </c>
      <c r="I820">
        <v>0</v>
      </c>
      <c r="J820">
        <v>518</v>
      </c>
      <c r="K820" t="s">
        <v>37</v>
      </c>
      <c r="L820" t="s">
        <v>26</v>
      </c>
    </row>
    <row r="821" spans="1:12" x14ac:dyDescent="0.25">
      <c r="A821">
        <v>101442</v>
      </c>
      <c r="B821" t="s">
        <v>1300</v>
      </c>
      <c r="C821" t="s">
        <v>103</v>
      </c>
      <c r="D821" t="s">
        <v>1301</v>
      </c>
      <c r="E821" t="s">
        <v>1302</v>
      </c>
      <c r="F821" t="s">
        <v>64</v>
      </c>
      <c r="G821" t="s">
        <v>2682</v>
      </c>
      <c r="H821" t="s">
        <v>2618</v>
      </c>
      <c r="I821">
        <v>0</v>
      </c>
      <c r="J821">
        <v>374</v>
      </c>
      <c r="K821" t="s">
        <v>32</v>
      </c>
      <c r="L821" t="s">
        <v>2588</v>
      </c>
    </row>
    <row r="822" spans="1:12" x14ac:dyDescent="0.25">
      <c r="A822">
        <v>101014</v>
      </c>
      <c r="B822" t="s">
        <v>1303</v>
      </c>
      <c r="C822" t="s">
        <v>126</v>
      </c>
      <c r="D822" t="s">
        <v>1304</v>
      </c>
      <c r="E822" t="s">
        <v>3093</v>
      </c>
      <c r="F822" t="s">
        <v>64</v>
      </c>
      <c r="G822" t="s">
        <v>60</v>
      </c>
      <c r="H822" t="s">
        <v>2620</v>
      </c>
      <c r="I822">
        <v>0</v>
      </c>
      <c r="J822">
        <v>788</v>
      </c>
      <c r="K822" t="s">
        <v>45</v>
      </c>
      <c r="L822" t="s">
        <v>2588</v>
      </c>
    </row>
    <row r="823" spans="1:12" x14ac:dyDescent="0.25">
      <c r="A823">
        <v>101007</v>
      </c>
      <c r="B823" t="s">
        <v>241</v>
      </c>
      <c r="C823" t="s">
        <v>2728</v>
      </c>
      <c r="D823" t="s">
        <v>1305</v>
      </c>
      <c r="E823" t="s">
        <v>1306</v>
      </c>
      <c r="F823" t="s">
        <v>2613</v>
      </c>
      <c r="G823" t="s">
        <v>2631</v>
      </c>
      <c r="H823" t="s">
        <v>2587</v>
      </c>
      <c r="I823">
        <v>0</v>
      </c>
      <c r="J823">
        <v>468</v>
      </c>
      <c r="L823" t="s">
        <v>2588</v>
      </c>
    </row>
    <row r="824" spans="1:12" x14ac:dyDescent="0.25">
      <c r="A824">
        <v>100943</v>
      </c>
      <c r="B824" t="s">
        <v>322</v>
      </c>
      <c r="C824" t="s">
        <v>13</v>
      </c>
      <c r="D824" t="s">
        <v>1307</v>
      </c>
      <c r="E824" t="s">
        <v>1308</v>
      </c>
      <c r="F824" t="s">
        <v>2648</v>
      </c>
      <c r="G824" t="s">
        <v>2591</v>
      </c>
      <c r="H824" t="s">
        <v>25</v>
      </c>
      <c r="I824">
        <v>2</v>
      </c>
      <c r="J824">
        <v>623</v>
      </c>
      <c r="K824" t="s">
        <v>45</v>
      </c>
      <c r="L824" t="s">
        <v>26</v>
      </c>
    </row>
    <row r="825" spans="1:12" x14ac:dyDescent="0.25">
      <c r="A825">
        <v>101354</v>
      </c>
      <c r="B825" t="s">
        <v>553</v>
      </c>
      <c r="C825" t="s">
        <v>72</v>
      </c>
      <c r="D825" t="s">
        <v>1309</v>
      </c>
      <c r="F825" t="s">
        <v>2613</v>
      </c>
      <c r="G825" t="s">
        <v>2602</v>
      </c>
      <c r="H825" t="s">
        <v>18</v>
      </c>
      <c r="I825">
        <v>0</v>
      </c>
      <c r="J825">
        <v>638</v>
      </c>
      <c r="K825" t="s">
        <v>32</v>
      </c>
      <c r="L825" t="s">
        <v>20</v>
      </c>
    </row>
    <row r="826" spans="1:12" x14ac:dyDescent="0.25">
      <c r="A826">
        <v>101992</v>
      </c>
      <c r="B826" t="s">
        <v>170</v>
      </c>
      <c r="C826" t="s">
        <v>85</v>
      </c>
      <c r="D826" t="s">
        <v>1310</v>
      </c>
      <c r="E826" t="s">
        <v>3094</v>
      </c>
      <c r="F826" t="s">
        <v>2646</v>
      </c>
      <c r="G826" t="s">
        <v>2602</v>
      </c>
      <c r="H826" t="s">
        <v>2581</v>
      </c>
      <c r="I826">
        <v>0</v>
      </c>
      <c r="J826">
        <v>869</v>
      </c>
      <c r="L826" t="s">
        <v>20</v>
      </c>
    </row>
    <row r="827" spans="1:12" x14ac:dyDescent="0.25">
      <c r="A827">
        <v>100933</v>
      </c>
      <c r="B827" t="s">
        <v>151</v>
      </c>
      <c r="C827" t="s">
        <v>152</v>
      </c>
      <c r="D827" t="s">
        <v>1311</v>
      </c>
      <c r="E827" t="s">
        <v>1312</v>
      </c>
      <c r="F827" t="s">
        <v>2629</v>
      </c>
      <c r="G827" t="s">
        <v>2658</v>
      </c>
      <c r="H827" t="s">
        <v>2620</v>
      </c>
      <c r="J827">
        <v>534</v>
      </c>
      <c r="K827" t="s">
        <v>45</v>
      </c>
      <c r="L827" t="s">
        <v>2588</v>
      </c>
    </row>
    <row r="828" spans="1:12" x14ac:dyDescent="0.25">
      <c r="A828">
        <v>102114</v>
      </c>
      <c r="B828" t="s">
        <v>719</v>
      </c>
      <c r="D828" t="s">
        <v>1313</v>
      </c>
      <c r="E828" t="s">
        <v>3095</v>
      </c>
      <c r="F828" t="s">
        <v>2627</v>
      </c>
      <c r="G828" t="s">
        <v>2584</v>
      </c>
      <c r="H828" t="s">
        <v>2620</v>
      </c>
      <c r="I828">
        <v>0</v>
      </c>
      <c r="J828">
        <v>461</v>
      </c>
      <c r="K828" t="s">
        <v>37</v>
      </c>
      <c r="L828" t="s">
        <v>2588</v>
      </c>
    </row>
    <row r="829" spans="1:12" x14ac:dyDescent="0.25">
      <c r="A829">
        <v>100155</v>
      </c>
      <c r="B829" t="s">
        <v>1155</v>
      </c>
      <c r="C829" t="s">
        <v>218</v>
      </c>
      <c r="D829" t="s">
        <v>1314</v>
      </c>
      <c r="E829" t="s">
        <v>3096</v>
      </c>
      <c r="F829" t="s">
        <v>2613</v>
      </c>
      <c r="G829" t="s">
        <v>2631</v>
      </c>
      <c r="H829" t="s">
        <v>2581</v>
      </c>
      <c r="I829">
        <v>0</v>
      </c>
      <c r="J829">
        <v>557</v>
      </c>
      <c r="L829" t="s">
        <v>2582</v>
      </c>
    </row>
    <row r="830" spans="1:12" x14ac:dyDescent="0.25">
      <c r="A830">
        <v>101088</v>
      </c>
      <c r="B830" t="s">
        <v>162</v>
      </c>
      <c r="C830" t="s">
        <v>13</v>
      </c>
      <c r="D830" t="s">
        <v>1315</v>
      </c>
      <c r="E830" t="s">
        <v>3097</v>
      </c>
      <c r="F830" t="s">
        <v>2604</v>
      </c>
      <c r="G830" t="s">
        <v>2652</v>
      </c>
      <c r="H830" t="s">
        <v>25</v>
      </c>
      <c r="I830">
        <v>20</v>
      </c>
      <c r="J830">
        <v>410</v>
      </c>
      <c r="K830" t="s">
        <v>37</v>
      </c>
      <c r="L830" t="s">
        <v>2582</v>
      </c>
    </row>
    <row r="831" spans="1:12" x14ac:dyDescent="0.25">
      <c r="A831">
        <v>101225</v>
      </c>
      <c r="B831" t="s">
        <v>595</v>
      </c>
      <c r="C831" t="s">
        <v>22</v>
      </c>
      <c r="D831" t="s">
        <v>889</v>
      </c>
      <c r="E831" t="s">
        <v>3098</v>
      </c>
      <c r="F831" t="s">
        <v>2590</v>
      </c>
      <c r="G831" t="s">
        <v>55</v>
      </c>
      <c r="H831" t="s">
        <v>2585</v>
      </c>
      <c r="I831">
        <v>9</v>
      </c>
      <c r="J831">
        <v>372</v>
      </c>
      <c r="K831" t="s">
        <v>37</v>
      </c>
      <c r="L831" t="s">
        <v>20</v>
      </c>
    </row>
    <row r="832" spans="1:12" x14ac:dyDescent="0.25">
      <c r="A832">
        <v>102009</v>
      </c>
      <c r="B832" t="s">
        <v>1036</v>
      </c>
      <c r="C832" t="s">
        <v>149</v>
      </c>
      <c r="D832" t="s">
        <v>1316</v>
      </c>
      <c r="E832" t="s">
        <v>3099</v>
      </c>
      <c r="F832" t="s">
        <v>2593</v>
      </c>
      <c r="G832" t="s">
        <v>31</v>
      </c>
      <c r="H832" t="s">
        <v>83</v>
      </c>
      <c r="I832">
        <v>0</v>
      </c>
      <c r="J832">
        <v>358</v>
      </c>
      <c r="K832" t="s">
        <v>37</v>
      </c>
      <c r="L832" t="s">
        <v>2588</v>
      </c>
    </row>
    <row r="833" spans="1:12" x14ac:dyDescent="0.25">
      <c r="A833">
        <v>101198</v>
      </c>
      <c r="B833" t="s">
        <v>360</v>
      </c>
      <c r="C833" t="s">
        <v>149</v>
      </c>
      <c r="D833" t="s">
        <v>1062</v>
      </c>
      <c r="E833" t="s">
        <v>1317</v>
      </c>
      <c r="F833" t="s">
        <v>2648</v>
      </c>
      <c r="G833" t="s">
        <v>2591</v>
      </c>
      <c r="H833" t="s">
        <v>83</v>
      </c>
      <c r="I833">
        <v>0</v>
      </c>
      <c r="J833">
        <v>621</v>
      </c>
      <c r="K833" t="s">
        <v>19</v>
      </c>
      <c r="L833" t="s">
        <v>26</v>
      </c>
    </row>
    <row r="834" spans="1:12" x14ac:dyDescent="0.25">
      <c r="A834">
        <v>102131</v>
      </c>
      <c r="B834" t="s">
        <v>786</v>
      </c>
      <c r="C834" t="s">
        <v>95</v>
      </c>
      <c r="D834" t="s">
        <v>1318</v>
      </c>
      <c r="E834" t="s">
        <v>1319</v>
      </c>
      <c r="F834" t="s">
        <v>2593</v>
      </c>
      <c r="G834" t="s">
        <v>2596</v>
      </c>
      <c r="H834" t="s">
        <v>2618</v>
      </c>
      <c r="I834">
        <v>0</v>
      </c>
      <c r="J834">
        <v>835</v>
      </c>
      <c r="K834" t="s">
        <v>37</v>
      </c>
      <c r="L834" t="s">
        <v>2588</v>
      </c>
    </row>
    <row r="835" spans="1:12" x14ac:dyDescent="0.25">
      <c r="A835">
        <v>100788</v>
      </c>
      <c r="B835" t="s">
        <v>667</v>
      </c>
      <c r="C835" t="s">
        <v>122</v>
      </c>
      <c r="D835" t="s">
        <v>1320</v>
      </c>
      <c r="E835" t="s">
        <v>1321</v>
      </c>
      <c r="F835" t="s">
        <v>2613</v>
      </c>
      <c r="G835" t="s">
        <v>2617</v>
      </c>
      <c r="H835" t="s">
        <v>18</v>
      </c>
      <c r="I835">
        <v>0</v>
      </c>
      <c r="J835">
        <v>896</v>
      </c>
      <c r="K835" t="s">
        <v>32</v>
      </c>
      <c r="L835" t="s">
        <v>20</v>
      </c>
    </row>
    <row r="836" spans="1:12" x14ac:dyDescent="0.25">
      <c r="A836">
        <v>100775</v>
      </c>
      <c r="B836" t="s">
        <v>322</v>
      </c>
      <c r="C836" t="s">
        <v>13</v>
      </c>
      <c r="D836" t="s">
        <v>1322</v>
      </c>
      <c r="E836" t="s">
        <v>1323</v>
      </c>
      <c r="F836" t="s">
        <v>2616</v>
      </c>
      <c r="G836" t="s">
        <v>2607</v>
      </c>
      <c r="H836" t="s">
        <v>2618</v>
      </c>
      <c r="I836">
        <v>0</v>
      </c>
      <c r="J836">
        <v>623</v>
      </c>
      <c r="K836" t="s">
        <v>45</v>
      </c>
      <c r="L836" t="s">
        <v>20</v>
      </c>
    </row>
    <row r="837" spans="1:12" x14ac:dyDescent="0.25">
      <c r="A837">
        <v>101886</v>
      </c>
      <c r="B837" t="s">
        <v>133</v>
      </c>
      <c r="C837" t="s">
        <v>134</v>
      </c>
      <c r="D837" t="s">
        <v>1324</v>
      </c>
      <c r="E837" t="s">
        <v>1325</v>
      </c>
      <c r="F837" t="s">
        <v>2604</v>
      </c>
      <c r="G837" t="s">
        <v>2611</v>
      </c>
      <c r="H837" t="s">
        <v>83</v>
      </c>
      <c r="I837">
        <v>0</v>
      </c>
      <c r="J837">
        <v>345</v>
      </c>
      <c r="K837" t="s">
        <v>37</v>
      </c>
      <c r="L837" t="s">
        <v>26</v>
      </c>
    </row>
    <row r="838" spans="1:12" x14ac:dyDescent="0.25">
      <c r="A838">
        <v>100993</v>
      </c>
      <c r="B838" t="s">
        <v>558</v>
      </c>
      <c r="C838" t="s">
        <v>218</v>
      </c>
      <c r="D838" t="s">
        <v>1260</v>
      </c>
      <c r="E838" t="s">
        <v>3100</v>
      </c>
      <c r="F838" t="s">
        <v>64</v>
      </c>
      <c r="G838" t="s">
        <v>31</v>
      </c>
      <c r="H838" t="s">
        <v>18</v>
      </c>
      <c r="I838">
        <v>0</v>
      </c>
      <c r="J838">
        <v>784</v>
      </c>
      <c r="K838" t="s">
        <v>56</v>
      </c>
      <c r="L838" t="s">
        <v>26</v>
      </c>
    </row>
    <row r="839" spans="1:12" x14ac:dyDescent="0.25">
      <c r="A839">
        <v>102075</v>
      </c>
      <c r="B839" t="s">
        <v>269</v>
      </c>
      <c r="C839" t="s">
        <v>270</v>
      </c>
      <c r="D839" t="s">
        <v>660</v>
      </c>
      <c r="E839" t="s">
        <v>1326</v>
      </c>
      <c r="F839" t="s">
        <v>41</v>
      </c>
      <c r="G839" t="s">
        <v>2611</v>
      </c>
      <c r="H839" t="s">
        <v>2618</v>
      </c>
      <c r="I839">
        <v>0</v>
      </c>
      <c r="J839">
        <v>515</v>
      </c>
      <c r="K839" t="s">
        <v>32</v>
      </c>
      <c r="L839" t="s">
        <v>20</v>
      </c>
    </row>
    <row r="840" spans="1:12" x14ac:dyDescent="0.25">
      <c r="A840">
        <v>101430</v>
      </c>
      <c r="B840" t="s">
        <v>162</v>
      </c>
      <c r="C840" t="s">
        <v>13</v>
      </c>
      <c r="D840" t="s">
        <v>267</v>
      </c>
      <c r="E840" t="s">
        <v>3101</v>
      </c>
      <c r="F840" t="s">
        <v>2583</v>
      </c>
      <c r="G840" t="s">
        <v>55</v>
      </c>
      <c r="H840" t="s">
        <v>2587</v>
      </c>
      <c r="I840">
        <v>0</v>
      </c>
      <c r="J840">
        <v>410</v>
      </c>
      <c r="K840" t="s">
        <v>56</v>
      </c>
      <c r="L840" t="s">
        <v>2588</v>
      </c>
    </row>
    <row r="841" spans="1:12" x14ac:dyDescent="0.25">
      <c r="A841">
        <v>100311</v>
      </c>
      <c r="B841" t="s">
        <v>585</v>
      </c>
      <c r="C841" t="s">
        <v>2691</v>
      </c>
      <c r="D841" t="s">
        <v>1327</v>
      </c>
      <c r="E841" t="s">
        <v>1328</v>
      </c>
      <c r="F841" t="s">
        <v>2646</v>
      </c>
      <c r="G841" t="s">
        <v>2625</v>
      </c>
      <c r="H841" t="s">
        <v>2618</v>
      </c>
      <c r="I841">
        <v>0</v>
      </c>
      <c r="J841">
        <v>814</v>
      </c>
      <c r="K841" t="s">
        <v>56</v>
      </c>
      <c r="L841" t="s">
        <v>26</v>
      </c>
    </row>
    <row r="842" spans="1:12" x14ac:dyDescent="0.25">
      <c r="A842">
        <v>101652</v>
      </c>
      <c r="B842" t="s">
        <v>420</v>
      </c>
      <c r="C842" t="s">
        <v>72</v>
      </c>
      <c r="D842" t="s">
        <v>1329</v>
      </c>
      <c r="E842" t="s">
        <v>1330</v>
      </c>
      <c r="F842" t="s">
        <v>2640</v>
      </c>
      <c r="G842" t="s">
        <v>2602</v>
      </c>
      <c r="H842" t="s">
        <v>25</v>
      </c>
      <c r="I842">
        <v>30</v>
      </c>
      <c r="J842">
        <v>418</v>
      </c>
      <c r="K842" t="s">
        <v>56</v>
      </c>
      <c r="L842" t="s">
        <v>20</v>
      </c>
    </row>
    <row r="843" spans="1:12" x14ac:dyDescent="0.25">
      <c r="A843">
        <v>101250</v>
      </c>
      <c r="B843" t="s">
        <v>210</v>
      </c>
      <c r="C843" t="s">
        <v>95</v>
      </c>
      <c r="D843" t="s">
        <v>1331</v>
      </c>
      <c r="E843" t="s">
        <v>3102</v>
      </c>
      <c r="F843" t="s">
        <v>2590</v>
      </c>
      <c r="G843" t="s">
        <v>60</v>
      </c>
      <c r="H843" t="s">
        <v>2587</v>
      </c>
      <c r="I843">
        <v>0</v>
      </c>
      <c r="J843">
        <v>369</v>
      </c>
      <c r="K843" t="s">
        <v>32</v>
      </c>
      <c r="L843" t="s">
        <v>26</v>
      </c>
    </row>
    <row r="844" spans="1:12" x14ac:dyDescent="0.25">
      <c r="A844">
        <v>101581</v>
      </c>
      <c r="B844" t="s">
        <v>329</v>
      </c>
      <c r="C844" t="s">
        <v>270</v>
      </c>
      <c r="D844" t="s">
        <v>1332</v>
      </c>
      <c r="E844" t="s">
        <v>3103</v>
      </c>
      <c r="F844" t="s">
        <v>2640</v>
      </c>
      <c r="G844" t="s">
        <v>2599</v>
      </c>
      <c r="H844" t="s">
        <v>2644</v>
      </c>
      <c r="I844">
        <v>0</v>
      </c>
      <c r="J844">
        <v>328</v>
      </c>
      <c r="K844" t="s">
        <v>45</v>
      </c>
      <c r="L844" t="s">
        <v>2582</v>
      </c>
    </row>
    <row r="845" spans="1:12" x14ac:dyDescent="0.25">
      <c r="A845">
        <v>100128</v>
      </c>
      <c r="B845" t="s">
        <v>102</v>
      </c>
      <c r="C845" t="s">
        <v>103</v>
      </c>
      <c r="D845" t="s">
        <v>1333</v>
      </c>
      <c r="E845" t="s">
        <v>3104</v>
      </c>
      <c r="F845" t="s">
        <v>2648</v>
      </c>
      <c r="G845" t="s">
        <v>60</v>
      </c>
      <c r="H845" t="s">
        <v>2587</v>
      </c>
      <c r="I845">
        <v>0</v>
      </c>
      <c r="J845">
        <v>733</v>
      </c>
      <c r="K845" t="s">
        <v>19</v>
      </c>
      <c r="L845" t="s">
        <v>2582</v>
      </c>
    </row>
    <row r="846" spans="1:12" x14ac:dyDescent="0.25">
      <c r="A846">
        <v>101170</v>
      </c>
      <c r="B846" t="s">
        <v>1059</v>
      </c>
      <c r="C846" t="s">
        <v>149</v>
      </c>
      <c r="D846" t="s">
        <v>1334</v>
      </c>
      <c r="E846" t="s">
        <v>1335</v>
      </c>
      <c r="F846" t="s">
        <v>2627</v>
      </c>
      <c r="G846" t="s">
        <v>2635</v>
      </c>
      <c r="H846" t="s">
        <v>2585</v>
      </c>
      <c r="I846">
        <v>12</v>
      </c>
      <c r="J846">
        <v>571</v>
      </c>
      <c r="K846" t="s">
        <v>45</v>
      </c>
      <c r="L846" t="s">
        <v>26</v>
      </c>
    </row>
    <row r="847" spans="1:12" x14ac:dyDescent="0.25">
      <c r="A847">
        <v>100807</v>
      </c>
      <c r="B847" t="s">
        <v>1069</v>
      </c>
      <c r="C847" t="s">
        <v>22</v>
      </c>
      <c r="D847" t="s">
        <v>1336</v>
      </c>
      <c r="E847" t="s">
        <v>3105</v>
      </c>
      <c r="F847" t="s">
        <v>2593</v>
      </c>
      <c r="G847" t="s">
        <v>2614</v>
      </c>
      <c r="H847" t="s">
        <v>25</v>
      </c>
      <c r="I847">
        <v>14</v>
      </c>
      <c r="J847">
        <v>607</v>
      </c>
      <c r="K847" t="s">
        <v>37</v>
      </c>
      <c r="L847" t="s">
        <v>20</v>
      </c>
    </row>
    <row r="848" spans="1:12" x14ac:dyDescent="0.25">
      <c r="A848">
        <v>101776</v>
      </c>
      <c r="B848" t="s">
        <v>450</v>
      </c>
      <c r="C848" t="s">
        <v>95</v>
      </c>
      <c r="D848" t="s">
        <v>1337</v>
      </c>
      <c r="E848" t="s">
        <v>1338</v>
      </c>
      <c r="F848" t="s">
        <v>2648</v>
      </c>
      <c r="G848" t="s">
        <v>81</v>
      </c>
      <c r="H848" t="s">
        <v>2620</v>
      </c>
      <c r="I848">
        <v>0</v>
      </c>
      <c r="J848">
        <v>890</v>
      </c>
      <c r="K848" t="s">
        <v>45</v>
      </c>
      <c r="L848" t="s">
        <v>26</v>
      </c>
    </row>
    <row r="849" spans="1:12" x14ac:dyDescent="0.25">
      <c r="A849">
        <v>100660</v>
      </c>
      <c r="B849" t="s">
        <v>68</v>
      </c>
      <c r="C849" t="s">
        <v>52</v>
      </c>
      <c r="D849" t="s">
        <v>223</v>
      </c>
      <c r="E849" t="s">
        <v>1339</v>
      </c>
      <c r="F849" t="s">
        <v>50</v>
      </c>
      <c r="G849" t="s">
        <v>60</v>
      </c>
      <c r="H849" t="s">
        <v>42</v>
      </c>
      <c r="I849">
        <v>50</v>
      </c>
      <c r="J849">
        <v>309</v>
      </c>
      <c r="K849" t="s">
        <v>37</v>
      </c>
      <c r="L849" t="s">
        <v>20</v>
      </c>
    </row>
    <row r="850" spans="1:12" x14ac:dyDescent="0.25">
      <c r="A850">
        <v>101747</v>
      </c>
      <c r="B850" t="s">
        <v>1155</v>
      </c>
      <c r="C850" t="s">
        <v>218</v>
      </c>
      <c r="D850" t="s">
        <v>920</v>
      </c>
      <c r="E850" t="s">
        <v>1340</v>
      </c>
      <c r="F850" t="s">
        <v>2654</v>
      </c>
      <c r="G850" t="s">
        <v>2596</v>
      </c>
      <c r="H850" t="s">
        <v>2620</v>
      </c>
      <c r="I850">
        <v>0</v>
      </c>
      <c r="J850">
        <v>557</v>
      </c>
      <c r="K850" t="s">
        <v>56</v>
      </c>
      <c r="L850" t="s">
        <v>26</v>
      </c>
    </row>
    <row r="851" spans="1:12" x14ac:dyDescent="0.25">
      <c r="A851">
        <v>100615</v>
      </c>
      <c r="B851" t="s">
        <v>636</v>
      </c>
      <c r="C851" t="s">
        <v>244</v>
      </c>
      <c r="D851" t="s">
        <v>1341</v>
      </c>
      <c r="E851" t="s">
        <v>1342</v>
      </c>
      <c r="F851" t="s">
        <v>2629</v>
      </c>
      <c r="G851" t="s">
        <v>2584</v>
      </c>
      <c r="H851" t="s">
        <v>18</v>
      </c>
      <c r="I851">
        <v>0</v>
      </c>
      <c r="J851">
        <v>303</v>
      </c>
      <c r="K851" t="s">
        <v>32</v>
      </c>
      <c r="L851" t="s">
        <v>26</v>
      </c>
    </row>
    <row r="852" spans="1:12" x14ac:dyDescent="0.25">
      <c r="A852">
        <v>101498</v>
      </c>
      <c r="B852" t="s">
        <v>303</v>
      </c>
      <c r="C852" t="s">
        <v>187</v>
      </c>
      <c r="D852" t="s">
        <v>517</v>
      </c>
      <c r="E852" t="s">
        <v>3106</v>
      </c>
      <c r="F852" t="s">
        <v>2579</v>
      </c>
      <c r="G852" t="s">
        <v>60</v>
      </c>
      <c r="H852" t="s">
        <v>83</v>
      </c>
      <c r="I852">
        <v>0</v>
      </c>
      <c r="J852">
        <v>800</v>
      </c>
      <c r="K852" t="s">
        <v>19</v>
      </c>
      <c r="L852" t="s">
        <v>26</v>
      </c>
    </row>
    <row r="853" spans="1:12" x14ac:dyDescent="0.25">
      <c r="A853">
        <v>101857</v>
      </c>
      <c r="B853" t="s">
        <v>71</v>
      </c>
      <c r="C853" t="s">
        <v>72</v>
      </c>
      <c r="D853" t="s">
        <v>1343</v>
      </c>
      <c r="E853" t="s">
        <v>3107</v>
      </c>
      <c r="F853" t="s">
        <v>2590</v>
      </c>
      <c r="G853" t="s">
        <v>2625</v>
      </c>
      <c r="H853" t="s">
        <v>83</v>
      </c>
      <c r="I853">
        <v>0</v>
      </c>
      <c r="J853">
        <v>841</v>
      </c>
      <c r="K853" t="s">
        <v>56</v>
      </c>
      <c r="L853" t="s">
        <v>2582</v>
      </c>
    </row>
    <row r="854" spans="1:12" x14ac:dyDescent="0.25">
      <c r="A854">
        <v>101394</v>
      </c>
      <c r="B854" t="s">
        <v>631</v>
      </c>
      <c r="C854" t="s">
        <v>13</v>
      </c>
      <c r="D854" t="s">
        <v>143</v>
      </c>
      <c r="E854" t="s">
        <v>1344</v>
      </c>
      <c r="F854" t="s">
        <v>2640</v>
      </c>
      <c r="G854" t="s">
        <v>2614</v>
      </c>
      <c r="H854" t="s">
        <v>2597</v>
      </c>
      <c r="I854">
        <v>29</v>
      </c>
      <c r="J854">
        <v>544</v>
      </c>
      <c r="K854" t="s">
        <v>56</v>
      </c>
      <c r="L854" t="s">
        <v>2588</v>
      </c>
    </row>
    <row r="855" spans="1:12" x14ac:dyDescent="0.25">
      <c r="A855">
        <v>100898</v>
      </c>
      <c r="B855" t="s">
        <v>460</v>
      </c>
      <c r="C855" t="s">
        <v>95</v>
      </c>
      <c r="D855" t="s">
        <v>1345</v>
      </c>
      <c r="E855" t="s">
        <v>1346</v>
      </c>
      <c r="F855" t="s">
        <v>30</v>
      </c>
      <c r="G855" t="s">
        <v>2652</v>
      </c>
      <c r="H855" t="s">
        <v>2618</v>
      </c>
      <c r="I855">
        <v>0</v>
      </c>
      <c r="J855">
        <v>716</v>
      </c>
      <c r="K855" t="s">
        <v>45</v>
      </c>
      <c r="L855" t="s">
        <v>2588</v>
      </c>
    </row>
    <row r="856" spans="1:12" x14ac:dyDescent="0.25">
      <c r="A856">
        <v>101556</v>
      </c>
      <c r="B856" t="s">
        <v>234</v>
      </c>
      <c r="C856" t="s">
        <v>142</v>
      </c>
      <c r="D856" t="s">
        <v>1347</v>
      </c>
      <c r="E856" t="s">
        <v>1348</v>
      </c>
      <c r="F856" t="s">
        <v>2590</v>
      </c>
      <c r="G856" t="s">
        <v>2652</v>
      </c>
      <c r="H856" t="s">
        <v>18</v>
      </c>
      <c r="I856">
        <v>0</v>
      </c>
      <c r="J856">
        <v>494</v>
      </c>
      <c r="K856" t="s">
        <v>37</v>
      </c>
      <c r="L856" t="s">
        <v>26</v>
      </c>
    </row>
    <row r="857" spans="1:12" x14ac:dyDescent="0.25">
      <c r="A857">
        <v>100665</v>
      </c>
      <c r="B857" t="s">
        <v>196</v>
      </c>
      <c r="C857" t="s">
        <v>2949</v>
      </c>
      <c r="D857" t="s">
        <v>707</v>
      </c>
      <c r="E857" t="s">
        <v>3108</v>
      </c>
      <c r="F857" t="s">
        <v>2641</v>
      </c>
      <c r="H857" t="s">
        <v>2594</v>
      </c>
      <c r="I857">
        <v>94</v>
      </c>
      <c r="J857">
        <v>405</v>
      </c>
      <c r="K857" t="s">
        <v>19</v>
      </c>
      <c r="L857" t="s">
        <v>2582</v>
      </c>
    </row>
    <row r="858" spans="1:12" x14ac:dyDescent="0.25">
      <c r="A858">
        <v>101661</v>
      </c>
      <c r="B858" t="s">
        <v>65</v>
      </c>
      <c r="D858" t="s">
        <v>1349</v>
      </c>
      <c r="E858" t="s">
        <v>1350</v>
      </c>
      <c r="F858" t="s">
        <v>2640</v>
      </c>
      <c r="G858" t="s">
        <v>2625</v>
      </c>
      <c r="H858" t="s">
        <v>2620</v>
      </c>
      <c r="I858">
        <v>0</v>
      </c>
      <c r="J858">
        <v>542</v>
      </c>
      <c r="K858" t="s">
        <v>45</v>
      </c>
      <c r="L858" t="s">
        <v>26</v>
      </c>
    </row>
    <row r="859" spans="1:12" x14ac:dyDescent="0.25">
      <c r="A859">
        <v>100044</v>
      </c>
      <c r="B859" t="s">
        <v>671</v>
      </c>
      <c r="C859" t="s">
        <v>122</v>
      </c>
      <c r="D859" t="s">
        <v>1351</v>
      </c>
      <c r="E859" t="s">
        <v>3109</v>
      </c>
      <c r="F859" t="s">
        <v>2654</v>
      </c>
      <c r="H859" t="s">
        <v>2644</v>
      </c>
      <c r="I859">
        <v>0</v>
      </c>
      <c r="J859">
        <v>302</v>
      </c>
      <c r="K859" t="s">
        <v>19</v>
      </c>
      <c r="L859" t="s">
        <v>20</v>
      </c>
    </row>
    <row r="860" spans="1:12" x14ac:dyDescent="0.25">
      <c r="A860">
        <v>100457</v>
      </c>
      <c r="B860" t="s">
        <v>38</v>
      </c>
      <c r="C860" t="s">
        <v>2792</v>
      </c>
      <c r="D860" t="s">
        <v>1352</v>
      </c>
      <c r="E860" t="s">
        <v>3110</v>
      </c>
      <c r="F860" t="s">
        <v>2593</v>
      </c>
      <c r="G860" t="s">
        <v>2652</v>
      </c>
      <c r="H860" t="s">
        <v>2581</v>
      </c>
      <c r="I860">
        <v>0</v>
      </c>
      <c r="J860">
        <v>533</v>
      </c>
      <c r="K860" t="s">
        <v>56</v>
      </c>
      <c r="L860" t="s">
        <v>26</v>
      </c>
    </row>
    <row r="861" spans="1:12" x14ac:dyDescent="0.25">
      <c r="A861">
        <v>101990</v>
      </c>
      <c r="B861" t="s">
        <v>364</v>
      </c>
      <c r="C861" t="s">
        <v>103</v>
      </c>
      <c r="D861" t="s">
        <v>1353</v>
      </c>
      <c r="E861" t="s">
        <v>3111</v>
      </c>
      <c r="F861" t="s">
        <v>2593</v>
      </c>
      <c r="G861" t="s">
        <v>2617</v>
      </c>
      <c r="H861" t="s">
        <v>2644</v>
      </c>
      <c r="I861">
        <v>0</v>
      </c>
      <c r="J861">
        <v>351</v>
      </c>
      <c r="K861" t="s">
        <v>56</v>
      </c>
      <c r="L861" t="s">
        <v>2582</v>
      </c>
    </row>
    <row r="862" spans="1:12" x14ac:dyDescent="0.25">
      <c r="A862">
        <v>102156</v>
      </c>
      <c r="B862" t="s">
        <v>955</v>
      </c>
      <c r="C862" t="s">
        <v>39</v>
      </c>
      <c r="D862" t="s">
        <v>1354</v>
      </c>
      <c r="E862" t="s">
        <v>3112</v>
      </c>
      <c r="F862" t="s">
        <v>2583</v>
      </c>
      <c r="G862" t="s">
        <v>2682</v>
      </c>
      <c r="H862" t="s">
        <v>18</v>
      </c>
      <c r="I862">
        <v>0</v>
      </c>
      <c r="J862">
        <v>406</v>
      </c>
      <c r="K862" t="s">
        <v>32</v>
      </c>
      <c r="L862" t="s">
        <v>2588</v>
      </c>
    </row>
    <row r="863" spans="1:12" x14ac:dyDescent="0.25">
      <c r="A863">
        <v>101520</v>
      </c>
      <c r="B863" t="s">
        <v>376</v>
      </c>
      <c r="C863" t="s">
        <v>22</v>
      </c>
      <c r="D863" t="s">
        <v>1355</v>
      </c>
      <c r="E863" t="s">
        <v>3113</v>
      </c>
      <c r="F863" t="s">
        <v>2641</v>
      </c>
      <c r="G863" t="s">
        <v>2600</v>
      </c>
      <c r="H863" t="s">
        <v>2644</v>
      </c>
      <c r="I863">
        <v>0</v>
      </c>
      <c r="J863">
        <v>340</v>
      </c>
      <c r="K863" t="s">
        <v>32</v>
      </c>
      <c r="L863" t="s">
        <v>2588</v>
      </c>
    </row>
    <row r="864" spans="1:12" x14ac:dyDescent="0.25">
      <c r="A864">
        <v>101212</v>
      </c>
      <c r="B864" t="s">
        <v>1155</v>
      </c>
      <c r="C864" t="s">
        <v>218</v>
      </c>
      <c r="D864" t="s">
        <v>1356</v>
      </c>
      <c r="E864" t="s">
        <v>3114</v>
      </c>
      <c r="F864" t="s">
        <v>41</v>
      </c>
      <c r="G864" t="s">
        <v>2658</v>
      </c>
      <c r="H864" t="s">
        <v>2620</v>
      </c>
      <c r="I864">
        <v>0</v>
      </c>
      <c r="J864">
        <v>557</v>
      </c>
      <c r="K864" t="s">
        <v>56</v>
      </c>
      <c r="L864" t="s">
        <v>2588</v>
      </c>
    </row>
    <row r="865" spans="1:12" x14ac:dyDescent="0.25">
      <c r="A865">
        <v>100717</v>
      </c>
      <c r="B865" t="s">
        <v>1059</v>
      </c>
      <c r="C865" t="s">
        <v>149</v>
      </c>
      <c r="D865" t="s">
        <v>1322</v>
      </c>
      <c r="E865" t="s">
        <v>3115</v>
      </c>
      <c r="F865" t="s">
        <v>2629</v>
      </c>
      <c r="G865" t="s">
        <v>2614</v>
      </c>
      <c r="H865" t="s">
        <v>2597</v>
      </c>
      <c r="I865">
        <v>28</v>
      </c>
      <c r="J865">
        <v>571</v>
      </c>
      <c r="K865" t="s">
        <v>45</v>
      </c>
      <c r="L865" t="s">
        <v>2582</v>
      </c>
    </row>
    <row r="866" spans="1:12" x14ac:dyDescent="0.25">
      <c r="A866">
        <v>102004</v>
      </c>
      <c r="B866" t="s">
        <v>1357</v>
      </c>
      <c r="C866" t="s">
        <v>100</v>
      </c>
      <c r="D866" t="s">
        <v>700</v>
      </c>
      <c r="E866" t="s">
        <v>1358</v>
      </c>
      <c r="F866" t="s">
        <v>2598</v>
      </c>
      <c r="G866" t="s">
        <v>2614</v>
      </c>
      <c r="H866" t="s">
        <v>2618</v>
      </c>
      <c r="I866">
        <v>0</v>
      </c>
      <c r="J866">
        <v>522</v>
      </c>
      <c r="K866" t="s">
        <v>45</v>
      </c>
      <c r="L866" t="s">
        <v>20</v>
      </c>
    </row>
    <row r="867" spans="1:12" x14ac:dyDescent="0.25">
      <c r="A867">
        <v>102117</v>
      </c>
      <c r="B867" t="s">
        <v>1168</v>
      </c>
      <c r="C867" t="s">
        <v>2683</v>
      </c>
      <c r="D867" t="s">
        <v>1359</v>
      </c>
      <c r="E867" t="s">
        <v>1360</v>
      </c>
      <c r="F867" t="s">
        <v>2640</v>
      </c>
      <c r="G867" t="s">
        <v>2635</v>
      </c>
      <c r="H867" t="s">
        <v>2581</v>
      </c>
      <c r="I867">
        <v>0</v>
      </c>
      <c r="J867">
        <v>606</v>
      </c>
      <c r="K867" t="s">
        <v>56</v>
      </c>
      <c r="L867" t="s">
        <v>20</v>
      </c>
    </row>
    <row r="868" spans="1:12" x14ac:dyDescent="0.25">
      <c r="A868">
        <v>100202</v>
      </c>
      <c r="B868" t="s">
        <v>319</v>
      </c>
      <c r="C868" t="s">
        <v>100</v>
      </c>
      <c r="D868" t="s">
        <v>1149</v>
      </c>
      <c r="E868" t="s">
        <v>1361</v>
      </c>
      <c r="F868" t="s">
        <v>41</v>
      </c>
      <c r="G868" t="s">
        <v>2617</v>
      </c>
      <c r="H868" t="s">
        <v>2587</v>
      </c>
      <c r="I868">
        <v>0</v>
      </c>
      <c r="J868">
        <v>411</v>
      </c>
      <c r="K868" t="s">
        <v>56</v>
      </c>
      <c r="L868" t="s">
        <v>2588</v>
      </c>
    </row>
    <row r="869" spans="1:12" x14ac:dyDescent="0.25">
      <c r="A869">
        <v>101959</v>
      </c>
      <c r="B869" t="s">
        <v>138</v>
      </c>
      <c r="C869" t="s">
        <v>85</v>
      </c>
      <c r="D869" t="s">
        <v>1362</v>
      </c>
      <c r="E869" t="s">
        <v>1363</v>
      </c>
      <c r="F869" t="s">
        <v>64</v>
      </c>
      <c r="G869" t="s">
        <v>2580</v>
      </c>
      <c r="H869" t="s">
        <v>2620</v>
      </c>
      <c r="I869">
        <v>0</v>
      </c>
      <c r="J869">
        <v>623</v>
      </c>
      <c r="K869" t="s">
        <v>37</v>
      </c>
      <c r="L869" t="s">
        <v>26</v>
      </c>
    </row>
    <row r="870" spans="1:12" x14ac:dyDescent="0.25">
      <c r="A870">
        <v>101620</v>
      </c>
      <c r="B870" t="s">
        <v>628</v>
      </c>
      <c r="C870" t="s">
        <v>2696</v>
      </c>
      <c r="D870" t="s">
        <v>150</v>
      </c>
      <c r="E870" t="s">
        <v>3116</v>
      </c>
      <c r="F870" t="s">
        <v>2627</v>
      </c>
      <c r="G870" t="s">
        <v>2596</v>
      </c>
      <c r="H870" t="s">
        <v>2594</v>
      </c>
      <c r="I870">
        <v>129</v>
      </c>
      <c r="J870">
        <v>852</v>
      </c>
      <c r="L870" t="s">
        <v>2582</v>
      </c>
    </row>
    <row r="871" spans="1:12" x14ac:dyDescent="0.25">
      <c r="A871">
        <v>100522</v>
      </c>
      <c r="B871" t="s">
        <v>118</v>
      </c>
      <c r="C871" t="s">
        <v>62</v>
      </c>
      <c r="D871" t="s">
        <v>1364</v>
      </c>
      <c r="E871" t="s">
        <v>3117</v>
      </c>
      <c r="F871" t="s">
        <v>64</v>
      </c>
      <c r="G871" t="s">
        <v>2652</v>
      </c>
      <c r="H871" t="s">
        <v>25</v>
      </c>
      <c r="I871">
        <v>19</v>
      </c>
      <c r="J871">
        <v>463</v>
      </c>
      <c r="K871" t="s">
        <v>32</v>
      </c>
      <c r="L871" t="s">
        <v>26</v>
      </c>
    </row>
    <row r="872" spans="1:12" x14ac:dyDescent="0.25">
      <c r="A872">
        <v>101217</v>
      </c>
      <c r="B872" t="s">
        <v>167</v>
      </c>
      <c r="C872" t="s">
        <v>168</v>
      </c>
      <c r="D872" t="s">
        <v>1365</v>
      </c>
      <c r="E872" t="s">
        <v>3118</v>
      </c>
      <c r="F872" t="s">
        <v>2590</v>
      </c>
      <c r="G872" t="s">
        <v>2614</v>
      </c>
      <c r="H872" t="s">
        <v>2597</v>
      </c>
      <c r="I872">
        <v>27</v>
      </c>
      <c r="J872">
        <v>658</v>
      </c>
      <c r="K872" t="s">
        <v>32</v>
      </c>
      <c r="L872" t="s">
        <v>26</v>
      </c>
    </row>
    <row r="873" spans="1:12" x14ac:dyDescent="0.25">
      <c r="A873">
        <v>100833</v>
      </c>
      <c r="B873" t="s">
        <v>474</v>
      </c>
      <c r="C873" t="s">
        <v>270</v>
      </c>
      <c r="D873" t="s">
        <v>475</v>
      </c>
      <c r="E873" t="s">
        <v>2767</v>
      </c>
      <c r="F873" t="s">
        <v>2629</v>
      </c>
      <c r="G873" t="s">
        <v>55</v>
      </c>
      <c r="H873" t="s">
        <v>83</v>
      </c>
      <c r="I873">
        <v>0</v>
      </c>
      <c r="J873">
        <v>483</v>
      </c>
      <c r="K873" t="s">
        <v>37</v>
      </c>
      <c r="L873" t="s">
        <v>2588</v>
      </c>
    </row>
    <row r="874" spans="1:12" x14ac:dyDescent="0.25">
      <c r="A874">
        <v>100946</v>
      </c>
      <c r="B874" t="s">
        <v>1259</v>
      </c>
      <c r="C874" t="s">
        <v>2696</v>
      </c>
      <c r="D874" t="s">
        <v>1366</v>
      </c>
      <c r="E874" t="s">
        <v>3119</v>
      </c>
      <c r="F874" t="s">
        <v>2613</v>
      </c>
      <c r="G874" t="s">
        <v>2591</v>
      </c>
      <c r="H874" t="s">
        <v>18</v>
      </c>
      <c r="I874">
        <v>0</v>
      </c>
      <c r="J874">
        <v>748</v>
      </c>
      <c r="K874" t="s">
        <v>32</v>
      </c>
      <c r="L874" t="s">
        <v>2582</v>
      </c>
    </row>
    <row r="875" spans="1:12" x14ac:dyDescent="0.25">
      <c r="A875">
        <v>101339</v>
      </c>
      <c r="B875" t="s">
        <v>595</v>
      </c>
      <c r="C875" t="s">
        <v>22</v>
      </c>
      <c r="D875" t="s">
        <v>1256</v>
      </c>
      <c r="E875" t="s">
        <v>3120</v>
      </c>
      <c r="F875" t="s">
        <v>2583</v>
      </c>
      <c r="G875" t="s">
        <v>55</v>
      </c>
      <c r="H875" t="s">
        <v>2618</v>
      </c>
      <c r="I875">
        <v>0</v>
      </c>
      <c r="J875">
        <v>372</v>
      </c>
      <c r="K875" t="s">
        <v>32</v>
      </c>
      <c r="L875" t="s">
        <v>2582</v>
      </c>
    </row>
    <row r="876" spans="1:12" x14ac:dyDescent="0.25">
      <c r="A876">
        <v>101450</v>
      </c>
      <c r="B876" t="s">
        <v>230</v>
      </c>
      <c r="C876" t="s">
        <v>2743</v>
      </c>
      <c r="D876" t="s">
        <v>1367</v>
      </c>
      <c r="E876" t="s">
        <v>1368</v>
      </c>
      <c r="F876" t="s">
        <v>2593</v>
      </c>
      <c r="G876" t="s">
        <v>2602</v>
      </c>
      <c r="H876" t="s">
        <v>2644</v>
      </c>
      <c r="I876">
        <v>0</v>
      </c>
      <c r="J876">
        <v>818</v>
      </c>
      <c r="K876" t="s">
        <v>32</v>
      </c>
      <c r="L876" t="s">
        <v>2588</v>
      </c>
    </row>
    <row r="877" spans="1:12" x14ac:dyDescent="0.25">
      <c r="A877">
        <v>102059</v>
      </c>
      <c r="B877" t="s">
        <v>27</v>
      </c>
      <c r="C877" t="s">
        <v>28</v>
      </c>
      <c r="D877" t="s">
        <v>1043</v>
      </c>
      <c r="E877" t="s">
        <v>3121</v>
      </c>
      <c r="F877" t="s">
        <v>41</v>
      </c>
      <c r="G877" t="s">
        <v>2591</v>
      </c>
      <c r="H877" t="s">
        <v>25</v>
      </c>
      <c r="I877">
        <v>19</v>
      </c>
      <c r="J877">
        <v>849</v>
      </c>
      <c r="K877" t="s">
        <v>45</v>
      </c>
      <c r="L877" t="s">
        <v>2582</v>
      </c>
    </row>
    <row r="878" spans="1:12" x14ac:dyDescent="0.25">
      <c r="A878">
        <v>101509</v>
      </c>
      <c r="B878" t="s">
        <v>75</v>
      </c>
      <c r="C878" t="s">
        <v>39</v>
      </c>
      <c r="D878" t="s">
        <v>1369</v>
      </c>
      <c r="E878" t="s">
        <v>3122</v>
      </c>
      <c r="F878" t="s">
        <v>2643</v>
      </c>
      <c r="G878" t="s">
        <v>31</v>
      </c>
      <c r="H878" t="s">
        <v>2644</v>
      </c>
      <c r="I878">
        <v>0</v>
      </c>
      <c r="J878">
        <v>554</v>
      </c>
      <c r="K878" t="s">
        <v>32</v>
      </c>
      <c r="L878" t="s">
        <v>2582</v>
      </c>
    </row>
    <row r="879" spans="1:12" x14ac:dyDescent="0.25">
      <c r="A879">
        <v>101775</v>
      </c>
      <c r="B879" t="s">
        <v>129</v>
      </c>
      <c r="C879" t="s">
        <v>13</v>
      </c>
      <c r="D879" t="s">
        <v>373</v>
      </c>
      <c r="E879" t="s">
        <v>3123</v>
      </c>
      <c r="F879" t="s">
        <v>2641</v>
      </c>
      <c r="G879" t="s">
        <v>2611</v>
      </c>
      <c r="H879" t="s">
        <v>2620</v>
      </c>
      <c r="I879">
        <v>0</v>
      </c>
      <c r="J879">
        <v>336</v>
      </c>
      <c r="L879" t="s">
        <v>2582</v>
      </c>
    </row>
    <row r="880" spans="1:12" x14ac:dyDescent="0.25">
      <c r="A880">
        <v>101295</v>
      </c>
      <c r="B880" t="s">
        <v>558</v>
      </c>
      <c r="C880" t="s">
        <v>218</v>
      </c>
      <c r="D880" t="s">
        <v>1370</v>
      </c>
      <c r="E880" t="s">
        <v>3124</v>
      </c>
      <c r="F880" t="s">
        <v>2646</v>
      </c>
      <c r="G880" t="s">
        <v>2611</v>
      </c>
      <c r="H880" t="s">
        <v>2587</v>
      </c>
      <c r="I880">
        <v>0</v>
      </c>
      <c r="J880">
        <v>784</v>
      </c>
      <c r="L880" t="s">
        <v>26</v>
      </c>
    </row>
    <row r="881" spans="1:12" x14ac:dyDescent="0.25">
      <c r="A881">
        <v>101694</v>
      </c>
      <c r="B881" t="s">
        <v>420</v>
      </c>
      <c r="C881" t="s">
        <v>72</v>
      </c>
      <c r="D881" t="s">
        <v>1371</v>
      </c>
      <c r="E881" t="s">
        <v>1372</v>
      </c>
      <c r="F881" t="s">
        <v>2648</v>
      </c>
      <c r="G881" t="s">
        <v>2602</v>
      </c>
      <c r="H881" t="s">
        <v>2594</v>
      </c>
      <c r="I881">
        <v>98</v>
      </c>
      <c r="J881">
        <v>418</v>
      </c>
      <c r="K881" t="s">
        <v>45</v>
      </c>
      <c r="L881" t="s">
        <v>2582</v>
      </c>
    </row>
    <row r="882" spans="1:12" x14ac:dyDescent="0.25">
      <c r="A882">
        <v>102116</v>
      </c>
      <c r="B882" t="s">
        <v>1373</v>
      </c>
      <c r="C882" t="s">
        <v>122</v>
      </c>
      <c r="D882" t="s">
        <v>804</v>
      </c>
      <c r="E882" t="s">
        <v>3125</v>
      </c>
      <c r="F882" t="s">
        <v>2613</v>
      </c>
      <c r="G882" t="s">
        <v>2617</v>
      </c>
      <c r="H882" t="s">
        <v>2644</v>
      </c>
      <c r="I882">
        <v>0</v>
      </c>
      <c r="J882">
        <v>359</v>
      </c>
      <c r="K882" t="s">
        <v>45</v>
      </c>
      <c r="L882" t="s">
        <v>26</v>
      </c>
    </row>
    <row r="883" spans="1:12" x14ac:dyDescent="0.25">
      <c r="A883">
        <v>100366</v>
      </c>
      <c r="B883" t="s">
        <v>470</v>
      </c>
      <c r="C883" t="s">
        <v>187</v>
      </c>
      <c r="D883" t="s">
        <v>449</v>
      </c>
      <c r="E883" t="s">
        <v>3126</v>
      </c>
      <c r="F883" t="s">
        <v>2604</v>
      </c>
      <c r="G883" t="s">
        <v>2625</v>
      </c>
      <c r="H883" t="s">
        <v>2630</v>
      </c>
      <c r="I883">
        <v>1</v>
      </c>
      <c r="J883">
        <v>820</v>
      </c>
      <c r="K883" t="s">
        <v>56</v>
      </c>
      <c r="L883" t="s">
        <v>20</v>
      </c>
    </row>
    <row r="884" spans="1:12" x14ac:dyDescent="0.25">
      <c r="A884">
        <v>102017</v>
      </c>
      <c r="B884" t="s">
        <v>1206</v>
      </c>
      <c r="C884" t="s">
        <v>2686</v>
      </c>
      <c r="D884" t="s">
        <v>716</v>
      </c>
      <c r="E884" t="s">
        <v>3127</v>
      </c>
      <c r="F884" t="s">
        <v>41</v>
      </c>
      <c r="G884" t="s">
        <v>2596</v>
      </c>
      <c r="H884" t="s">
        <v>2585</v>
      </c>
      <c r="I884">
        <v>13</v>
      </c>
      <c r="J884">
        <v>607</v>
      </c>
      <c r="K884" t="s">
        <v>45</v>
      </c>
      <c r="L884" t="s">
        <v>2588</v>
      </c>
    </row>
    <row r="885" spans="1:12" x14ac:dyDescent="0.25">
      <c r="A885">
        <v>100960</v>
      </c>
      <c r="B885" t="s">
        <v>151</v>
      </c>
      <c r="C885" t="s">
        <v>152</v>
      </c>
      <c r="D885" t="s">
        <v>1374</v>
      </c>
      <c r="E885" t="s">
        <v>3128</v>
      </c>
      <c r="F885" t="s">
        <v>2613</v>
      </c>
      <c r="G885" t="s">
        <v>2682</v>
      </c>
      <c r="H885" t="s">
        <v>2620</v>
      </c>
      <c r="I885">
        <v>0</v>
      </c>
      <c r="J885">
        <v>534</v>
      </c>
      <c r="K885" t="s">
        <v>32</v>
      </c>
      <c r="L885" t="s">
        <v>26</v>
      </c>
    </row>
    <row r="886" spans="1:12" x14ac:dyDescent="0.25">
      <c r="A886">
        <v>101081</v>
      </c>
      <c r="B886" t="s">
        <v>866</v>
      </c>
      <c r="C886" t="s">
        <v>2655</v>
      </c>
      <c r="D886" t="s">
        <v>1375</v>
      </c>
      <c r="E886" t="s">
        <v>1376</v>
      </c>
      <c r="F886" t="s">
        <v>2593</v>
      </c>
      <c r="G886" t="s">
        <v>81</v>
      </c>
      <c r="H886" t="s">
        <v>18</v>
      </c>
      <c r="J886">
        <v>458</v>
      </c>
      <c r="K886" t="s">
        <v>37</v>
      </c>
      <c r="L886" t="s">
        <v>20</v>
      </c>
    </row>
    <row r="887" spans="1:12" x14ac:dyDescent="0.25">
      <c r="A887">
        <v>101151</v>
      </c>
      <c r="B887" t="s">
        <v>371</v>
      </c>
      <c r="C887" t="s">
        <v>2680</v>
      </c>
      <c r="D887" t="s">
        <v>1377</v>
      </c>
      <c r="E887" t="s">
        <v>3129</v>
      </c>
      <c r="F887" t="s">
        <v>2590</v>
      </c>
      <c r="G887" t="s">
        <v>2631</v>
      </c>
      <c r="H887" t="s">
        <v>18</v>
      </c>
      <c r="I887">
        <v>0</v>
      </c>
      <c r="J887">
        <v>339</v>
      </c>
      <c r="K887" t="s">
        <v>45</v>
      </c>
      <c r="L887" t="s">
        <v>26</v>
      </c>
    </row>
    <row r="888" spans="1:12" x14ac:dyDescent="0.25">
      <c r="A888">
        <v>101132</v>
      </c>
      <c r="B888" t="s">
        <v>1378</v>
      </c>
      <c r="C888" t="s">
        <v>142</v>
      </c>
      <c r="D888" t="s">
        <v>1379</v>
      </c>
      <c r="E888" t="s">
        <v>1380</v>
      </c>
      <c r="F888" t="s">
        <v>2648</v>
      </c>
      <c r="G888" t="s">
        <v>2635</v>
      </c>
      <c r="H888" t="s">
        <v>2620</v>
      </c>
      <c r="I888">
        <v>0</v>
      </c>
      <c r="J888">
        <v>369</v>
      </c>
      <c r="K888" t="s">
        <v>56</v>
      </c>
      <c r="L888" t="s">
        <v>20</v>
      </c>
    </row>
    <row r="889" spans="1:12" x14ac:dyDescent="0.25">
      <c r="A889">
        <v>100644</v>
      </c>
      <c r="B889" t="s">
        <v>238</v>
      </c>
      <c r="C889" t="s">
        <v>47</v>
      </c>
      <c r="D889" t="s">
        <v>675</v>
      </c>
      <c r="E889" t="s">
        <v>1381</v>
      </c>
      <c r="F889" t="s">
        <v>2654</v>
      </c>
      <c r="G889" t="s">
        <v>31</v>
      </c>
      <c r="H889" t="s">
        <v>2618</v>
      </c>
      <c r="I889">
        <v>0</v>
      </c>
      <c r="J889">
        <v>497</v>
      </c>
      <c r="L889" t="s">
        <v>20</v>
      </c>
    </row>
    <row r="890" spans="1:12" x14ac:dyDescent="0.25">
      <c r="A890">
        <v>100276</v>
      </c>
      <c r="B890" t="s">
        <v>131</v>
      </c>
      <c r="C890" t="s">
        <v>39</v>
      </c>
      <c r="D890" t="s">
        <v>1382</v>
      </c>
      <c r="F890" t="s">
        <v>2613</v>
      </c>
      <c r="H890" t="s">
        <v>2587</v>
      </c>
      <c r="J890">
        <v>867</v>
      </c>
      <c r="K890" t="s">
        <v>32</v>
      </c>
      <c r="L890" t="s">
        <v>26</v>
      </c>
    </row>
    <row r="891" spans="1:12" x14ac:dyDescent="0.25">
      <c r="A891">
        <v>100689</v>
      </c>
      <c r="B891" t="s">
        <v>1036</v>
      </c>
      <c r="C891" t="s">
        <v>149</v>
      </c>
      <c r="D891" t="s">
        <v>518</v>
      </c>
      <c r="E891" t="s">
        <v>1383</v>
      </c>
      <c r="F891" t="s">
        <v>2646</v>
      </c>
      <c r="G891" t="s">
        <v>2631</v>
      </c>
      <c r="H891" t="s">
        <v>2597</v>
      </c>
      <c r="I891">
        <v>24</v>
      </c>
      <c r="J891">
        <v>358</v>
      </c>
      <c r="K891" t="s">
        <v>56</v>
      </c>
      <c r="L891" t="s">
        <v>20</v>
      </c>
    </row>
    <row r="892" spans="1:12" x14ac:dyDescent="0.25">
      <c r="A892">
        <v>101046</v>
      </c>
      <c r="B892" t="s">
        <v>409</v>
      </c>
      <c r="C892" t="s">
        <v>187</v>
      </c>
      <c r="D892" t="s">
        <v>1384</v>
      </c>
      <c r="E892" t="s">
        <v>1385</v>
      </c>
      <c r="F892" t="s">
        <v>2627</v>
      </c>
      <c r="G892" t="s">
        <v>2600</v>
      </c>
      <c r="H892" t="s">
        <v>2618</v>
      </c>
      <c r="I892">
        <v>0</v>
      </c>
      <c r="J892">
        <v>694</v>
      </c>
      <c r="K892" t="s">
        <v>32</v>
      </c>
      <c r="L892" t="s">
        <v>2588</v>
      </c>
    </row>
    <row r="893" spans="1:12" x14ac:dyDescent="0.25">
      <c r="A893">
        <v>102127</v>
      </c>
      <c r="B893" t="s">
        <v>297</v>
      </c>
      <c r="C893" t="s">
        <v>72</v>
      </c>
      <c r="D893" t="s">
        <v>1386</v>
      </c>
      <c r="E893" t="s">
        <v>3130</v>
      </c>
      <c r="F893" t="s">
        <v>2654</v>
      </c>
      <c r="G893" t="s">
        <v>31</v>
      </c>
      <c r="H893" t="s">
        <v>18</v>
      </c>
      <c r="I893">
        <v>0</v>
      </c>
      <c r="J893">
        <v>878</v>
      </c>
      <c r="K893" t="s">
        <v>45</v>
      </c>
      <c r="L893" t="s">
        <v>2582</v>
      </c>
    </row>
    <row r="894" spans="1:12" x14ac:dyDescent="0.25">
      <c r="A894">
        <v>101343</v>
      </c>
      <c r="B894" t="s">
        <v>164</v>
      </c>
      <c r="C894" t="s">
        <v>126</v>
      </c>
      <c r="D894" t="s">
        <v>165</v>
      </c>
      <c r="E894" t="s">
        <v>166</v>
      </c>
      <c r="F894" t="s">
        <v>50</v>
      </c>
      <c r="G894" t="s">
        <v>31</v>
      </c>
      <c r="H894" t="s">
        <v>2620</v>
      </c>
      <c r="J894">
        <v>722</v>
      </c>
      <c r="K894" t="s">
        <v>32</v>
      </c>
      <c r="L894" t="s">
        <v>2582</v>
      </c>
    </row>
    <row r="895" spans="1:12" x14ac:dyDescent="0.25">
      <c r="A895">
        <v>100732</v>
      </c>
      <c r="B895" t="s">
        <v>129</v>
      </c>
      <c r="C895" t="s">
        <v>13</v>
      </c>
      <c r="D895" t="s">
        <v>1387</v>
      </c>
      <c r="E895" t="s">
        <v>1388</v>
      </c>
      <c r="F895" t="s">
        <v>64</v>
      </c>
      <c r="G895" t="s">
        <v>2631</v>
      </c>
      <c r="H895" t="s">
        <v>2597</v>
      </c>
      <c r="I895">
        <v>14</v>
      </c>
      <c r="J895">
        <v>336</v>
      </c>
      <c r="K895" t="s">
        <v>19</v>
      </c>
      <c r="L895" t="s">
        <v>2588</v>
      </c>
    </row>
    <row r="896" spans="1:12" x14ac:dyDescent="0.25">
      <c r="A896">
        <v>100127</v>
      </c>
      <c r="B896" t="s">
        <v>292</v>
      </c>
      <c r="C896" t="s">
        <v>149</v>
      </c>
      <c r="D896" t="s">
        <v>1389</v>
      </c>
      <c r="E896" t="s">
        <v>3131</v>
      </c>
      <c r="F896" t="s">
        <v>2598</v>
      </c>
      <c r="G896" t="s">
        <v>2602</v>
      </c>
      <c r="H896" t="s">
        <v>2618</v>
      </c>
      <c r="J896">
        <v>466</v>
      </c>
      <c r="K896" t="s">
        <v>32</v>
      </c>
      <c r="L896" t="s">
        <v>2588</v>
      </c>
    </row>
    <row r="897" spans="1:12" x14ac:dyDescent="0.25">
      <c r="A897">
        <v>100969</v>
      </c>
      <c r="B897" t="s">
        <v>444</v>
      </c>
      <c r="C897" t="s">
        <v>52</v>
      </c>
      <c r="D897" t="s">
        <v>192</v>
      </c>
      <c r="E897" t="s">
        <v>1390</v>
      </c>
      <c r="F897" t="s">
        <v>2590</v>
      </c>
      <c r="G897" t="s">
        <v>2611</v>
      </c>
      <c r="H897" t="s">
        <v>18</v>
      </c>
      <c r="I897">
        <v>0</v>
      </c>
      <c r="J897">
        <v>688</v>
      </c>
      <c r="K897" t="s">
        <v>56</v>
      </c>
      <c r="L897" t="s">
        <v>2588</v>
      </c>
    </row>
    <row r="898" spans="1:12" x14ac:dyDescent="0.25">
      <c r="A898">
        <v>100747</v>
      </c>
      <c r="B898" t="s">
        <v>1042</v>
      </c>
      <c r="C898" t="s">
        <v>58</v>
      </c>
      <c r="D898" t="s">
        <v>1391</v>
      </c>
      <c r="E898" t="s">
        <v>1392</v>
      </c>
      <c r="F898" t="s">
        <v>2629</v>
      </c>
      <c r="G898" t="s">
        <v>2602</v>
      </c>
      <c r="H898" t="s">
        <v>2587</v>
      </c>
      <c r="I898">
        <v>0</v>
      </c>
      <c r="J898">
        <v>578</v>
      </c>
      <c r="K898" t="s">
        <v>56</v>
      </c>
    </row>
    <row r="899" spans="1:12" x14ac:dyDescent="0.25">
      <c r="A899">
        <v>101572</v>
      </c>
      <c r="B899" t="s">
        <v>1206</v>
      </c>
      <c r="C899" t="s">
        <v>22</v>
      </c>
      <c r="D899" t="s">
        <v>1393</v>
      </c>
      <c r="E899" t="s">
        <v>1394</v>
      </c>
      <c r="F899" t="s">
        <v>30</v>
      </c>
      <c r="G899" t="s">
        <v>2652</v>
      </c>
      <c r="H899" t="s">
        <v>2581</v>
      </c>
      <c r="I899">
        <v>0</v>
      </c>
      <c r="J899">
        <v>607</v>
      </c>
      <c r="K899" t="s">
        <v>56</v>
      </c>
      <c r="L899" t="s">
        <v>26</v>
      </c>
    </row>
    <row r="900" spans="1:12" x14ac:dyDescent="0.25">
      <c r="A900">
        <v>102045</v>
      </c>
      <c r="B900" t="s">
        <v>805</v>
      </c>
      <c r="C900" t="s">
        <v>62</v>
      </c>
      <c r="D900" t="s">
        <v>1395</v>
      </c>
      <c r="E900" t="s">
        <v>3132</v>
      </c>
      <c r="F900" t="s">
        <v>50</v>
      </c>
      <c r="G900" t="s">
        <v>2682</v>
      </c>
      <c r="H900" t="s">
        <v>18</v>
      </c>
      <c r="I900">
        <v>0</v>
      </c>
      <c r="J900">
        <v>352</v>
      </c>
      <c r="K900" t="s">
        <v>37</v>
      </c>
      <c r="L900" t="s">
        <v>2582</v>
      </c>
    </row>
    <row r="901" spans="1:12" x14ac:dyDescent="0.25">
      <c r="A901">
        <v>100575</v>
      </c>
      <c r="B901" t="s">
        <v>399</v>
      </c>
      <c r="C901" t="s">
        <v>2706</v>
      </c>
      <c r="D901" t="s">
        <v>233</v>
      </c>
      <c r="F901" t="s">
        <v>2613</v>
      </c>
      <c r="G901" t="s">
        <v>2614</v>
      </c>
      <c r="H901" t="s">
        <v>2620</v>
      </c>
      <c r="I901">
        <v>0</v>
      </c>
      <c r="J901">
        <v>370</v>
      </c>
      <c r="K901" t="s">
        <v>19</v>
      </c>
      <c r="L901" t="s">
        <v>20</v>
      </c>
    </row>
    <row r="902" spans="1:12" x14ac:dyDescent="0.25">
      <c r="A902">
        <v>101802</v>
      </c>
      <c r="B902" t="s">
        <v>798</v>
      </c>
      <c r="C902" t="s">
        <v>149</v>
      </c>
      <c r="D902" t="s">
        <v>830</v>
      </c>
      <c r="E902" t="s">
        <v>3133</v>
      </c>
      <c r="F902" t="s">
        <v>2583</v>
      </c>
      <c r="G902" t="s">
        <v>2609</v>
      </c>
      <c r="H902" t="s">
        <v>18</v>
      </c>
      <c r="I902">
        <v>0</v>
      </c>
      <c r="J902">
        <v>555</v>
      </c>
      <c r="L902" t="s">
        <v>2588</v>
      </c>
    </row>
    <row r="903" spans="1:12" x14ac:dyDescent="0.25">
      <c r="A903">
        <v>101232</v>
      </c>
      <c r="B903" t="s">
        <v>344</v>
      </c>
      <c r="C903" t="s">
        <v>244</v>
      </c>
      <c r="D903" t="s">
        <v>1396</v>
      </c>
      <c r="E903" t="s">
        <v>3134</v>
      </c>
      <c r="F903" t="s">
        <v>2616</v>
      </c>
      <c r="G903" t="s">
        <v>2591</v>
      </c>
      <c r="H903" t="s">
        <v>2581</v>
      </c>
      <c r="I903">
        <v>0</v>
      </c>
      <c r="J903">
        <v>792</v>
      </c>
      <c r="K903" t="s">
        <v>56</v>
      </c>
      <c r="L903" t="s">
        <v>20</v>
      </c>
    </row>
    <row r="904" spans="1:12" x14ac:dyDescent="0.25">
      <c r="A904">
        <v>101005</v>
      </c>
      <c r="B904" t="s">
        <v>84</v>
      </c>
      <c r="C904" t="s">
        <v>85</v>
      </c>
      <c r="D904" t="s">
        <v>391</v>
      </c>
      <c r="E904" t="s">
        <v>3135</v>
      </c>
      <c r="F904" t="s">
        <v>2627</v>
      </c>
      <c r="G904" t="s">
        <v>2600</v>
      </c>
      <c r="H904" t="s">
        <v>42</v>
      </c>
      <c r="I904">
        <v>144</v>
      </c>
      <c r="J904">
        <v>400</v>
      </c>
      <c r="K904" t="s">
        <v>45</v>
      </c>
      <c r="L904" t="s">
        <v>20</v>
      </c>
    </row>
    <row r="905" spans="1:12" x14ac:dyDescent="0.25">
      <c r="A905">
        <v>102102</v>
      </c>
      <c r="B905" t="s">
        <v>38</v>
      </c>
      <c r="C905" t="s">
        <v>39</v>
      </c>
      <c r="D905" t="s">
        <v>1299</v>
      </c>
      <c r="E905" t="s">
        <v>3136</v>
      </c>
      <c r="F905" t="s">
        <v>2648</v>
      </c>
      <c r="G905" t="s">
        <v>2600</v>
      </c>
      <c r="H905" t="s">
        <v>18</v>
      </c>
      <c r="I905">
        <v>0</v>
      </c>
      <c r="J905">
        <v>533</v>
      </c>
      <c r="K905" t="s">
        <v>45</v>
      </c>
      <c r="L905" t="s">
        <v>2588</v>
      </c>
    </row>
    <row r="906" spans="1:12" x14ac:dyDescent="0.25">
      <c r="A906">
        <v>100483</v>
      </c>
      <c r="B906" t="s">
        <v>121</v>
      </c>
      <c r="C906" t="s">
        <v>122</v>
      </c>
      <c r="D906" t="s">
        <v>960</v>
      </c>
      <c r="E906" t="s">
        <v>1397</v>
      </c>
      <c r="F906" t="s">
        <v>2616</v>
      </c>
      <c r="G906" t="s">
        <v>2617</v>
      </c>
      <c r="H906" t="s">
        <v>83</v>
      </c>
      <c r="I906">
        <v>0</v>
      </c>
      <c r="J906">
        <v>823</v>
      </c>
      <c r="K906" t="s">
        <v>56</v>
      </c>
      <c r="L906" t="s">
        <v>20</v>
      </c>
    </row>
    <row r="907" spans="1:12" x14ac:dyDescent="0.25">
      <c r="A907">
        <v>100547</v>
      </c>
      <c r="B907" t="s">
        <v>109</v>
      </c>
      <c r="C907" t="s">
        <v>110</v>
      </c>
      <c r="D907" t="s">
        <v>1144</v>
      </c>
      <c r="E907" t="s">
        <v>3137</v>
      </c>
      <c r="F907" t="s">
        <v>2629</v>
      </c>
      <c r="G907" t="s">
        <v>2652</v>
      </c>
      <c r="H907" t="s">
        <v>2620</v>
      </c>
      <c r="I907">
        <v>0</v>
      </c>
      <c r="J907">
        <v>591</v>
      </c>
      <c r="K907" t="s">
        <v>56</v>
      </c>
      <c r="L907" t="s">
        <v>20</v>
      </c>
    </row>
    <row r="908" spans="1:12" x14ac:dyDescent="0.25">
      <c r="A908">
        <v>101114</v>
      </c>
      <c r="B908" t="s">
        <v>1300</v>
      </c>
      <c r="C908" t="s">
        <v>103</v>
      </c>
      <c r="D908" t="s">
        <v>1398</v>
      </c>
      <c r="E908" t="s">
        <v>3138</v>
      </c>
      <c r="F908" t="s">
        <v>2608</v>
      </c>
      <c r="G908" t="s">
        <v>2633</v>
      </c>
      <c r="H908" t="s">
        <v>2587</v>
      </c>
      <c r="I908">
        <v>0</v>
      </c>
      <c r="J908">
        <v>374</v>
      </c>
      <c r="K908" t="s">
        <v>56</v>
      </c>
      <c r="L908" t="s">
        <v>20</v>
      </c>
    </row>
    <row r="909" spans="1:12" x14ac:dyDescent="0.25">
      <c r="A909">
        <v>102179</v>
      </c>
      <c r="B909" t="s">
        <v>151</v>
      </c>
      <c r="C909" t="s">
        <v>152</v>
      </c>
      <c r="D909" t="s">
        <v>1399</v>
      </c>
      <c r="E909" t="s">
        <v>3139</v>
      </c>
      <c r="F909" t="s">
        <v>30</v>
      </c>
      <c r="G909" t="s">
        <v>2596</v>
      </c>
      <c r="H909" t="s">
        <v>2644</v>
      </c>
      <c r="I909">
        <v>0</v>
      </c>
      <c r="J909">
        <v>534</v>
      </c>
      <c r="K909" t="s">
        <v>32</v>
      </c>
      <c r="L909" t="s">
        <v>26</v>
      </c>
    </row>
    <row r="910" spans="1:12" x14ac:dyDescent="0.25">
      <c r="A910">
        <v>100235</v>
      </c>
      <c r="B910" t="s">
        <v>460</v>
      </c>
      <c r="C910" t="s">
        <v>95</v>
      </c>
      <c r="D910" t="s">
        <v>1400</v>
      </c>
      <c r="E910" t="s">
        <v>1401</v>
      </c>
      <c r="F910" t="s">
        <v>50</v>
      </c>
      <c r="G910" t="s">
        <v>2682</v>
      </c>
      <c r="H910" t="s">
        <v>2581</v>
      </c>
      <c r="I910">
        <v>0</v>
      </c>
      <c r="J910">
        <v>716</v>
      </c>
      <c r="K910" t="s">
        <v>56</v>
      </c>
      <c r="L910" t="s">
        <v>20</v>
      </c>
    </row>
    <row r="911" spans="1:12" x14ac:dyDescent="0.25">
      <c r="A911">
        <v>101313</v>
      </c>
      <c r="B911" t="s">
        <v>1402</v>
      </c>
      <c r="D911" t="s">
        <v>914</v>
      </c>
      <c r="E911" t="s">
        <v>1403</v>
      </c>
      <c r="F911" t="s">
        <v>50</v>
      </c>
      <c r="G911" t="s">
        <v>2611</v>
      </c>
      <c r="H911" t="s">
        <v>2620</v>
      </c>
      <c r="I911">
        <v>0</v>
      </c>
      <c r="J911">
        <v>588</v>
      </c>
      <c r="K911" t="s">
        <v>56</v>
      </c>
      <c r="L911" t="s">
        <v>20</v>
      </c>
    </row>
    <row r="912" spans="1:12" x14ac:dyDescent="0.25">
      <c r="A912">
        <v>100899</v>
      </c>
      <c r="B912" t="s">
        <v>558</v>
      </c>
      <c r="C912" t="s">
        <v>218</v>
      </c>
      <c r="D912" t="s">
        <v>1356</v>
      </c>
      <c r="E912" t="s">
        <v>1404</v>
      </c>
      <c r="F912" t="s">
        <v>2654</v>
      </c>
      <c r="G912" t="s">
        <v>2652</v>
      </c>
      <c r="H912" t="s">
        <v>2618</v>
      </c>
      <c r="I912">
        <v>0</v>
      </c>
      <c r="J912">
        <v>784</v>
      </c>
      <c r="K912" t="s">
        <v>32</v>
      </c>
      <c r="L912" t="s">
        <v>2588</v>
      </c>
    </row>
    <row r="913" spans="1:12" x14ac:dyDescent="0.25">
      <c r="A913">
        <v>102039</v>
      </c>
      <c r="B913" t="s">
        <v>102</v>
      </c>
      <c r="C913" t="s">
        <v>103</v>
      </c>
      <c r="D913" t="s">
        <v>1405</v>
      </c>
      <c r="E913" t="s">
        <v>1406</v>
      </c>
      <c r="F913" t="s">
        <v>2604</v>
      </c>
      <c r="G913" t="s">
        <v>31</v>
      </c>
      <c r="H913" t="s">
        <v>2630</v>
      </c>
      <c r="I913">
        <v>27</v>
      </c>
      <c r="J913">
        <v>733</v>
      </c>
      <c r="K913" t="s">
        <v>56</v>
      </c>
      <c r="L913" t="s">
        <v>26</v>
      </c>
    </row>
    <row r="914" spans="1:12" x14ac:dyDescent="0.25">
      <c r="A914">
        <v>101301</v>
      </c>
      <c r="B914" t="s">
        <v>358</v>
      </c>
      <c r="C914" t="s">
        <v>110</v>
      </c>
      <c r="D914" t="s">
        <v>594</v>
      </c>
      <c r="E914" t="s">
        <v>3140</v>
      </c>
      <c r="F914" t="s">
        <v>50</v>
      </c>
      <c r="G914" t="s">
        <v>2682</v>
      </c>
      <c r="H914" t="s">
        <v>2618</v>
      </c>
      <c r="I914">
        <v>0</v>
      </c>
      <c r="J914">
        <v>481</v>
      </c>
      <c r="K914" t="s">
        <v>56</v>
      </c>
      <c r="L914" t="s">
        <v>26</v>
      </c>
    </row>
    <row r="915" spans="1:12" x14ac:dyDescent="0.25">
      <c r="A915">
        <v>100863</v>
      </c>
      <c r="B915" t="s">
        <v>1091</v>
      </c>
      <c r="C915" t="s">
        <v>270</v>
      </c>
      <c r="D915" t="s">
        <v>1407</v>
      </c>
      <c r="E915" t="s">
        <v>3141</v>
      </c>
      <c r="F915" t="s">
        <v>2641</v>
      </c>
      <c r="G915" t="s">
        <v>2584</v>
      </c>
      <c r="H915" t="s">
        <v>2581</v>
      </c>
      <c r="I915">
        <v>0</v>
      </c>
      <c r="J915">
        <v>817</v>
      </c>
      <c r="K915" t="s">
        <v>56</v>
      </c>
      <c r="L915" t="s">
        <v>20</v>
      </c>
    </row>
    <row r="916" spans="1:12" x14ac:dyDescent="0.25">
      <c r="A916">
        <v>102164</v>
      </c>
      <c r="B916" t="s">
        <v>342</v>
      </c>
      <c r="C916" t="s">
        <v>110</v>
      </c>
      <c r="D916" t="s">
        <v>263</v>
      </c>
      <c r="E916" t="s">
        <v>3142</v>
      </c>
      <c r="F916" t="s">
        <v>2648</v>
      </c>
      <c r="G916" t="s">
        <v>2600</v>
      </c>
      <c r="H916" t="s">
        <v>2620</v>
      </c>
      <c r="I916">
        <v>0</v>
      </c>
      <c r="J916">
        <v>659</v>
      </c>
      <c r="K916" t="s">
        <v>32</v>
      </c>
      <c r="L916" t="s">
        <v>2582</v>
      </c>
    </row>
    <row r="917" spans="1:12" x14ac:dyDescent="0.25">
      <c r="A917">
        <v>100755</v>
      </c>
      <c r="B917" t="s">
        <v>506</v>
      </c>
      <c r="C917" t="s">
        <v>58</v>
      </c>
      <c r="D917" t="s">
        <v>1408</v>
      </c>
      <c r="E917" t="s">
        <v>3143</v>
      </c>
      <c r="F917" t="s">
        <v>30</v>
      </c>
      <c r="G917" t="s">
        <v>55</v>
      </c>
      <c r="H917" t="s">
        <v>18</v>
      </c>
      <c r="J917">
        <v>394</v>
      </c>
      <c r="K917" t="s">
        <v>45</v>
      </c>
      <c r="L917" t="s">
        <v>2588</v>
      </c>
    </row>
    <row r="918" spans="1:12" x14ac:dyDescent="0.25">
      <c r="A918">
        <v>100981</v>
      </c>
      <c r="B918" t="s">
        <v>107</v>
      </c>
      <c r="C918" t="s">
        <v>58</v>
      </c>
      <c r="D918" t="s">
        <v>1055</v>
      </c>
      <c r="E918" t="s">
        <v>3144</v>
      </c>
      <c r="F918" t="s">
        <v>2646</v>
      </c>
      <c r="G918" t="s">
        <v>2609</v>
      </c>
      <c r="H918" t="s">
        <v>2630</v>
      </c>
      <c r="I918">
        <v>17</v>
      </c>
      <c r="J918">
        <v>884</v>
      </c>
      <c r="K918" t="s">
        <v>45</v>
      </c>
      <c r="L918" t="s">
        <v>26</v>
      </c>
    </row>
    <row r="919" spans="1:12" x14ac:dyDescent="0.25">
      <c r="A919">
        <v>101587</v>
      </c>
      <c r="B919" t="s">
        <v>905</v>
      </c>
      <c r="C919" t="s">
        <v>100</v>
      </c>
      <c r="D919" t="s">
        <v>1190</v>
      </c>
      <c r="E919" t="s">
        <v>1409</v>
      </c>
      <c r="F919" t="s">
        <v>2616</v>
      </c>
      <c r="G919" t="s">
        <v>2658</v>
      </c>
      <c r="H919" t="s">
        <v>25</v>
      </c>
      <c r="I919">
        <v>10</v>
      </c>
      <c r="J919">
        <v>325</v>
      </c>
      <c r="K919" t="s">
        <v>56</v>
      </c>
      <c r="L919" t="s">
        <v>2588</v>
      </c>
    </row>
    <row r="920" spans="1:12" x14ac:dyDescent="0.25">
      <c r="A920">
        <v>100132</v>
      </c>
      <c r="B920" t="s">
        <v>118</v>
      </c>
      <c r="C920" t="s">
        <v>62</v>
      </c>
      <c r="D920" t="s">
        <v>130</v>
      </c>
      <c r="E920" t="s">
        <v>1410</v>
      </c>
      <c r="F920" t="s">
        <v>2643</v>
      </c>
      <c r="G920" t="s">
        <v>2635</v>
      </c>
      <c r="H920" t="s">
        <v>2644</v>
      </c>
      <c r="I920">
        <v>0</v>
      </c>
      <c r="J920">
        <v>463</v>
      </c>
      <c r="K920" t="s">
        <v>19</v>
      </c>
      <c r="L920" t="s">
        <v>20</v>
      </c>
    </row>
    <row r="921" spans="1:12" x14ac:dyDescent="0.25">
      <c r="A921">
        <v>100852</v>
      </c>
      <c r="B921" t="s">
        <v>429</v>
      </c>
      <c r="C921" t="s">
        <v>52</v>
      </c>
      <c r="D921" t="s">
        <v>1411</v>
      </c>
      <c r="E921" t="s">
        <v>1412</v>
      </c>
      <c r="F921" t="s">
        <v>2616</v>
      </c>
      <c r="G921" t="s">
        <v>2635</v>
      </c>
      <c r="H921" t="s">
        <v>2618</v>
      </c>
      <c r="I921">
        <v>0</v>
      </c>
      <c r="J921">
        <v>568</v>
      </c>
      <c r="K921" t="s">
        <v>32</v>
      </c>
      <c r="L921" t="s">
        <v>26</v>
      </c>
    </row>
    <row r="922" spans="1:12" x14ac:dyDescent="0.25">
      <c r="A922">
        <v>100650</v>
      </c>
      <c r="B922" t="s">
        <v>327</v>
      </c>
      <c r="C922" t="s">
        <v>100</v>
      </c>
      <c r="D922" t="s">
        <v>557</v>
      </c>
      <c r="E922" t="s">
        <v>3145</v>
      </c>
      <c r="F922" t="s">
        <v>2646</v>
      </c>
      <c r="G922" t="s">
        <v>31</v>
      </c>
      <c r="H922" t="s">
        <v>18</v>
      </c>
      <c r="I922">
        <v>0</v>
      </c>
      <c r="J922">
        <v>721</v>
      </c>
      <c r="K922" t="s">
        <v>56</v>
      </c>
      <c r="L922" t="s">
        <v>20</v>
      </c>
    </row>
    <row r="923" spans="1:12" x14ac:dyDescent="0.25">
      <c r="A923">
        <v>100682</v>
      </c>
      <c r="B923" t="s">
        <v>247</v>
      </c>
      <c r="C923" t="s">
        <v>126</v>
      </c>
      <c r="D923" t="s">
        <v>1407</v>
      </c>
      <c r="E923" t="s">
        <v>3146</v>
      </c>
      <c r="F923" t="s">
        <v>2604</v>
      </c>
      <c r="H923" t="s">
        <v>2585</v>
      </c>
      <c r="I923">
        <v>21</v>
      </c>
      <c r="J923">
        <v>527</v>
      </c>
      <c r="K923" t="s">
        <v>45</v>
      </c>
      <c r="L923" t="s">
        <v>20</v>
      </c>
    </row>
    <row r="924" spans="1:12" x14ac:dyDescent="0.25">
      <c r="A924">
        <v>101681</v>
      </c>
      <c r="B924" t="s">
        <v>786</v>
      </c>
      <c r="C924" t="s">
        <v>95</v>
      </c>
      <c r="D924" t="s">
        <v>1413</v>
      </c>
      <c r="E924" t="s">
        <v>3147</v>
      </c>
      <c r="F924" t="s">
        <v>2646</v>
      </c>
      <c r="G924" t="s">
        <v>2617</v>
      </c>
      <c r="H924" t="s">
        <v>2585</v>
      </c>
      <c r="I924">
        <v>10</v>
      </c>
      <c r="J924">
        <v>835</v>
      </c>
      <c r="K924" t="s">
        <v>37</v>
      </c>
      <c r="L924" t="s">
        <v>26</v>
      </c>
    </row>
    <row r="925" spans="1:12" x14ac:dyDescent="0.25">
      <c r="A925">
        <v>100225</v>
      </c>
      <c r="B925" t="s">
        <v>217</v>
      </c>
      <c r="C925" t="s">
        <v>218</v>
      </c>
      <c r="D925" t="s">
        <v>502</v>
      </c>
      <c r="E925" t="s">
        <v>1414</v>
      </c>
      <c r="F925" t="s">
        <v>50</v>
      </c>
      <c r="G925" t="s">
        <v>2635</v>
      </c>
      <c r="H925" t="s">
        <v>2618</v>
      </c>
      <c r="I925">
        <v>0</v>
      </c>
      <c r="J925">
        <v>894</v>
      </c>
      <c r="K925" t="s">
        <v>56</v>
      </c>
      <c r="L925" t="s">
        <v>26</v>
      </c>
    </row>
    <row r="926" spans="1:12" x14ac:dyDescent="0.25">
      <c r="A926">
        <v>100841</v>
      </c>
      <c r="B926" t="s">
        <v>43</v>
      </c>
      <c r="C926" t="s">
        <v>22</v>
      </c>
      <c r="D926" t="s">
        <v>1415</v>
      </c>
      <c r="E926" t="s">
        <v>1416</v>
      </c>
      <c r="F926" t="s">
        <v>41</v>
      </c>
      <c r="G926" t="s">
        <v>81</v>
      </c>
      <c r="H926" t="s">
        <v>2587</v>
      </c>
      <c r="I926">
        <v>0</v>
      </c>
      <c r="J926">
        <v>396</v>
      </c>
      <c r="K926" t="s">
        <v>56</v>
      </c>
      <c r="L926" t="s">
        <v>2582</v>
      </c>
    </row>
    <row r="927" spans="1:12" x14ac:dyDescent="0.25">
      <c r="A927">
        <v>100777</v>
      </c>
      <c r="B927" t="s">
        <v>374</v>
      </c>
      <c r="C927" t="s">
        <v>47</v>
      </c>
      <c r="D927" t="s">
        <v>1293</v>
      </c>
      <c r="E927" t="s">
        <v>3148</v>
      </c>
      <c r="F927" t="s">
        <v>50</v>
      </c>
      <c r="H927" t="s">
        <v>2630</v>
      </c>
      <c r="I927">
        <v>2</v>
      </c>
      <c r="J927">
        <v>342</v>
      </c>
      <c r="K927" t="s">
        <v>56</v>
      </c>
      <c r="L927" t="s">
        <v>26</v>
      </c>
    </row>
    <row r="928" spans="1:12" x14ac:dyDescent="0.25">
      <c r="A928">
        <v>101179</v>
      </c>
      <c r="B928" t="s">
        <v>510</v>
      </c>
      <c r="C928" t="s">
        <v>244</v>
      </c>
      <c r="D928" t="s">
        <v>1417</v>
      </c>
      <c r="E928" t="s">
        <v>3149</v>
      </c>
      <c r="F928" t="s">
        <v>2598</v>
      </c>
      <c r="G928" t="s">
        <v>2591</v>
      </c>
      <c r="H928" t="s">
        <v>2587</v>
      </c>
      <c r="I928">
        <v>0</v>
      </c>
      <c r="J928">
        <v>411</v>
      </c>
      <c r="K928" t="s">
        <v>19</v>
      </c>
      <c r="L928" t="s">
        <v>2588</v>
      </c>
    </row>
    <row r="929" spans="1:12" x14ac:dyDescent="0.25">
      <c r="A929">
        <v>100063</v>
      </c>
      <c r="B929" t="s">
        <v>995</v>
      </c>
      <c r="C929" t="s">
        <v>134</v>
      </c>
      <c r="D929" t="s">
        <v>1418</v>
      </c>
      <c r="E929" t="s">
        <v>1419</v>
      </c>
      <c r="F929" t="s">
        <v>30</v>
      </c>
      <c r="G929" t="s">
        <v>60</v>
      </c>
      <c r="H929" t="s">
        <v>2618</v>
      </c>
      <c r="I929">
        <v>0</v>
      </c>
      <c r="J929">
        <v>866</v>
      </c>
      <c r="K929" t="s">
        <v>32</v>
      </c>
      <c r="L929" t="s">
        <v>2588</v>
      </c>
    </row>
    <row r="930" spans="1:12" x14ac:dyDescent="0.25">
      <c r="A930">
        <v>100102</v>
      </c>
      <c r="B930" t="s">
        <v>446</v>
      </c>
      <c r="C930" t="s">
        <v>168</v>
      </c>
      <c r="D930" t="s">
        <v>775</v>
      </c>
      <c r="E930" t="s">
        <v>3150</v>
      </c>
      <c r="F930" t="s">
        <v>2646</v>
      </c>
      <c r="G930" t="s">
        <v>2591</v>
      </c>
      <c r="H930" t="s">
        <v>83</v>
      </c>
      <c r="I930">
        <v>0</v>
      </c>
      <c r="J930">
        <v>515</v>
      </c>
      <c r="K930" t="s">
        <v>37</v>
      </c>
      <c r="L930" t="s">
        <v>26</v>
      </c>
    </row>
    <row r="931" spans="1:12" x14ac:dyDescent="0.25">
      <c r="A931">
        <v>101758</v>
      </c>
      <c r="B931" t="s">
        <v>928</v>
      </c>
      <c r="C931" t="s">
        <v>2940</v>
      </c>
      <c r="D931" t="s">
        <v>1420</v>
      </c>
      <c r="E931" t="s">
        <v>3151</v>
      </c>
      <c r="F931" t="s">
        <v>2583</v>
      </c>
      <c r="G931" t="s">
        <v>2682</v>
      </c>
      <c r="H931" t="s">
        <v>2585</v>
      </c>
      <c r="I931">
        <v>22</v>
      </c>
      <c r="J931">
        <v>409</v>
      </c>
      <c r="K931" t="s">
        <v>32</v>
      </c>
      <c r="L931" t="s">
        <v>20</v>
      </c>
    </row>
    <row r="932" spans="1:12" x14ac:dyDescent="0.25">
      <c r="A932">
        <v>102136</v>
      </c>
      <c r="B932" t="s">
        <v>563</v>
      </c>
      <c r="C932" t="s">
        <v>2728</v>
      </c>
      <c r="D932" t="s">
        <v>1421</v>
      </c>
      <c r="E932" t="s">
        <v>3152</v>
      </c>
      <c r="F932" t="s">
        <v>2640</v>
      </c>
      <c r="G932" t="s">
        <v>2609</v>
      </c>
      <c r="H932" t="s">
        <v>2587</v>
      </c>
      <c r="I932">
        <v>0</v>
      </c>
      <c r="J932">
        <v>893</v>
      </c>
      <c r="K932" t="s">
        <v>45</v>
      </c>
      <c r="L932" t="s">
        <v>26</v>
      </c>
    </row>
    <row r="933" spans="1:12" x14ac:dyDescent="0.25">
      <c r="A933">
        <v>101358</v>
      </c>
      <c r="B933" t="s">
        <v>1053</v>
      </c>
      <c r="C933" t="s">
        <v>47</v>
      </c>
      <c r="D933" t="s">
        <v>1101</v>
      </c>
      <c r="E933" t="s">
        <v>1422</v>
      </c>
      <c r="F933" t="s">
        <v>50</v>
      </c>
      <c r="G933" t="s">
        <v>2635</v>
      </c>
      <c r="H933" t="s">
        <v>2581</v>
      </c>
      <c r="I933">
        <v>0</v>
      </c>
      <c r="J933">
        <v>864</v>
      </c>
      <c r="K933" t="s">
        <v>37</v>
      </c>
      <c r="L933" t="s">
        <v>2582</v>
      </c>
    </row>
    <row r="934" spans="1:12" x14ac:dyDescent="0.25">
      <c r="A934">
        <v>101278</v>
      </c>
      <c r="B934" t="s">
        <v>27</v>
      </c>
      <c r="C934" t="s">
        <v>28</v>
      </c>
      <c r="D934" t="s">
        <v>724</v>
      </c>
      <c r="E934" t="s">
        <v>1423</v>
      </c>
      <c r="F934" t="s">
        <v>50</v>
      </c>
      <c r="G934" t="s">
        <v>55</v>
      </c>
      <c r="H934" t="s">
        <v>2581</v>
      </c>
      <c r="I934">
        <v>0</v>
      </c>
      <c r="J934">
        <v>849</v>
      </c>
      <c r="K934" t="s">
        <v>32</v>
      </c>
      <c r="L934" t="s">
        <v>2588</v>
      </c>
    </row>
    <row r="935" spans="1:12" x14ac:dyDescent="0.25">
      <c r="A935">
        <v>100301</v>
      </c>
      <c r="B935" t="s">
        <v>619</v>
      </c>
      <c r="C935" t="s">
        <v>244</v>
      </c>
      <c r="D935" t="s">
        <v>993</v>
      </c>
      <c r="E935" t="s">
        <v>3153</v>
      </c>
      <c r="F935" t="s">
        <v>2598</v>
      </c>
      <c r="G935" t="s">
        <v>55</v>
      </c>
      <c r="H935" t="s">
        <v>2620</v>
      </c>
      <c r="I935">
        <v>0</v>
      </c>
      <c r="J935">
        <v>351</v>
      </c>
      <c r="K935" t="s">
        <v>56</v>
      </c>
      <c r="L935" t="s">
        <v>2582</v>
      </c>
    </row>
    <row r="936" spans="1:12" x14ac:dyDescent="0.25">
      <c r="A936">
        <v>100024</v>
      </c>
      <c r="B936" t="s">
        <v>155</v>
      </c>
      <c r="C936" t="s">
        <v>142</v>
      </c>
      <c r="D936" t="s">
        <v>1424</v>
      </c>
      <c r="E936" t="s">
        <v>3154</v>
      </c>
      <c r="F936" t="s">
        <v>2590</v>
      </c>
      <c r="G936" t="s">
        <v>2607</v>
      </c>
      <c r="H936" t="s">
        <v>2587</v>
      </c>
      <c r="I936">
        <v>0</v>
      </c>
      <c r="J936">
        <v>339</v>
      </c>
      <c r="K936" t="s">
        <v>45</v>
      </c>
      <c r="L936" t="s">
        <v>2582</v>
      </c>
    </row>
    <row r="937" spans="1:12" x14ac:dyDescent="0.25">
      <c r="A937">
        <v>100261</v>
      </c>
      <c r="B937" t="s">
        <v>225</v>
      </c>
      <c r="C937" t="s">
        <v>142</v>
      </c>
      <c r="D937" t="s">
        <v>96</v>
      </c>
      <c r="E937" t="s">
        <v>1425</v>
      </c>
      <c r="F937" t="s">
        <v>64</v>
      </c>
      <c r="G937" t="s">
        <v>2617</v>
      </c>
      <c r="H937" t="s">
        <v>42</v>
      </c>
      <c r="I937">
        <v>77</v>
      </c>
      <c r="J937">
        <v>741</v>
      </c>
      <c r="K937" t="s">
        <v>37</v>
      </c>
      <c r="L937" t="s">
        <v>2588</v>
      </c>
    </row>
    <row r="938" spans="1:12" x14ac:dyDescent="0.25">
      <c r="A938">
        <v>100224</v>
      </c>
      <c r="B938" t="s">
        <v>1373</v>
      </c>
      <c r="C938" t="s">
        <v>122</v>
      </c>
      <c r="D938" t="s">
        <v>993</v>
      </c>
      <c r="E938" t="s">
        <v>3155</v>
      </c>
      <c r="F938" t="s">
        <v>2646</v>
      </c>
      <c r="G938" t="s">
        <v>2584</v>
      </c>
      <c r="H938" t="s">
        <v>25</v>
      </c>
      <c r="I938">
        <v>7</v>
      </c>
      <c r="J938">
        <v>359</v>
      </c>
      <c r="K938" t="s">
        <v>37</v>
      </c>
      <c r="L938" t="s">
        <v>2582</v>
      </c>
    </row>
    <row r="939" spans="1:12" x14ac:dyDescent="0.25">
      <c r="A939">
        <v>101552</v>
      </c>
      <c r="B939" t="s">
        <v>322</v>
      </c>
      <c r="C939" t="s">
        <v>13</v>
      </c>
      <c r="D939" t="s">
        <v>1426</v>
      </c>
      <c r="E939" t="s">
        <v>1427</v>
      </c>
      <c r="F939" t="s">
        <v>2640</v>
      </c>
      <c r="G939" t="s">
        <v>2584</v>
      </c>
      <c r="H939" t="s">
        <v>2587</v>
      </c>
      <c r="I939">
        <v>0</v>
      </c>
      <c r="J939">
        <v>623</v>
      </c>
      <c r="K939" t="s">
        <v>19</v>
      </c>
      <c r="L939" t="s">
        <v>20</v>
      </c>
    </row>
    <row r="940" spans="1:12" x14ac:dyDescent="0.25">
      <c r="A940">
        <v>101607</v>
      </c>
      <c r="B940" t="s">
        <v>352</v>
      </c>
      <c r="C940" t="s">
        <v>85</v>
      </c>
      <c r="D940" t="s">
        <v>1428</v>
      </c>
      <c r="E940" t="s">
        <v>3156</v>
      </c>
      <c r="F940" t="s">
        <v>2604</v>
      </c>
      <c r="G940" t="s">
        <v>2625</v>
      </c>
      <c r="H940" t="s">
        <v>2587</v>
      </c>
      <c r="I940">
        <v>0</v>
      </c>
      <c r="J940">
        <v>778</v>
      </c>
      <c r="K940" t="s">
        <v>37</v>
      </c>
      <c r="L940" t="s">
        <v>20</v>
      </c>
    </row>
    <row r="941" spans="1:12" x14ac:dyDescent="0.25">
      <c r="A941">
        <v>102092</v>
      </c>
      <c r="B941" t="s">
        <v>241</v>
      </c>
      <c r="C941" t="s">
        <v>2728</v>
      </c>
      <c r="D941" t="s">
        <v>1429</v>
      </c>
      <c r="E941" t="s">
        <v>3157</v>
      </c>
      <c r="F941" t="s">
        <v>2643</v>
      </c>
      <c r="G941" t="s">
        <v>2602</v>
      </c>
      <c r="H941" t="s">
        <v>2630</v>
      </c>
      <c r="I941">
        <v>3</v>
      </c>
      <c r="J941">
        <v>468</v>
      </c>
      <c r="K941" t="s">
        <v>37</v>
      </c>
      <c r="L941" t="s">
        <v>2588</v>
      </c>
    </row>
    <row r="942" spans="1:12" x14ac:dyDescent="0.25">
      <c r="A942">
        <v>100983</v>
      </c>
      <c r="B942" t="s">
        <v>315</v>
      </c>
      <c r="C942" t="s">
        <v>2686</v>
      </c>
      <c r="D942" t="s">
        <v>1430</v>
      </c>
      <c r="E942" t="s">
        <v>1431</v>
      </c>
      <c r="F942" t="s">
        <v>41</v>
      </c>
      <c r="G942" t="s">
        <v>2631</v>
      </c>
      <c r="H942" t="s">
        <v>2644</v>
      </c>
      <c r="I942">
        <v>0</v>
      </c>
      <c r="J942">
        <v>509</v>
      </c>
      <c r="K942" t="s">
        <v>45</v>
      </c>
      <c r="L942" t="s">
        <v>2582</v>
      </c>
    </row>
    <row r="943" spans="1:12" x14ac:dyDescent="0.25">
      <c r="A943">
        <v>101347</v>
      </c>
      <c r="B943" t="s">
        <v>595</v>
      </c>
      <c r="C943" t="s">
        <v>22</v>
      </c>
      <c r="D943" t="s">
        <v>1293</v>
      </c>
      <c r="E943" t="s">
        <v>3158</v>
      </c>
      <c r="F943" t="s">
        <v>30</v>
      </c>
      <c r="G943" t="s">
        <v>2600</v>
      </c>
      <c r="H943" t="s">
        <v>2587</v>
      </c>
      <c r="I943">
        <v>0</v>
      </c>
      <c r="J943">
        <v>372</v>
      </c>
      <c r="K943" t="s">
        <v>56</v>
      </c>
      <c r="L943" t="s">
        <v>26</v>
      </c>
    </row>
    <row r="944" spans="1:12" x14ac:dyDescent="0.25">
      <c r="A944">
        <v>100480</v>
      </c>
      <c r="B944" t="s">
        <v>215</v>
      </c>
      <c r="C944" t="s">
        <v>126</v>
      </c>
      <c r="D944" t="s">
        <v>1432</v>
      </c>
      <c r="E944" t="s">
        <v>3159</v>
      </c>
      <c r="F944" t="s">
        <v>2583</v>
      </c>
      <c r="G944" t="s">
        <v>2614</v>
      </c>
      <c r="H944" t="s">
        <v>18</v>
      </c>
      <c r="I944">
        <v>0</v>
      </c>
      <c r="J944">
        <v>395</v>
      </c>
      <c r="K944" t="s">
        <v>37</v>
      </c>
      <c r="L944" t="s">
        <v>2588</v>
      </c>
    </row>
    <row r="945" spans="1:12" x14ac:dyDescent="0.25">
      <c r="A945">
        <v>100288</v>
      </c>
      <c r="B945" t="s">
        <v>251</v>
      </c>
      <c r="C945" t="s">
        <v>72</v>
      </c>
      <c r="D945" t="s">
        <v>1433</v>
      </c>
      <c r="E945" t="s">
        <v>1434</v>
      </c>
      <c r="F945" t="s">
        <v>30</v>
      </c>
      <c r="G945" t="s">
        <v>2658</v>
      </c>
      <c r="H945" t="s">
        <v>2630</v>
      </c>
      <c r="I945">
        <v>29</v>
      </c>
      <c r="J945">
        <v>673</v>
      </c>
      <c r="K945" t="s">
        <v>32</v>
      </c>
      <c r="L945" t="s">
        <v>2588</v>
      </c>
    </row>
    <row r="946" spans="1:12" x14ac:dyDescent="0.25">
      <c r="A946">
        <v>101079</v>
      </c>
      <c r="B946" t="s">
        <v>1435</v>
      </c>
      <c r="C946" t="s">
        <v>47</v>
      </c>
      <c r="D946" t="s">
        <v>533</v>
      </c>
      <c r="E946" t="s">
        <v>1436</v>
      </c>
      <c r="F946" t="s">
        <v>2604</v>
      </c>
      <c r="G946" t="s">
        <v>2682</v>
      </c>
      <c r="H946" t="s">
        <v>18</v>
      </c>
      <c r="I946">
        <v>0</v>
      </c>
      <c r="J946">
        <v>744</v>
      </c>
      <c r="K946" t="s">
        <v>37</v>
      </c>
      <c r="L946" t="s">
        <v>2582</v>
      </c>
    </row>
    <row r="947" spans="1:12" x14ac:dyDescent="0.25">
      <c r="A947">
        <v>101245</v>
      </c>
      <c r="B947" t="s">
        <v>307</v>
      </c>
      <c r="C947" t="s">
        <v>58</v>
      </c>
      <c r="D947" t="s">
        <v>1016</v>
      </c>
      <c r="E947" t="s">
        <v>1437</v>
      </c>
      <c r="F947" t="s">
        <v>2604</v>
      </c>
      <c r="G947" t="s">
        <v>31</v>
      </c>
      <c r="H947" t="s">
        <v>2620</v>
      </c>
      <c r="I947">
        <v>0</v>
      </c>
      <c r="J947">
        <v>616</v>
      </c>
      <c r="K947" t="s">
        <v>45</v>
      </c>
      <c r="L947" t="s">
        <v>2582</v>
      </c>
    </row>
    <row r="948" spans="1:12" x14ac:dyDescent="0.25">
      <c r="A948">
        <v>101327</v>
      </c>
      <c r="B948" t="s">
        <v>212</v>
      </c>
      <c r="C948" t="s">
        <v>2743</v>
      </c>
      <c r="D948" t="s">
        <v>1240</v>
      </c>
      <c r="E948" t="s">
        <v>3160</v>
      </c>
      <c r="F948" t="s">
        <v>2641</v>
      </c>
      <c r="G948" t="s">
        <v>2635</v>
      </c>
      <c r="H948" t="s">
        <v>18</v>
      </c>
      <c r="I948">
        <v>0</v>
      </c>
      <c r="J948">
        <v>662</v>
      </c>
      <c r="K948" t="s">
        <v>37</v>
      </c>
      <c r="L948" t="s">
        <v>26</v>
      </c>
    </row>
    <row r="949" spans="1:12" x14ac:dyDescent="0.25">
      <c r="A949">
        <v>100188</v>
      </c>
      <c r="B949" t="s">
        <v>631</v>
      </c>
      <c r="C949" t="s">
        <v>13</v>
      </c>
      <c r="D949" t="s">
        <v>1438</v>
      </c>
      <c r="E949" t="s">
        <v>3161</v>
      </c>
      <c r="F949" t="s">
        <v>2593</v>
      </c>
      <c r="G949" t="s">
        <v>2625</v>
      </c>
      <c r="H949" t="s">
        <v>2581</v>
      </c>
      <c r="I949">
        <v>0</v>
      </c>
      <c r="J949">
        <v>544</v>
      </c>
      <c r="K949" t="s">
        <v>19</v>
      </c>
      <c r="L949" t="s">
        <v>2582</v>
      </c>
    </row>
    <row r="950" spans="1:12" x14ac:dyDescent="0.25">
      <c r="A950">
        <v>101215</v>
      </c>
      <c r="B950" t="s">
        <v>734</v>
      </c>
      <c r="C950" t="s">
        <v>218</v>
      </c>
      <c r="D950" t="s">
        <v>1439</v>
      </c>
      <c r="E950" t="s">
        <v>3162</v>
      </c>
      <c r="F950" t="s">
        <v>2641</v>
      </c>
      <c r="G950" t="s">
        <v>2600</v>
      </c>
      <c r="H950" t="s">
        <v>2620</v>
      </c>
      <c r="I950">
        <v>0</v>
      </c>
      <c r="J950">
        <v>865</v>
      </c>
      <c r="K950" t="s">
        <v>56</v>
      </c>
      <c r="L950" t="s">
        <v>20</v>
      </c>
    </row>
    <row r="951" spans="1:12" x14ac:dyDescent="0.25">
      <c r="A951">
        <v>100513</v>
      </c>
      <c r="B951" t="s">
        <v>607</v>
      </c>
      <c r="C951" t="s">
        <v>134</v>
      </c>
      <c r="D951" t="s">
        <v>1008</v>
      </c>
      <c r="E951" t="s">
        <v>3163</v>
      </c>
      <c r="F951" t="s">
        <v>2613</v>
      </c>
      <c r="G951" t="s">
        <v>2658</v>
      </c>
      <c r="H951" t="s">
        <v>2623</v>
      </c>
      <c r="I951">
        <v>112</v>
      </c>
      <c r="J951">
        <v>458</v>
      </c>
      <c r="K951" t="s">
        <v>19</v>
      </c>
      <c r="L951" t="s">
        <v>26</v>
      </c>
    </row>
    <row r="952" spans="1:12" x14ac:dyDescent="0.25">
      <c r="A952">
        <v>100920</v>
      </c>
      <c r="B952" t="s">
        <v>340</v>
      </c>
      <c r="C952" t="s">
        <v>100</v>
      </c>
      <c r="D952" t="s">
        <v>1440</v>
      </c>
      <c r="E952" t="s">
        <v>1441</v>
      </c>
      <c r="F952" t="s">
        <v>2629</v>
      </c>
      <c r="G952" t="s">
        <v>2614</v>
      </c>
      <c r="H952" t="s">
        <v>25</v>
      </c>
      <c r="I952">
        <v>29</v>
      </c>
      <c r="J952">
        <v>705</v>
      </c>
      <c r="K952" t="s">
        <v>56</v>
      </c>
      <c r="L952" t="s">
        <v>2588</v>
      </c>
    </row>
    <row r="953" spans="1:12" x14ac:dyDescent="0.25">
      <c r="A953">
        <v>100871</v>
      </c>
      <c r="B953" t="s">
        <v>474</v>
      </c>
      <c r="C953" t="s">
        <v>270</v>
      </c>
      <c r="D953" t="s">
        <v>1442</v>
      </c>
      <c r="E953" t="s">
        <v>3164</v>
      </c>
      <c r="F953" t="s">
        <v>2593</v>
      </c>
      <c r="G953" t="s">
        <v>2617</v>
      </c>
      <c r="H953" t="s">
        <v>18</v>
      </c>
      <c r="I953">
        <v>0</v>
      </c>
      <c r="J953">
        <v>483</v>
      </c>
      <c r="K953" t="s">
        <v>19</v>
      </c>
      <c r="L953" t="s">
        <v>26</v>
      </c>
    </row>
    <row r="954" spans="1:12" x14ac:dyDescent="0.25">
      <c r="A954">
        <v>102007</v>
      </c>
      <c r="B954" t="s">
        <v>463</v>
      </c>
      <c r="C954" t="s">
        <v>126</v>
      </c>
      <c r="D954" t="s">
        <v>1443</v>
      </c>
      <c r="E954" t="s">
        <v>1444</v>
      </c>
      <c r="F954" t="s">
        <v>2583</v>
      </c>
      <c r="G954" t="s">
        <v>81</v>
      </c>
      <c r="H954" t="s">
        <v>2581</v>
      </c>
      <c r="I954">
        <v>0</v>
      </c>
      <c r="J954">
        <v>765</v>
      </c>
      <c r="K954" t="s">
        <v>32</v>
      </c>
      <c r="L954" t="s">
        <v>26</v>
      </c>
    </row>
    <row r="955" spans="1:12" x14ac:dyDescent="0.25">
      <c r="A955">
        <v>100955</v>
      </c>
      <c r="B955" t="s">
        <v>43</v>
      </c>
      <c r="C955" t="s">
        <v>22</v>
      </c>
      <c r="D955" t="s">
        <v>1049</v>
      </c>
      <c r="E955" t="s">
        <v>3165</v>
      </c>
      <c r="F955" t="s">
        <v>2579</v>
      </c>
      <c r="G955" t="s">
        <v>2609</v>
      </c>
      <c r="H955" t="s">
        <v>2587</v>
      </c>
      <c r="I955">
        <v>0</v>
      </c>
      <c r="J955">
        <v>396</v>
      </c>
      <c r="K955" t="s">
        <v>56</v>
      </c>
      <c r="L955" t="s">
        <v>2582</v>
      </c>
    </row>
    <row r="956" spans="1:12" x14ac:dyDescent="0.25">
      <c r="A956">
        <v>100412</v>
      </c>
      <c r="B956" t="s">
        <v>908</v>
      </c>
      <c r="D956" t="s">
        <v>1445</v>
      </c>
      <c r="E956" t="s">
        <v>3166</v>
      </c>
      <c r="F956" t="s">
        <v>2654</v>
      </c>
      <c r="G956" t="s">
        <v>2580</v>
      </c>
      <c r="H956" t="s">
        <v>2585</v>
      </c>
      <c r="I956">
        <v>7</v>
      </c>
      <c r="J956">
        <v>550</v>
      </c>
      <c r="K956" t="s">
        <v>45</v>
      </c>
      <c r="L956" t="s">
        <v>2582</v>
      </c>
    </row>
    <row r="957" spans="1:12" x14ac:dyDescent="0.25">
      <c r="A957">
        <v>100875</v>
      </c>
      <c r="B957" t="s">
        <v>805</v>
      </c>
      <c r="C957" t="s">
        <v>62</v>
      </c>
      <c r="D957" t="s">
        <v>1377</v>
      </c>
      <c r="E957" t="s">
        <v>3167</v>
      </c>
      <c r="F957" t="s">
        <v>30</v>
      </c>
      <c r="G957" t="s">
        <v>2635</v>
      </c>
      <c r="H957" t="s">
        <v>2594</v>
      </c>
      <c r="I957">
        <v>50</v>
      </c>
      <c r="J957">
        <v>352</v>
      </c>
      <c r="K957" t="s">
        <v>32</v>
      </c>
      <c r="L957" t="s">
        <v>26</v>
      </c>
    </row>
    <row r="958" spans="1:12" x14ac:dyDescent="0.25">
      <c r="A958">
        <v>101546</v>
      </c>
      <c r="B958" t="s">
        <v>215</v>
      </c>
      <c r="C958" t="s">
        <v>126</v>
      </c>
      <c r="D958" t="s">
        <v>1446</v>
      </c>
      <c r="E958" t="s">
        <v>3168</v>
      </c>
      <c r="F958" t="s">
        <v>2629</v>
      </c>
      <c r="G958" t="s">
        <v>2652</v>
      </c>
      <c r="H958" t="s">
        <v>2581</v>
      </c>
      <c r="I958">
        <v>0</v>
      </c>
      <c r="J958">
        <v>395</v>
      </c>
      <c r="K958" t="s">
        <v>45</v>
      </c>
      <c r="L958" t="s">
        <v>20</v>
      </c>
    </row>
    <row r="959" spans="1:12" x14ac:dyDescent="0.25">
      <c r="A959">
        <v>100377</v>
      </c>
      <c r="B959" t="s">
        <v>207</v>
      </c>
      <c r="C959" t="s">
        <v>103</v>
      </c>
      <c r="D959" t="s">
        <v>1447</v>
      </c>
      <c r="E959" t="s">
        <v>3169</v>
      </c>
      <c r="F959" t="s">
        <v>2598</v>
      </c>
      <c r="G959" t="s">
        <v>2652</v>
      </c>
      <c r="H959" t="s">
        <v>2620</v>
      </c>
      <c r="I959">
        <v>0</v>
      </c>
      <c r="J959">
        <v>360</v>
      </c>
      <c r="K959" t="s">
        <v>45</v>
      </c>
      <c r="L959" t="s">
        <v>2588</v>
      </c>
    </row>
    <row r="960" spans="1:12" x14ac:dyDescent="0.25">
      <c r="A960">
        <v>100263</v>
      </c>
      <c r="B960" t="s">
        <v>215</v>
      </c>
      <c r="C960" t="s">
        <v>126</v>
      </c>
      <c r="D960" t="s">
        <v>1448</v>
      </c>
      <c r="E960" t="s">
        <v>3170</v>
      </c>
      <c r="F960" t="s">
        <v>2643</v>
      </c>
      <c r="G960" t="s">
        <v>2607</v>
      </c>
      <c r="H960" t="s">
        <v>2620</v>
      </c>
      <c r="I960">
        <v>0</v>
      </c>
      <c r="J960">
        <v>395</v>
      </c>
      <c r="K960" t="s">
        <v>56</v>
      </c>
      <c r="L960" t="s">
        <v>26</v>
      </c>
    </row>
    <row r="961" spans="1:12" x14ac:dyDescent="0.25">
      <c r="A961">
        <v>101532</v>
      </c>
      <c r="B961" t="s">
        <v>200</v>
      </c>
      <c r="C961" t="s">
        <v>142</v>
      </c>
      <c r="D961" t="s">
        <v>948</v>
      </c>
      <c r="E961" t="s">
        <v>3171</v>
      </c>
      <c r="F961" t="s">
        <v>50</v>
      </c>
      <c r="G961" t="s">
        <v>2633</v>
      </c>
      <c r="H961" t="s">
        <v>2620</v>
      </c>
      <c r="I961">
        <v>0</v>
      </c>
      <c r="J961">
        <v>784</v>
      </c>
      <c r="K961" t="s">
        <v>32</v>
      </c>
      <c r="L961" t="s">
        <v>2582</v>
      </c>
    </row>
    <row r="962" spans="1:12" x14ac:dyDescent="0.25">
      <c r="A962">
        <v>101637</v>
      </c>
      <c r="B962" t="s">
        <v>176</v>
      </c>
      <c r="C962" t="s">
        <v>58</v>
      </c>
      <c r="D962" t="s">
        <v>1449</v>
      </c>
      <c r="E962" t="s">
        <v>3172</v>
      </c>
      <c r="F962" t="s">
        <v>2629</v>
      </c>
      <c r="G962" t="s">
        <v>2600</v>
      </c>
      <c r="H962" t="s">
        <v>2594</v>
      </c>
      <c r="I962">
        <v>109</v>
      </c>
      <c r="J962">
        <v>528</v>
      </c>
      <c r="K962" t="s">
        <v>37</v>
      </c>
      <c r="L962" t="s">
        <v>2588</v>
      </c>
    </row>
    <row r="963" spans="1:12" x14ac:dyDescent="0.25">
      <c r="A963">
        <v>100840</v>
      </c>
      <c r="B963" t="s">
        <v>215</v>
      </c>
      <c r="C963" t="s">
        <v>126</v>
      </c>
      <c r="D963" t="s">
        <v>363</v>
      </c>
      <c r="E963" t="s">
        <v>3173</v>
      </c>
      <c r="F963" t="s">
        <v>2604</v>
      </c>
      <c r="G963" t="s">
        <v>2633</v>
      </c>
      <c r="H963" t="s">
        <v>2581</v>
      </c>
      <c r="I963">
        <v>0</v>
      </c>
      <c r="J963">
        <v>395</v>
      </c>
      <c r="K963" t="s">
        <v>19</v>
      </c>
      <c r="L963" t="s">
        <v>20</v>
      </c>
    </row>
    <row r="964" spans="1:12" x14ac:dyDescent="0.25">
      <c r="A964">
        <v>102119</v>
      </c>
      <c r="B964" t="s">
        <v>141</v>
      </c>
      <c r="C964" t="s">
        <v>142</v>
      </c>
      <c r="D964" t="s">
        <v>1003</v>
      </c>
      <c r="E964" t="s">
        <v>1450</v>
      </c>
      <c r="F964" t="s">
        <v>2583</v>
      </c>
      <c r="G964" t="s">
        <v>2617</v>
      </c>
      <c r="H964" t="s">
        <v>2581</v>
      </c>
      <c r="I964">
        <v>0</v>
      </c>
      <c r="J964">
        <v>430</v>
      </c>
      <c r="K964" t="s">
        <v>45</v>
      </c>
      <c r="L964" t="s">
        <v>26</v>
      </c>
    </row>
    <row r="965" spans="1:12" x14ac:dyDescent="0.25">
      <c r="A965">
        <v>101013</v>
      </c>
      <c r="B965" t="s">
        <v>1451</v>
      </c>
      <c r="C965" t="s">
        <v>52</v>
      </c>
      <c r="D965" t="s">
        <v>1239</v>
      </c>
      <c r="E965" t="s">
        <v>1452</v>
      </c>
      <c r="F965" t="s">
        <v>2629</v>
      </c>
      <c r="G965" t="s">
        <v>55</v>
      </c>
      <c r="H965" t="s">
        <v>2630</v>
      </c>
      <c r="I965">
        <v>24</v>
      </c>
      <c r="J965">
        <v>362</v>
      </c>
      <c r="K965" t="s">
        <v>56</v>
      </c>
      <c r="L965" t="s">
        <v>26</v>
      </c>
    </row>
    <row r="966" spans="1:12" x14ac:dyDescent="0.25">
      <c r="A966">
        <v>102024</v>
      </c>
      <c r="B966" t="s">
        <v>364</v>
      </c>
      <c r="C966" t="s">
        <v>2667</v>
      </c>
      <c r="D966" t="s">
        <v>1426</v>
      </c>
      <c r="E966" t="s">
        <v>1453</v>
      </c>
      <c r="F966" t="s">
        <v>64</v>
      </c>
      <c r="G966" t="s">
        <v>2591</v>
      </c>
      <c r="H966" t="s">
        <v>2587</v>
      </c>
      <c r="I966">
        <v>0</v>
      </c>
      <c r="J966">
        <v>351</v>
      </c>
      <c r="K966" t="s">
        <v>56</v>
      </c>
      <c r="L966" t="s">
        <v>2588</v>
      </c>
    </row>
    <row r="967" spans="1:12" x14ac:dyDescent="0.25">
      <c r="A967">
        <v>101533</v>
      </c>
      <c r="B967" t="s">
        <v>71</v>
      </c>
      <c r="C967" t="s">
        <v>72</v>
      </c>
      <c r="D967" t="s">
        <v>1454</v>
      </c>
      <c r="E967" t="s">
        <v>3174</v>
      </c>
      <c r="F967" t="s">
        <v>2646</v>
      </c>
      <c r="G967" t="s">
        <v>2625</v>
      </c>
      <c r="H967" t="s">
        <v>18</v>
      </c>
      <c r="I967">
        <v>0</v>
      </c>
      <c r="J967">
        <v>841</v>
      </c>
      <c r="K967" t="s">
        <v>56</v>
      </c>
      <c r="L967" t="s">
        <v>2582</v>
      </c>
    </row>
    <row r="968" spans="1:12" x14ac:dyDescent="0.25">
      <c r="A968">
        <v>100727</v>
      </c>
      <c r="B968" t="s">
        <v>342</v>
      </c>
      <c r="C968" t="s">
        <v>110</v>
      </c>
      <c r="D968" t="s">
        <v>1455</v>
      </c>
      <c r="E968" t="s">
        <v>1456</v>
      </c>
      <c r="F968" t="s">
        <v>30</v>
      </c>
      <c r="G968" t="s">
        <v>2602</v>
      </c>
      <c r="H968" t="s">
        <v>2620</v>
      </c>
      <c r="I968">
        <v>0</v>
      </c>
      <c r="J968">
        <v>659</v>
      </c>
      <c r="K968" t="s">
        <v>37</v>
      </c>
      <c r="L968" t="s">
        <v>2582</v>
      </c>
    </row>
    <row r="969" spans="1:12" x14ac:dyDescent="0.25">
      <c r="A969">
        <v>102133</v>
      </c>
      <c r="B969" t="s">
        <v>71</v>
      </c>
      <c r="D969" t="s">
        <v>1457</v>
      </c>
      <c r="E969" t="s">
        <v>3175</v>
      </c>
      <c r="F969" t="s">
        <v>2627</v>
      </c>
      <c r="G969" t="s">
        <v>60</v>
      </c>
      <c r="H969" t="s">
        <v>2644</v>
      </c>
      <c r="I969">
        <v>0</v>
      </c>
      <c r="J969">
        <v>841</v>
      </c>
      <c r="K969" t="s">
        <v>19</v>
      </c>
      <c r="L969" t="s">
        <v>2582</v>
      </c>
    </row>
    <row r="970" spans="1:12" x14ac:dyDescent="0.25">
      <c r="A970">
        <v>100802</v>
      </c>
      <c r="B970" t="s">
        <v>325</v>
      </c>
      <c r="C970" t="s">
        <v>126</v>
      </c>
      <c r="D970" t="s">
        <v>1458</v>
      </c>
      <c r="E970" t="s">
        <v>3176</v>
      </c>
      <c r="F970" t="s">
        <v>2654</v>
      </c>
      <c r="G970" t="s">
        <v>31</v>
      </c>
      <c r="H970" t="s">
        <v>2644</v>
      </c>
      <c r="I970">
        <v>0</v>
      </c>
      <c r="J970">
        <v>570</v>
      </c>
      <c r="K970" t="s">
        <v>32</v>
      </c>
      <c r="L970" t="s">
        <v>20</v>
      </c>
    </row>
    <row r="971" spans="1:12" x14ac:dyDescent="0.25">
      <c r="A971">
        <v>100367</v>
      </c>
      <c r="B971" t="s">
        <v>342</v>
      </c>
      <c r="C971" t="s">
        <v>110</v>
      </c>
      <c r="D971" t="s">
        <v>1459</v>
      </c>
      <c r="E971" t="s">
        <v>1460</v>
      </c>
      <c r="F971" t="s">
        <v>2604</v>
      </c>
      <c r="G971" t="s">
        <v>2652</v>
      </c>
      <c r="H971" t="s">
        <v>2594</v>
      </c>
      <c r="I971">
        <v>139</v>
      </c>
      <c r="J971">
        <v>659</v>
      </c>
      <c r="K971" t="s">
        <v>37</v>
      </c>
      <c r="L971" t="s">
        <v>26</v>
      </c>
    </row>
    <row r="972" spans="1:12" x14ac:dyDescent="0.25">
      <c r="A972">
        <v>100013</v>
      </c>
      <c r="B972" t="s">
        <v>129</v>
      </c>
      <c r="C972" t="s">
        <v>13</v>
      </c>
      <c r="D972" t="s">
        <v>1461</v>
      </c>
      <c r="E972" t="s">
        <v>1462</v>
      </c>
      <c r="F972" t="s">
        <v>2640</v>
      </c>
      <c r="G972" t="s">
        <v>60</v>
      </c>
      <c r="H972" t="s">
        <v>2620</v>
      </c>
      <c r="I972">
        <v>0</v>
      </c>
      <c r="J972">
        <v>336</v>
      </c>
      <c r="K972" t="s">
        <v>37</v>
      </c>
      <c r="L972" t="s">
        <v>2588</v>
      </c>
    </row>
    <row r="973" spans="1:12" x14ac:dyDescent="0.25">
      <c r="A973">
        <v>100130</v>
      </c>
      <c r="B973" t="s">
        <v>225</v>
      </c>
      <c r="C973" t="s">
        <v>142</v>
      </c>
      <c r="D973" t="s">
        <v>1463</v>
      </c>
      <c r="E973" t="s">
        <v>1464</v>
      </c>
      <c r="F973" t="s">
        <v>2593</v>
      </c>
      <c r="G973" t="s">
        <v>2599</v>
      </c>
      <c r="H973" t="s">
        <v>2620</v>
      </c>
      <c r="I973">
        <v>0</v>
      </c>
      <c r="J973">
        <v>741</v>
      </c>
      <c r="K973" t="s">
        <v>37</v>
      </c>
      <c r="L973" t="s">
        <v>20</v>
      </c>
    </row>
    <row r="974" spans="1:12" x14ac:dyDescent="0.25">
      <c r="A974">
        <v>101565</v>
      </c>
      <c r="B974" t="s">
        <v>528</v>
      </c>
      <c r="C974" t="s">
        <v>103</v>
      </c>
      <c r="E974" t="s">
        <v>3177</v>
      </c>
      <c r="F974" t="s">
        <v>2640</v>
      </c>
      <c r="G974" t="s">
        <v>2631</v>
      </c>
      <c r="H974" t="s">
        <v>25</v>
      </c>
      <c r="I974">
        <v>24</v>
      </c>
      <c r="J974">
        <v>583</v>
      </c>
      <c r="K974" t="s">
        <v>45</v>
      </c>
    </row>
    <row r="975" spans="1:12" x14ac:dyDescent="0.25">
      <c r="A975">
        <v>100789</v>
      </c>
      <c r="B975" t="s">
        <v>765</v>
      </c>
      <c r="C975" t="s">
        <v>2686</v>
      </c>
      <c r="D975" t="s">
        <v>1465</v>
      </c>
      <c r="E975" t="s">
        <v>1466</v>
      </c>
      <c r="F975" t="s">
        <v>2608</v>
      </c>
      <c r="G975" t="s">
        <v>2600</v>
      </c>
      <c r="H975" t="s">
        <v>83</v>
      </c>
      <c r="I975">
        <v>0</v>
      </c>
      <c r="J975">
        <v>851</v>
      </c>
      <c r="K975" t="s">
        <v>37</v>
      </c>
      <c r="L975" t="s">
        <v>20</v>
      </c>
    </row>
    <row r="976" spans="1:12" x14ac:dyDescent="0.25">
      <c r="A976">
        <v>100994</v>
      </c>
      <c r="B976" t="s">
        <v>444</v>
      </c>
      <c r="C976" t="s">
        <v>52</v>
      </c>
      <c r="D976" t="s">
        <v>1467</v>
      </c>
      <c r="E976" t="s">
        <v>1468</v>
      </c>
      <c r="F976" t="s">
        <v>2654</v>
      </c>
      <c r="G976" t="s">
        <v>2631</v>
      </c>
      <c r="H976" t="s">
        <v>2620</v>
      </c>
      <c r="I976">
        <v>0</v>
      </c>
      <c r="J976">
        <v>688</v>
      </c>
      <c r="K976" t="s">
        <v>37</v>
      </c>
      <c r="L976" t="s">
        <v>2582</v>
      </c>
    </row>
    <row r="977" spans="1:12" x14ac:dyDescent="0.25">
      <c r="A977">
        <v>100510</v>
      </c>
      <c r="B977" t="s">
        <v>1069</v>
      </c>
      <c r="C977" t="s">
        <v>22</v>
      </c>
      <c r="D977" t="s">
        <v>1398</v>
      </c>
      <c r="E977" t="s">
        <v>3178</v>
      </c>
      <c r="F977" t="s">
        <v>2598</v>
      </c>
      <c r="G977" t="s">
        <v>2635</v>
      </c>
      <c r="H977" t="s">
        <v>2587</v>
      </c>
      <c r="I977">
        <v>0</v>
      </c>
      <c r="J977">
        <v>607</v>
      </c>
      <c r="K977" t="s">
        <v>37</v>
      </c>
      <c r="L977" t="s">
        <v>20</v>
      </c>
    </row>
    <row r="978" spans="1:12" x14ac:dyDescent="0.25">
      <c r="A978">
        <v>100409</v>
      </c>
      <c r="B978" t="s">
        <v>303</v>
      </c>
      <c r="C978" t="s">
        <v>187</v>
      </c>
      <c r="D978" t="s">
        <v>1445</v>
      </c>
      <c r="E978" t="s">
        <v>3179</v>
      </c>
      <c r="F978" t="s">
        <v>30</v>
      </c>
      <c r="G978" t="s">
        <v>2596</v>
      </c>
      <c r="H978" t="s">
        <v>83</v>
      </c>
      <c r="J978">
        <v>800</v>
      </c>
      <c r="K978" t="s">
        <v>45</v>
      </c>
      <c r="L978" t="s">
        <v>2582</v>
      </c>
    </row>
    <row r="979" spans="1:12" x14ac:dyDescent="0.25">
      <c r="A979">
        <v>101501</v>
      </c>
      <c r="B979" t="s">
        <v>184</v>
      </c>
      <c r="C979" t="s">
        <v>62</v>
      </c>
      <c r="D979" t="s">
        <v>180</v>
      </c>
      <c r="E979" t="s">
        <v>3180</v>
      </c>
      <c r="F979" t="s">
        <v>2608</v>
      </c>
      <c r="G979" t="s">
        <v>2591</v>
      </c>
      <c r="H979" t="s">
        <v>2618</v>
      </c>
      <c r="I979">
        <v>0</v>
      </c>
      <c r="J979">
        <v>571</v>
      </c>
      <c r="K979" t="s">
        <v>32</v>
      </c>
      <c r="L979" t="s">
        <v>2582</v>
      </c>
    </row>
    <row r="980" spans="1:12" x14ac:dyDescent="0.25">
      <c r="A980">
        <v>100725</v>
      </c>
      <c r="B980" t="s">
        <v>207</v>
      </c>
      <c r="C980" t="s">
        <v>103</v>
      </c>
      <c r="D980" t="s">
        <v>1469</v>
      </c>
      <c r="E980" t="s">
        <v>1470</v>
      </c>
      <c r="F980" t="s">
        <v>2604</v>
      </c>
      <c r="G980" t="s">
        <v>2611</v>
      </c>
      <c r="H980" t="s">
        <v>2620</v>
      </c>
      <c r="J980">
        <v>360</v>
      </c>
      <c r="K980" t="s">
        <v>19</v>
      </c>
      <c r="L980" t="s">
        <v>2588</v>
      </c>
    </row>
    <row r="981" spans="1:12" x14ac:dyDescent="0.25">
      <c r="A981">
        <v>101720</v>
      </c>
      <c r="B981" t="s">
        <v>940</v>
      </c>
      <c r="C981" t="s">
        <v>2680</v>
      </c>
      <c r="D981" t="s">
        <v>826</v>
      </c>
      <c r="E981" t="s">
        <v>1471</v>
      </c>
      <c r="F981" t="s">
        <v>2643</v>
      </c>
      <c r="G981" t="s">
        <v>2611</v>
      </c>
      <c r="H981" t="s">
        <v>2581</v>
      </c>
      <c r="I981">
        <v>0</v>
      </c>
      <c r="J981">
        <v>640</v>
      </c>
      <c r="K981" t="s">
        <v>56</v>
      </c>
      <c r="L981" t="s">
        <v>20</v>
      </c>
    </row>
    <row r="982" spans="1:12" x14ac:dyDescent="0.25">
      <c r="A982">
        <v>100832</v>
      </c>
      <c r="B982" t="s">
        <v>779</v>
      </c>
      <c r="C982" t="s">
        <v>39</v>
      </c>
      <c r="D982" t="s">
        <v>1472</v>
      </c>
      <c r="E982" t="s">
        <v>3181</v>
      </c>
      <c r="F982" t="s">
        <v>2640</v>
      </c>
      <c r="G982" t="s">
        <v>2682</v>
      </c>
      <c r="H982" t="s">
        <v>2597</v>
      </c>
      <c r="I982">
        <v>21</v>
      </c>
      <c r="J982">
        <v>402</v>
      </c>
      <c r="K982" t="s">
        <v>56</v>
      </c>
      <c r="L982" t="s">
        <v>26</v>
      </c>
    </row>
    <row r="983" spans="1:12" x14ac:dyDescent="0.25">
      <c r="A983">
        <v>101821</v>
      </c>
      <c r="B983" t="s">
        <v>141</v>
      </c>
      <c r="C983" t="s">
        <v>142</v>
      </c>
      <c r="D983" t="s">
        <v>1386</v>
      </c>
      <c r="E983" t="s">
        <v>3182</v>
      </c>
      <c r="F983" t="s">
        <v>2648</v>
      </c>
      <c r="G983" t="s">
        <v>2625</v>
      </c>
      <c r="H983" t="s">
        <v>2587</v>
      </c>
      <c r="I983">
        <v>0</v>
      </c>
      <c r="J983">
        <v>430</v>
      </c>
      <c r="K983" t="s">
        <v>19</v>
      </c>
      <c r="L983" t="s">
        <v>2588</v>
      </c>
    </row>
    <row r="984" spans="1:12" x14ac:dyDescent="0.25">
      <c r="A984">
        <v>101408</v>
      </c>
      <c r="B984" t="s">
        <v>595</v>
      </c>
      <c r="C984" t="s">
        <v>22</v>
      </c>
      <c r="D984" t="s">
        <v>1473</v>
      </c>
      <c r="E984" t="s">
        <v>3183</v>
      </c>
      <c r="F984" t="s">
        <v>2641</v>
      </c>
      <c r="G984" t="s">
        <v>2596</v>
      </c>
      <c r="H984" t="s">
        <v>83</v>
      </c>
      <c r="I984">
        <v>0</v>
      </c>
      <c r="J984">
        <v>372</v>
      </c>
      <c r="K984" t="s">
        <v>56</v>
      </c>
      <c r="L984" t="s">
        <v>2588</v>
      </c>
    </row>
    <row r="985" spans="1:12" x14ac:dyDescent="0.25">
      <c r="A985">
        <v>102031</v>
      </c>
      <c r="B985" t="s">
        <v>570</v>
      </c>
      <c r="C985" t="s">
        <v>39</v>
      </c>
      <c r="D985" t="s">
        <v>1474</v>
      </c>
      <c r="E985" t="s">
        <v>3184</v>
      </c>
      <c r="F985" t="s">
        <v>2604</v>
      </c>
      <c r="G985" t="s">
        <v>2625</v>
      </c>
      <c r="H985" t="s">
        <v>25</v>
      </c>
      <c r="I985">
        <v>28</v>
      </c>
      <c r="J985">
        <v>371</v>
      </c>
      <c r="K985" t="s">
        <v>19</v>
      </c>
      <c r="L985" t="s">
        <v>26</v>
      </c>
    </row>
    <row r="986" spans="1:12" x14ac:dyDescent="0.25">
      <c r="A986">
        <v>102155</v>
      </c>
      <c r="B986" t="s">
        <v>243</v>
      </c>
      <c r="C986" t="s">
        <v>244</v>
      </c>
      <c r="D986" t="s">
        <v>1475</v>
      </c>
      <c r="E986" t="s">
        <v>3185</v>
      </c>
      <c r="F986" t="s">
        <v>2613</v>
      </c>
      <c r="G986" t="s">
        <v>2625</v>
      </c>
      <c r="H986" t="s">
        <v>2581</v>
      </c>
      <c r="I986">
        <v>0</v>
      </c>
      <c r="J986">
        <v>729</v>
      </c>
      <c r="K986" t="s">
        <v>56</v>
      </c>
      <c r="L986" t="s">
        <v>2588</v>
      </c>
    </row>
    <row r="987" spans="1:12" x14ac:dyDescent="0.25">
      <c r="A987">
        <v>100992</v>
      </c>
      <c r="B987" t="s">
        <v>259</v>
      </c>
      <c r="C987" t="s">
        <v>218</v>
      </c>
      <c r="D987" t="s">
        <v>1477</v>
      </c>
      <c r="E987" t="s">
        <v>1478</v>
      </c>
      <c r="F987" t="s">
        <v>2640</v>
      </c>
      <c r="G987" t="s">
        <v>60</v>
      </c>
      <c r="H987" t="s">
        <v>2594</v>
      </c>
      <c r="I987">
        <v>33</v>
      </c>
      <c r="J987">
        <v>732</v>
      </c>
      <c r="K987" t="s">
        <v>45</v>
      </c>
    </row>
    <row r="988" spans="1:12" x14ac:dyDescent="0.25">
      <c r="A988">
        <v>100598</v>
      </c>
      <c r="B988" t="s">
        <v>953</v>
      </c>
      <c r="C988" t="s">
        <v>270</v>
      </c>
      <c r="E988" t="s">
        <v>1479</v>
      </c>
      <c r="F988" t="s">
        <v>41</v>
      </c>
      <c r="G988" t="s">
        <v>60</v>
      </c>
      <c r="H988" t="s">
        <v>83</v>
      </c>
      <c r="I988">
        <v>0</v>
      </c>
      <c r="J988">
        <v>759</v>
      </c>
      <c r="K988" t="s">
        <v>19</v>
      </c>
      <c r="L988" t="s">
        <v>20</v>
      </c>
    </row>
    <row r="989" spans="1:12" x14ac:dyDescent="0.25">
      <c r="A989">
        <v>100611</v>
      </c>
      <c r="B989" t="s">
        <v>616</v>
      </c>
      <c r="C989" t="s">
        <v>2743</v>
      </c>
      <c r="D989" t="s">
        <v>1480</v>
      </c>
      <c r="E989" t="s">
        <v>3186</v>
      </c>
      <c r="F989" t="s">
        <v>2629</v>
      </c>
      <c r="G989" t="s">
        <v>2658</v>
      </c>
      <c r="H989" t="s">
        <v>2581</v>
      </c>
      <c r="I989">
        <v>0</v>
      </c>
      <c r="J989">
        <v>898</v>
      </c>
      <c r="K989" t="s">
        <v>45</v>
      </c>
      <c r="L989" t="s">
        <v>2582</v>
      </c>
    </row>
    <row r="990" spans="1:12" x14ac:dyDescent="0.25">
      <c r="A990">
        <v>101390</v>
      </c>
      <c r="B990" t="s">
        <v>21</v>
      </c>
      <c r="C990" t="s">
        <v>22</v>
      </c>
      <c r="D990" t="s">
        <v>1481</v>
      </c>
      <c r="E990" t="s">
        <v>3187</v>
      </c>
      <c r="F990" t="s">
        <v>2598</v>
      </c>
      <c r="G990" t="s">
        <v>2599</v>
      </c>
      <c r="H990" t="s">
        <v>2620</v>
      </c>
      <c r="I990">
        <v>0</v>
      </c>
      <c r="J990">
        <v>771</v>
      </c>
      <c r="K990" t="s">
        <v>37</v>
      </c>
      <c r="L990" t="s">
        <v>26</v>
      </c>
    </row>
    <row r="991" spans="1:12" x14ac:dyDescent="0.25">
      <c r="A991">
        <v>100679</v>
      </c>
      <c r="B991" t="s">
        <v>299</v>
      </c>
      <c r="C991" t="s">
        <v>22</v>
      </c>
      <c r="D991" t="s">
        <v>725</v>
      </c>
      <c r="E991" t="s">
        <v>1482</v>
      </c>
      <c r="F991" t="s">
        <v>2654</v>
      </c>
      <c r="G991" t="s">
        <v>2658</v>
      </c>
      <c r="H991" t="s">
        <v>2644</v>
      </c>
      <c r="I991">
        <v>0</v>
      </c>
      <c r="J991">
        <v>855</v>
      </c>
      <c r="K991" t="s">
        <v>37</v>
      </c>
      <c r="L991" t="s">
        <v>26</v>
      </c>
    </row>
    <row r="992" spans="1:12" x14ac:dyDescent="0.25">
      <c r="A992">
        <v>102115</v>
      </c>
      <c r="B992" t="s">
        <v>61</v>
      </c>
      <c r="C992" t="s">
        <v>62</v>
      </c>
      <c r="D992" t="s">
        <v>889</v>
      </c>
      <c r="E992" t="s">
        <v>3188</v>
      </c>
      <c r="F992" t="s">
        <v>64</v>
      </c>
      <c r="G992" t="s">
        <v>2617</v>
      </c>
      <c r="H992" t="s">
        <v>42</v>
      </c>
      <c r="I992">
        <v>62</v>
      </c>
      <c r="J992">
        <v>542</v>
      </c>
      <c r="K992" t="s">
        <v>37</v>
      </c>
      <c r="L992" t="s">
        <v>20</v>
      </c>
    </row>
    <row r="993" spans="1:12" x14ac:dyDescent="0.25">
      <c r="A993">
        <v>100373</v>
      </c>
      <c r="B993" t="s">
        <v>75</v>
      </c>
      <c r="C993" t="s">
        <v>39</v>
      </c>
      <c r="D993" t="s">
        <v>888</v>
      </c>
      <c r="E993" t="s">
        <v>3189</v>
      </c>
      <c r="F993" t="s">
        <v>41</v>
      </c>
      <c r="G993" t="s">
        <v>2682</v>
      </c>
      <c r="H993" t="s">
        <v>18</v>
      </c>
      <c r="I993">
        <v>0</v>
      </c>
      <c r="J993">
        <v>554</v>
      </c>
      <c r="K993" t="s">
        <v>45</v>
      </c>
      <c r="L993" t="s">
        <v>26</v>
      </c>
    </row>
    <row r="994" spans="1:12" x14ac:dyDescent="0.25">
      <c r="A994">
        <v>101469</v>
      </c>
      <c r="B994" t="s">
        <v>1378</v>
      </c>
      <c r="C994" t="s">
        <v>142</v>
      </c>
      <c r="D994" t="s">
        <v>161</v>
      </c>
      <c r="E994" t="s">
        <v>3190</v>
      </c>
      <c r="F994" t="s">
        <v>2646</v>
      </c>
      <c r="G994" t="s">
        <v>2614</v>
      </c>
      <c r="H994" t="s">
        <v>2581</v>
      </c>
      <c r="I994">
        <v>0</v>
      </c>
      <c r="J994">
        <v>369</v>
      </c>
      <c r="K994" t="s">
        <v>19</v>
      </c>
      <c r="L994" t="s">
        <v>26</v>
      </c>
    </row>
    <row r="995" spans="1:12" x14ac:dyDescent="0.25">
      <c r="A995">
        <v>100039</v>
      </c>
      <c r="B995" t="s">
        <v>890</v>
      </c>
      <c r="C995" t="s">
        <v>149</v>
      </c>
      <c r="D995" t="s">
        <v>584</v>
      </c>
      <c r="E995" t="s">
        <v>3191</v>
      </c>
      <c r="F995" t="s">
        <v>2598</v>
      </c>
      <c r="G995" t="s">
        <v>2591</v>
      </c>
      <c r="H995" t="s">
        <v>18</v>
      </c>
      <c r="I995">
        <v>0</v>
      </c>
      <c r="J995">
        <v>733</v>
      </c>
      <c r="K995" t="s">
        <v>45</v>
      </c>
      <c r="L995" t="s">
        <v>2588</v>
      </c>
    </row>
    <row r="996" spans="1:12" x14ac:dyDescent="0.25">
      <c r="A996">
        <v>101650</v>
      </c>
      <c r="B996" t="s">
        <v>131</v>
      </c>
      <c r="C996" t="s">
        <v>39</v>
      </c>
      <c r="D996" t="s">
        <v>1483</v>
      </c>
      <c r="E996" t="s">
        <v>3192</v>
      </c>
      <c r="F996" t="s">
        <v>2616</v>
      </c>
      <c r="G996" t="s">
        <v>2602</v>
      </c>
      <c r="H996" t="s">
        <v>2585</v>
      </c>
      <c r="I996">
        <v>25</v>
      </c>
      <c r="J996">
        <v>867</v>
      </c>
      <c r="K996" t="s">
        <v>19</v>
      </c>
      <c r="L996" t="s">
        <v>2582</v>
      </c>
    </row>
    <row r="997" spans="1:12" x14ac:dyDescent="0.25">
      <c r="A997">
        <v>101693</v>
      </c>
      <c r="B997" t="s">
        <v>525</v>
      </c>
      <c r="C997" t="s">
        <v>58</v>
      </c>
      <c r="D997" t="s">
        <v>1484</v>
      </c>
      <c r="E997" t="s">
        <v>1485</v>
      </c>
      <c r="F997" t="s">
        <v>2648</v>
      </c>
      <c r="G997" t="s">
        <v>60</v>
      </c>
      <c r="H997" t="s">
        <v>42</v>
      </c>
      <c r="I997">
        <v>66</v>
      </c>
      <c r="J997">
        <v>501</v>
      </c>
      <c r="K997" t="s">
        <v>37</v>
      </c>
      <c r="L997" t="s">
        <v>2588</v>
      </c>
    </row>
    <row r="998" spans="1:12" x14ac:dyDescent="0.25">
      <c r="A998">
        <v>101297</v>
      </c>
      <c r="B998" t="s">
        <v>928</v>
      </c>
      <c r="C998" t="s">
        <v>110</v>
      </c>
      <c r="E998" t="s">
        <v>3193</v>
      </c>
      <c r="F998" t="s">
        <v>2654</v>
      </c>
      <c r="G998" t="s">
        <v>2611</v>
      </c>
      <c r="H998" t="s">
        <v>2644</v>
      </c>
      <c r="I998">
        <v>0</v>
      </c>
      <c r="J998">
        <v>409</v>
      </c>
      <c r="K998" t="s">
        <v>32</v>
      </c>
      <c r="L998" t="s">
        <v>2588</v>
      </c>
    </row>
    <row r="999" spans="1:12" x14ac:dyDescent="0.25">
      <c r="A999">
        <v>100077</v>
      </c>
      <c r="B999" t="s">
        <v>905</v>
      </c>
      <c r="C999" t="s">
        <v>2703</v>
      </c>
      <c r="D999" t="s">
        <v>1486</v>
      </c>
      <c r="E999" t="s">
        <v>3194</v>
      </c>
      <c r="F999" t="s">
        <v>2641</v>
      </c>
      <c r="G999" t="s">
        <v>2614</v>
      </c>
      <c r="H999" t="s">
        <v>2620</v>
      </c>
      <c r="I999">
        <v>0</v>
      </c>
      <c r="J999">
        <v>325</v>
      </c>
      <c r="K999" t="s">
        <v>32</v>
      </c>
      <c r="L999" t="s">
        <v>2582</v>
      </c>
    </row>
    <row r="1000" spans="1:12" x14ac:dyDescent="0.25">
      <c r="A1000">
        <v>101574</v>
      </c>
      <c r="B1000" t="s">
        <v>1069</v>
      </c>
      <c r="C1000" t="s">
        <v>22</v>
      </c>
      <c r="D1000" t="s">
        <v>1011</v>
      </c>
      <c r="F1000" t="s">
        <v>2583</v>
      </c>
      <c r="H1000" t="s">
        <v>2620</v>
      </c>
      <c r="I1000">
        <v>0</v>
      </c>
      <c r="J1000">
        <v>607</v>
      </c>
      <c r="K1000" t="s">
        <v>32</v>
      </c>
      <c r="L1000" t="s">
        <v>26</v>
      </c>
    </row>
    <row r="1001" spans="1:12" x14ac:dyDescent="0.25">
      <c r="A1001">
        <v>101260</v>
      </c>
      <c r="B1001" t="s">
        <v>1053</v>
      </c>
      <c r="C1001" t="s">
        <v>47</v>
      </c>
      <c r="D1001" t="s">
        <v>903</v>
      </c>
      <c r="E1001" t="s">
        <v>3195</v>
      </c>
      <c r="F1001" t="s">
        <v>2593</v>
      </c>
      <c r="G1001" t="s">
        <v>2631</v>
      </c>
      <c r="H1001" t="s">
        <v>2620</v>
      </c>
      <c r="I1001">
        <v>0</v>
      </c>
      <c r="J1001">
        <v>864</v>
      </c>
      <c r="K1001" t="s">
        <v>56</v>
      </c>
      <c r="L1001" t="s">
        <v>2588</v>
      </c>
    </row>
    <row r="1002" spans="1:12" x14ac:dyDescent="0.25">
      <c r="A1002">
        <v>100046</v>
      </c>
      <c r="B1002" t="s">
        <v>1203</v>
      </c>
      <c r="C1002" t="s">
        <v>187</v>
      </c>
      <c r="D1002" t="s">
        <v>1487</v>
      </c>
      <c r="E1002" t="s">
        <v>1488</v>
      </c>
      <c r="F1002" t="s">
        <v>50</v>
      </c>
      <c r="G1002" t="s">
        <v>2596</v>
      </c>
      <c r="H1002" t="s">
        <v>2581</v>
      </c>
      <c r="J1002">
        <v>752</v>
      </c>
      <c r="K1002" t="s">
        <v>56</v>
      </c>
      <c r="L1002" t="s">
        <v>20</v>
      </c>
    </row>
    <row r="1003" spans="1:12" x14ac:dyDescent="0.25">
      <c r="A1003">
        <v>100854</v>
      </c>
      <c r="B1003" t="s">
        <v>905</v>
      </c>
      <c r="C1003" t="s">
        <v>100</v>
      </c>
      <c r="D1003" t="s">
        <v>1489</v>
      </c>
      <c r="E1003" t="s">
        <v>3196</v>
      </c>
      <c r="F1003" t="s">
        <v>2654</v>
      </c>
      <c r="G1003" t="s">
        <v>2602</v>
      </c>
      <c r="H1003" t="s">
        <v>2630</v>
      </c>
      <c r="I1003">
        <v>26</v>
      </c>
      <c r="J1003">
        <v>325</v>
      </c>
      <c r="K1003" t="s">
        <v>45</v>
      </c>
      <c r="L1003" t="s">
        <v>20</v>
      </c>
    </row>
    <row r="1004" spans="1:12" x14ac:dyDescent="0.25">
      <c r="A1004">
        <v>100302</v>
      </c>
      <c r="B1004" t="s">
        <v>1300</v>
      </c>
      <c r="C1004" t="s">
        <v>103</v>
      </c>
      <c r="D1004" t="s">
        <v>386</v>
      </c>
      <c r="E1004" t="s">
        <v>1490</v>
      </c>
      <c r="F1004" t="s">
        <v>41</v>
      </c>
      <c r="G1004" t="s">
        <v>2614</v>
      </c>
      <c r="H1004" t="s">
        <v>2581</v>
      </c>
      <c r="I1004">
        <v>0</v>
      </c>
      <c r="J1004">
        <v>374</v>
      </c>
      <c r="K1004" t="s">
        <v>45</v>
      </c>
      <c r="L1004" t="s">
        <v>20</v>
      </c>
    </row>
    <row r="1005" spans="1:12" x14ac:dyDescent="0.25">
      <c r="A1005">
        <v>101561</v>
      </c>
      <c r="B1005" t="s">
        <v>202</v>
      </c>
      <c r="C1005" t="s">
        <v>95</v>
      </c>
      <c r="D1005" t="s">
        <v>1491</v>
      </c>
      <c r="E1005" t="s">
        <v>1492</v>
      </c>
      <c r="F1005" t="s">
        <v>2613</v>
      </c>
      <c r="G1005" t="s">
        <v>2633</v>
      </c>
      <c r="H1005" t="s">
        <v>2587</v>
      </c>
      <c r="I1005">
        <v>0</v>
      </c>
      <c r="J1005">
        <v>570</v>
      </c>
      <c r="K1005" t="s">
        <v>45</v>
      </c>
      <c r="L1005" t="s">
        <v>20</v>
      </c>
    </row>
    <row r="1006" spans="1:12" x14ac:dyDescent="0.25">
      <c r="A1006">
        <v>101585</v>
      </c>
      <c r="B1006" t="s">
        <v>1009</v>
      </c>
      <c r="C1006" t="s">
        <v>58</v>
      </c>
      <c r="D1006" t="s">
        <v>838</v>
      </c>
      <c r="E1006" t="s">
        <v>3197</v>
      </c>
      <c r="F1006" t="s">
        <v>2604</v>
      </c>
      <c r="G1006" t="s">
        <v>2596</v>
      </c>
      <c r="H1006" t="s">
        <v>2597</v>
      </c>
      <c r="I1006">
        <v>12</v>
      </c>
      <c r="J1006">
        <v>400</v>
      </c>
      <c r="K1006" t="s">
        <v>37</v>
      </c>
      <c r="L1006" t="s">
        <v>2582</v>
      </c>
    </row>
    <row r="1007" spans="1:12" x14ac:dyDescent="0.25">
      <c r="A1007">
        <v>102150</v>
      </c>
      <c r="B1007" t="s">
        <v>1026</v>
      </c>
      <c r="C1007" t="s">
        <v>244</v>
      </c>
      <c r="D1007" t="s">
        <v>1493</v>
      </c>
      <c r="E1007" t="s">
        <v>1494</v>
      </c>
      <c r="F1007" t="s">
        <v>2641</v>
      </c>
      <c r="G1007" t="s">
        <v>2584</v>
      </c>
      <c r="H1007" t="s">
        <v>25</v>
      </c>
      <c r="I1007">
        <v>9</v>
      </c>
      <c r="J1007">
        <v>560</v>
      </c>
      <c r="K1007" t="s">
        <v>56</v>
      </c>
      <c r="L1007" t="s">
        <v>2582</v>
      </c>
    </row>
    <row r="1008" spans="1:12" x14ac:dyDescent="0.25">
      <c r="A1008">
        <v>102181</v>
      </c>
      <c r="B1008" t="s">
        <v>99</v>
      </c>
      <c r="C1008" t="s">
        <v>100</v>
      </c>
      <c r="D1008" t="s">
        <v>1495</v>
      </c>
      <c r="E1008" t="s">
        <v>3198</v>
      </c>
      <c r="F1008" t="s">
        <v>2583</v>
      </c>
      <c r="G1008" t="s">
        <v>2633</v>
      </c>
      <c r="H1008" t="s">
        <v>2644</v>
      </c>
      <c r="I1008">
        <v>0</v>
      </c>
      <c r="J1008">
        <v>414</v>
      </c>
      <c r="K1008" t="s">
        <v>32</v>
      </c>
      <c r="L1008" t="s">
        <v>2582</v>
      </c>
    </row>
    <row r="1009" spans="1:12" x14ac:dyDescent="0.25">
      <c r="A1009">
        <v>101522</v>
      </c>
      <c r="B1009" t="s">
        <v>619</v>
      </c>
      <c r="C1009" t="s">
        <v>244</v>
      </c>
      <c r="D1009" t="s">
        <v>1496</v>
      </c>
      <c r="E1009" t="s">
        <v>1497</v>
      </c>
      <c r="F1009" t="s">
        <v>2641</v>
      </c>
      <c r="G1009" t="s">
        <v>2617</v>
      </c>
      <c r="H1009" t="s">
        <v>2581</v>
      </c>
      <c r="I1009">
        <v>0</v>
      </c>
      <c r="J1009">
        <v>351</v>
      </c>
      <c r="K1009" t="s">
        <v>45</v>
      </c>
      <c r="L1009" t="s">
        <v>26</v>
      </c>
    </row>
    <row r="1010" spans="1:12" x14ac:dyDescent="0.25">
      <c r="A1010">
        <v>100215</v>
      </c>
      <c r="B1010" t="s">
        <v>530</v>
      </c>
      <c r="C1010" t="s">
        <v>142</v>
      </c>
      <c r="D1010" t="s">
        <v>1498</v>
      </c>
      <c r="E1010" t="s">
        <v>3199</v>
      </c>
      <c r="F1010" t="s">
        <v>30</v>
      </c>
      <c r="G1010" t="s">
        <v>2602</v>
      </c>
      <c r="H1010" t="s">
        <v>2581</v>
      </c>
      <c r="I1010">
        <v>0</v>
      </c>
      <c r="J1010">
        <v>819</v>
      </c>
      <c r="K1010" t="s">
        <v>37</v>
      </c>
      <c r="L1010" t="s">
        <v>26</v>
      </c>
    </row>
    <row r="1011" spans="1:12" x14ac:dyDescent="0.25">
      <c r="A1011">
        <v>102137</v>
      </c>
      <c r="B1011" t="s">
        <v>460</v>
      </c>
      <c r="C1011" t="s">
        <v>95</v>
      </c>
      <c r="E1011" t="s">
        <v>1499</v>
      </c>
      <c r="F1011" t="s">
        <v>2627</v>
      </c>
      <c r="G1011" t="s">
        <v>2625</v>
      </c>
      <c r="H1011" t="s">
        <v>2581</v>
      </c>
      <c r="I1011">
        <v>0</v>
      </c>
      <c r="J1011">
        <v>716</v>
      </c>
      <c r="K1011" t="s">
        <v>19</v>
      </c>
      <c r="L1011" t="s">
        <v>2582</v>
      </c>
    </row>
    <row r="1012" spans="1:12" x14ac:dyDescent="0.25">
      <c r="A1012">
        <v>100339</v>
      </c>
      <c r="B1012" t="s">
        <v>657</v>
      </c>
      <c r="C1012" t="s">
        <v>52</v>
      </c>
      <c r="D1012" t="s">
        <v>1500</v>
      </c>
      <c r="E1012" t="s">
        <v>1501</v>
      </c>
      <c r="F1012" t="s">
        <v>2608</v>
      </c>
      <c r="G1012" t="s">
        <v>2600</v>
      </c>
      <c r="H1012" t="s">
        <v>2620</v>
      </c>
      <c r="I1012">
        <v>0</v>
      </c>
      <c r="J1012">
        <v>518</v>
      </c>
      <c r="K1012" t="s">
        <v>56</v>
      </c>
      <c r="L1012" t="s">
        <v>2582</v>
      </c>
    </row>
    <row r="1013" spans="1:12" x14ac:dyDescent="0.25">
      <c r="A1013">
        <v>100259</v>
      </c>
      <c r="B1013" t="s">
        <v>553</v>
      </c>
      <c r="C1013" t="s">
        <v>72</v>
      </c>
      <c r="D1013" t="s">
        <v>1502</v>
      </c>
      <c r="E1013" t="s">
        <v>3200</v>
      </c>
      <c r="F1013" t="s">
        <v>2641</v>
      </c>
      <c r="G1013" t="s">
        <v>2596</v>
      </c>
      <c r="H1013" t="s">
        <v>2620</v>
      </c>
      <c r="I1013">
        <v>0</v>
      </c>
      <c r="J1013">
        <v>638</v>
      </c>
      <c r="K1013" t="s">
        <v>37</v>
      </c>
      <c r="L1013" t="s">
        <v>2588</v>
      </c>
    </row>
    <row r="1014" spans="1:12" x14ac:dyDescent="0.25">
      <c r="A1014">
        <v>101744</v>
      </c>
      <c r="B1014" t="s">
        <v>121</v>
      </c>
      <c r="C1014" t="s">
        <v>122</v>
      </c>
      <c r="D1014" t="s">
        <v>795</v>
      </c>
      <c r="E1014" t="s">
        <v>3201</v>
      </c>
      <c r="F1014" t="s">
        <v>2616</v>
      </c>
      <c r="G1014" t="s">
        <v>81</v>
      </c>
      <c r="H1014" t="s">
        <v>2620</v>
      </c>
      <c r="I1014">
        <v>0</v>
      </c>
      <c r="J1014">
        <v>823</v>
      </c>
      <c r="K1014" t="s">
        <v>56</v>
      </c>
      <c r="L1014" t="s">
        <v>2588</v>
      </c>
    </row>
    <row r="1015" spans="1:12" x14ac:dyDescent="0.25">
      <c r="A1015">
        <v>101567</v>
      </c>
      <c r="B1015" t="s">
        <v>895</v>
      </c>
      <c r="C1015" t="s">
        <v>72</v>
      </c>
      <c r="D1015" t="s">
        <v>1000</v>
      </c>
      <c r="E1015" t="s">
        <v>1503</v>
      </c>
      <c r="F1015" t="s">
        <v>2640</v>
      </c>
      <c r="G1015" t="s">
        <v>81</v>
      </c>
      <c r="H1015" t="s">
        <v>2623</v>
      </c>
      <c r="I1015">
        <v>48</v>
      </c>
      <c r="J1015">
        <v>470</v>
      </c>
      <c r="K1015" t="s">
        <v>45</v>
      </c>
      <c r="L1015" t="s">
        <v>2582</v>
      </c>
    </row>
    <row r="1016" spans="1:12" x14ac:dyDescent="0.25">
      <c r="A1016">
        <v>100567</v>
      </c>
      <c r="B1016" t="s">
        <v>164</v>
      </c>
      <c r="C1016" t="s">
        <v>126</v>
      </c>
      <c r="D1016" t="s">
        <v>419</v>
      </c>
      <c r="E1016" t="s">
        <v>3202</v>
      </c>
      <c r="F1016" t="s">
        <v>2646</v>
      </c>
      <c r="G1016" t="s">
        <v>2580</v>
      </c>
      <c r="H1016" t="s">
        <v>18</v>
      </c>
      <c r="I1016">
        <v>0</v>
      </c>
      <c r="J1016">
        <v>722</v>
      </c>
      <c r="K1016" t="s">
        <v>56</v>
      </c>
      <c r="L1016" t="s">
        <v>20</v>
      </c>
    </row>
    <row r="1017" spans="1:12" x14ac:dyDescent="0.25">
      <c r="A1017">
        <v>100549</v>
      </c>
      <c r="B1017" t="s">
        <v>396</v>
      </c>
      <c r="C1017" t="s">
        <v>103</v>
      </c>
      <c r="D1017" t="s">
        <v>1504</v>
      </c>
      <c r="E1017" t="s">
        <v>1505</v>
      </c>
      <c r="F1017" t="s">
        <v>2646</v>
      </c>
      <c r="G1017" t="s">
        <v>2611</v>
      </c>
      <c r="H1017" t="s">
        <v>2587</v>
      </c>
      <c r="I1017">
        <v>0</v>
      </c>
      <c r="J1017">
        <v>437</v>
      </c>
      <c r="K1017" t="s">
        <v>19</v>
      </c>
      <c r="L1017" t="s">
        <v>2588</v>
      </c>
    </row>
    <row r="1018" spans="1:12" x14ac:dyDescent="0.25">
      <c r="A1018">
        <v>101043</v>
      </c>
      <c r="B1018" t="s">
        <v>34</v>
      </c>
      <c r="C1018" t="s">
        <v>13</v>
      </c>
      <c r="D1018" t="s">
        <v>1506</v>
      </c>
      <c r="E1018" t="s">
        <v>1507</v>
      </c>
      <c r="F1018" t="s">
        <v>41</v>
      </c>
      <c r="G1018" t="s">
        <v>2617</v>
      </c>
      <c r="H1018" t="s">
        <v>2594</v>
      </c>
      <c r="I1018">
        <v>69</v>
      </c>
      <c r="J1018">
        <v>672</v>
      </c>
      <c r="K1018" t="s">
        <v>19</v>
      </c>
      <c r="L1018" t="s">
        <v>20</v>
      </c>
    </row>
    <row r="1019" spans="1:12" x14ac:dyDescent="0.25">
      <c r="A1019">
        <v>101027</v>
      </c>
      <c r="B1019" t="s">
        <v>678</v>
      </c>
      <c r="C1019" t="s">
        <v>270</v>
      </c>
      <c r="D1019" t="s">
        <v>1508</v>
      </c>
      <c r="E1019" t="s">
        <v>1509</v>
      </c>
      <c r="F1019" t="s">
        <v>2640</v>
      </c>
      <c r="G1019" t="s">
        <v>31</v>
      </c>
      <c r="H1019" t="s">
        <v>2597</v>
      </c>
      <c r="I1019">
        <v>13</v>
      </c>
      <c r="J1019">
        <v>883</v>
      </c>
      <c r="K1019" t="s">
        <v>37</v>
      </c>
      <c r="L1019" t="s">
        <v>20</v>
      </c>
    </row>
    <row r="1020" spans="1:12" x14ac:dyDescent="0.25">
      <c r="A1020">
        <v>100424</v>
      </c>
      <c r="B1020" t="s">
        <v>1175</v>
      </c>
      <c r="C1020" t="s">
        <v>142</v>
      </c>
      <c r="D1020" t="s">
        <v>1510</v>
      </c>
      <c r="E1020" t="s">
        <v>3203</v>
      </c>
      <c r="F1020" t="s">
        <v>2641</v>
      </c>
      <c r="G1020" t="s">
        <v>2652</v>
      </c>
      <c r="H1020" t="s">
        <v>83</v>
      </c>
      <c r="I1020">
        <v>0</v>
      </c>
      <c r="J1020">
        <v>573</v>
      </c>
      <c r="K1020" t="s">
        <v>19</v>
      </c>
      <c r="L1020" t="s">
        <v>2588</v>
      </c>
    </row>
    <row r="1021" spans="1:12" x14ac:dyDescent="0.25">
      <c r="A1021">
        <v>102118</v>
      </c>
      <c r="B1021" t="s">
        <v>537</v>
      </c>
      <c r="C1021" t="s">
        <v>2706</v>
      </c>
      <c r="D1021" t="s">
        <v>1511</v>
      </c>
      <c r="E1021" t="s">
        <v>1512</v>
      </c>
      <c r="F1021" t="s">
        <v>2590</v>
      </c>
      <c r="G1021" t="s">
        <v>2614</v>
      </c>
      <c r="H1021" t="s">
        <v>2585</v>
      </c>
      <c r="I1021">
        <v>17</v>
      </c>
      <c r="J1021">
        <v>874</v>
      </c>
      <c r="K1021" t="s">
        <v>56</v>
      </c>
      <c r="L1021" t="s">
        <v>2582</v>
      </c>
    </row>
    <row r="1022" spans="1:12" x14ac:dyDescent="0.25">
      <c r="A1022">
        <v>101788</v>
      </c>
      <c r="B1022" t="s">
        <v>220</v>
      </c>
      <c r="C1022" t="s">
        <v>152</v>
      </c>
      <c r="D1022" t="s">
        <v>283</v>
      </c>
      <c r="E1022" t="s">
        <v>1513</v>
      </c>
      <c r="F1022" t="s">
        <v>2654</v>
      </c>
      <c r="G1022" t="s">
        <v>2633</v>
      </c>
      <c r="H1022" t="s">
        <v>2597</v>
      </c>
      <c r="I1022">
        <v>17</v>
      </c>
      <c r="J1022">
        <v>710</v>
      </c>
      <c r="K1022" t="s">
        <v>56</v>
      </c>
      <c r="L1022" t="s">
        <v>2588</v>
      </c>
    </row>
    <row r="1023" spans="1:12" x14ac:dyDescent="0.25">
      <c r="A1023">
        <v>100101</v>
      </c>
      <c r="B1023" t="s">
        <v>1042</v>
      </c>
      <c r="C1023" t="s">
        <v>58</v>
      </c>
      <c r="D1023" t="s">
        <v>389</v>
      </c>
      <c r="E1023" t="s">
        <v>3204</v>
      </c>
      <c r="F1023" t="s">
        <v>2646</v>
      </c>
      <c r="H1023" t="s">
        <v>2587</v>
      </c>
      <c r="I1023">
        <v>0</v>
      </c>
      <c r="J1023">
        <v>578</v>
      </c>
      <c r="K1023" t="s">
        <v>56</v>
      </c>
      <c r="L1023" t="s">
        <v>26</v>
      </c>
    </row>
    <row r="1024" spans="1:12" x14ac:dyDescent="0.25">
      <c r="A1024">
        <v>100309</v>
      </c>
      <c r="B1024" t="s">
        <v>805</v>
      </c>
      <c r="C1024" t="s">
        <v>62</v>
      </c>
      <c r="D1024" t="s">
        <v>1514</v>
      </c>
      <c r="E1024" t="s">
        <v>1515</v>
      </c>
      <c r="F1024" t="s">
        <v>2579</v>
      </c>
      <c r="G1024" t="s">
        <v>2599</v>
      </c>
      <c r="H1024" t="s">
        <v>2587</v>
      </c>
      <c r="I1024">
        <v>0</v>
      </c>
      <c r="J1024">
        <v>352</v>
      </c>
      <c r="K1024" t="s">
        <v>37</v>
      </c>
      <c r="L1024" t="s">
        <v>2582</v>
      </c>
    </row>
    <row r="1025" spans="1:12" x14ac:dyDescent="0.25">
      <c r="A1025">
        <v>101134</v>
      </c>
      <c r="B1025" t="s">
        <v>390</v>
      </c>
      <c r="C1025" t="s">
        <v>110</v>
      </c>
      <c r="D1025" t="s">
        <v>1516</v>
      </c>
      <c r="E1025" t="s">
        <v>3205</v>
      </c>
      <c r="F1025" t="s">
        <v>2613</v>
      </c>
      <c r="G1025" t="s">
        <v>2602</v>
      </c>
      <c r="H1025" t="s">
        <v>2620</v>
      </c>
      <c r="I1025">
        <v>0</v>
      </c>
      <c r="J1025">
        <v>773</v>
      </c>
      <c r="K1025" t="s">
        <v>45</v>
      </c>
      <c r="L1025" t="s">
        <v>2582</v>
      </c>
    </row>
    <row r="1026" spans="1:12" x14ac:dyDescent="0.25">
      <c r="A1026">
        <v>101564</v>
      </c>
      <c r="B1026" t="s">
        <v>1451</v>
      </c>
      <c r="C1026" t="s">
        <v>52</v>
      </c>
      <c r="D1026" t="s">
        <v>1517</v>
      </c>
      <c r="E1026" t="s">
        <v>3206</v>
      </c>
      <c r="F1026" t="s">
        <v>50</v>
      </c>
      <c r="G1026" t="s">
        <v>2635</v>
      </c>
      <c r="H1026" t="s">
        <v>83</v>
      </c>
      <c r="I1026">
        <v>0</v>
      </c>
      <c r="J1026">
        <v>362</v>
      </c>
      <c r="K1026" t="s">
        <v>56</v>
      </c>
      <c r="L1026" t="s">
        <v>2582</v>
      </c>
    </row>
    <row r="1027" spans="1:12" x14ac:dyDescent="0.25">
      <c r="A1027">
        <v>101411</v>
      </c>
      <c r="B1027" t="s">
        <v>955</v>
      </c>
      <c r="C1027" t="s">
        <v>39</v>
      </c>
      <c r="D1027" t="s">
        <v>727</v>
      </c>
      <c r="E1027" t="s">
        <v>3207</v>
      </c>
      <c r="F1027" t="s">
        <v>2604</v>
      </c>
      <c r="G1027" t="s">
        <v>2609</v>
      </c>
      <c r="H1027" t="s">
        <v>2630</v>
      </c>
      <c r="I1027">
        <v>5</v>
      </c>
      <c r="J1027">
        <v>406</v>
      </c>
      <c r="K1027" t="s">
        <v>45</v>
      </c>
      <c r="L1027" t="s">
        <v>20</v>
      </c>
    </row>
    <row r="1028" spans="1:12" x14ac:dyDescent="0.25">
      <c r="A1028">
        <v>100629</v>
      </c>
      <c r="B1028" t="s">
        <v>340</v>
      </c>
      <c r="C1028" t="s">
        <v>100</v>
      </c>
      <c r="D1028" t="s">
        <v>1518</v>
      </c>
      <c r="E1028" t="s">
        <v>3208</v>
      </c>
      <c r="F1028" t="s">
        <v>30</v>
      </c>
      <c r="G1028" t="s">
        <v>2599</v>
      </c>
      <c r="H1028" t="s">
        <v>18</v>
      </c>
      <c r="I1028">
        <v>0</v>
      </c>
      <c r="J1028">
        <v>705</v>
      </c>
      <c r="K1028" t="s">
        <v>56</v>
      </c>
      <c r="L1028" t="s">
        <v>20</v>
      </c>
    </row>
    <row r="1029" spans="1:12" x14ac:dyDescent="0.25">
      <c r="A1029">
        <v>101890</v>
      </c>
      <c r="B1029" t="s">
        <v>236</v>
      </c>
      <c r="C1029" t="s">
        <v>47</v>
      </c>
      <c r="D1029" t="s">
        <v>1055</v>
      </c>
      <c r="E1029" t="s">
        <v>1519</v>
      </c>
      <c r="F1029" t="s">
        <v>2654</v>
      </c>
      <c r="G1029" t="s">
        <v>2617</v>
      </c>
      <c r="H1029" t="s">
        <v>2620</v>
      </c>
      <c r="I1029">
        <v>0</v>
      </c>
      <c r="J1029">
        <v>797</v>
      </c>
      <c r="K1029" t="s">
        <v>37</v>
      </c>
      <c r="L1029" t="s">
        <v>2582</v>
      </c>
    </row>
    <row r="1030" spans="1:12" x14ac:dyDescent="0.25">
      <c r="A1030">
        <v>101816</v>
      </c>
      <c r="B1030" t="s">
        <v>553</v>
      </c>
      <c r="C1030" t="s">
        <v>72</v>
      </c>
      <c r="D1030" t="s">
        <v>1520</v>
      </c>
      <c r="E1030" t="s">
        <v>3209</v>
      </c>
      <c r="F1030" t="s">
        <v>2640</v>
      </c>
      <c r="G1030" t="s">
        <v>2611</v>
      </c>
      <c r="H1030" t="s">
        <v>2620</v>
      </c>
      <c r="I1030">
        <v>0</v>
      </c>
      <c r="J1030">
        <v>638</v>
      </c>
      <c r="K1030" t="s">
        <v>56</v>
      </c>
      <c r="L1030" t="s">
        <v>26</v>
      </c>
    </row>
    <row r="1031" spans="1:12" x14ac:dyDescent="0.25">
      <c r="A1031">
        <v>102077</v>
      </c>
      <c r="B1031" t="s">
        <v>678</v>
      </c>
      <c r="C1031" t="s">
        <v>270</v>
      </c>
      <c r="D1031" t="s">
        <v>1493</v>
      </c>
      <c r="E1031" t="s">
        <v>3210</v>
      </c>
      <c r="F1031" t="s">
        <v>64</v>
      </c>
      <c r="G1031" t="s">
        <v>2599</v>
      </c>
      <c r="H1031" t="s">
        <v>83</v>
      </c>
      <c r="I1031">
        <v>0</v>
      </c>
      <c r="J1031">
        <v>883</v>
      </c>
      <c r="K1031" t="s">
        <v>56</v>
      </c>
      <c r="L1031" t="s">
        <v>20</v>
      </c>
    </row>
    <row r="1032" spans="1:12" x14ac:dyDescent="0.25">
      <c r="A1032">
        <v>101726</v>
      </c>
      <c r="B1032" t="s">
        <v>460</v>
      </c>
      <c r="C1032" t="s">
        <v>95</v>
      </c>
      <c r="D1032" t="s">
        <v>221</v>
      </c>
      <c r="E1032" t="s">
        <v>1521</v>
      </c>
      <c r="F1032" t="s">
        <v>2593</v>
      </c>
      <c r="G1032" t="s">
        <v>2614</v>
      </c>
      <c r="H1032" t="s">
        <v>2581</v>
      </c>
      <c r="I1032">
        <v>0</v>
      </c>
      <c r="J1032">
        <v>716</v>
      </c>
      <c r="K1032" t="s">
        <v>56</v>
      </c>
    </row>
    <row r="1033" spans="1:12" x14ac:dyDescent="0.25">
      <c r="A1033">
        <v>100935</v>
      </c>
      <c r="B1033" t="s">
        <v>728</v>
      </c>
      <c r="C1033" t="s">
        <v>85</v>
      </c>
      <c r="D1033" t="s">
        <v>1522</v>
      </c>
      <c r="E1033" t="s">
        <v>1523</v>
      </c>
      <c r="F1033" t="s">
        <v>2616</v>
      </c>
      <c r="G1033" t="s">
        <v>2580</v>
      </c>
      <c r="H1033" t="s">
        <v>18</v>
      </c>
      <c r="I1033">
        <v>0</v>
      </c>
      <c r="J1033">
        <v>653</v>
      </c>
      <c r="K1033" t="s">
        <v>56</v>
      </c>
      <c r="L1033" t="s">
        <v>2588</v>
      </c>
    </row>
    <row r="1034" spans="1:12" x14ac:dyDescent="0.25">
      <c r="A1034">
        <v>101658</v>
      </c>
      <c r="B1034" t="s">
        <v>322</v>
      </c>
      <c r="C1034" t="s">
        <v>13</v>
      </c>
      <c r="D1034" t="s">
        <v>1524</v>
      </c>
      <c r="E1034" t="s">
        <v>1525</v>
      </c>
      <c r="F1034" t="s">
        <v>2583</v>
      </c>
      <c r="G1034" t="s">
        <v>2609</v>
      </c>
      <c r="H1034" t="s">
        <v>18</v>
      </c>
      <c r="I1034">
        <v>0</v>
      </c>
      <c r="J1034">
        <v>623</v>
      </c>
      <c r="K1034" t="s">
        <v>32</v>
      </c>
      <c r="L1034" t="s">
        <v>26</v>
      </c>
    </row>
    <row r="1035" spans="1:12" x14ac:dyDescent="0.25">
      <c r="A1035">
        <v>100038</v>
      </c>
      <c r="B1035" t="s">
        <v>141</v>
      </c>
      <c r="C1035" t="s">
        <v>2649</v>
      </c>
      <c r="D1035" t="s">
        <v>314</v>
      </c>
      <c r="E1035" t="s">
        <v>1526</v>
      </c>
      <c r="F1035" t="s">
        <v>2613</v>
      </c>
      <c r="G1035" t="s">
        <v>2584</v>
      </c>
      <c r="H1035" t="s">
        <v>2644</v>
      </c>
      <c r="I1035">
        <v>0</v>
      </c>
      <c r="J1035">
        <v>430</v>
      </c>
      <c r="K1035" t="s">
        <v>32</v>
      </c>
      <c r="L1035" t="s">
        <v>26</v>
      </c>
    </row>
    <row r="1036" spans="1:12" x14ac:dyDescent="0.25">
      <c r="A1036">
        <v>101701</v>
      </c>
      <c r="B1036" t="s">
        <v>460</v>
      </c>
      <c r="C1036" t="s">
        <v>95</v>
      </c>
      <c r="D1036" t="s">
        <v>1527</v>
      </c>
      <c r="E1036" t="s">
        <v>3211</v>
      </c>
      <c r="F1036" t="s">
        <v>2646</v>
      </c>
      <c r="G1036" t="s">
        <v>2591</v>
      </c>
      <c r="H1036" t="s">
        <v>18</v>
      </c>
      <c r="I1036">
        <v>0</v>
      </c>
      <c r="J1036">
        <v>716</v>
      </c>
      <c r="K1036" t="s">
        <v>56</v>
      </c>
      <c r="L1036" t="s">
        <v>2588</v>
      </c>
    </row>
    <row r="1037" spans="1:12" x14ac:dyDescent="0.25">
      <c r="A1037">
        <v>100666</v>
      </c>
      <c r="B1037" t="s">
        <v>186</v>
      </c>
      <c r="C1037" t="s">
        <v>187</v>
      </c>
      <c r="D1037" t="s">
        <v>1528</v>
      </c>
      <c r="E1037" t="s">
        <v>3212</v>
      </c>
      <c r="F1037" t="s">
        <v>41</v>
      </c>
      <c r="G1037" t="s">
        <v>2609</v>
      </c>
      <c r="H1037" t="s">
        <v>18</v>
      </c>
      <c r="I1037">
        <v>0</v>
      </c>
      <c r="J1037">
        <v>709</v>
      </c>
      <c r="K1037" t="s">
        <v>19</v>
      </c>
      <c r="L1037" t="s">
        <v>2588</v>
      </c>
    </row>
    <row r="1038" spans="1:12" x14ac:dyDescent="0.25">
      <c r="A1038">
        <v>101437</v>
      </c>
      <c r="B1038" t="s">
        <v>607</v>
      </c>
      <c r="C1038" t="s">
        <v>2664</v>
      </c>
      <c r="D1038" t="s">
        <v>1294</v>
      </c>
      <c r="E1038" t="s">
        <v>3213</v>
      </c>
      <c r="F1038" t="s">
        <v>2598</v>
      </c>
      <c r="G1038" t="s">
        <v>2580</v>
      </c>
      <c r="H1038" t="s">
        <v>2581</v>
      </c>
      <c r="I1038">
        <v>0</v>
      </c>
      <c r="J1038">
        <v>458</v>
      </c>
      <c r="K1038" t="s">
        <v>37</v>
      </c>
      <c r="L1038" t="s">
        <v>26</v>
      </c>
    </row>
    <row r="1039" spans="1:12" x14ac:dyDescent="0.25">
      <c r="A1039">
        <v>100129</v>
      </c>
      <c r="B1039" t="s">
        <v>1053</v>
      </c>
      <c r="C1039" t="s">
        <v>47</v>
      </c>
      <c r="D1039" t="s">
        <v>1529</v>
      </c>
      <c r="E1039" t="s">
        <v>1530</v>
      </c>
      <c r="F1039" t="s">
        <v>2654</v>
      </c>
      <c r="G1039" t="s">
        <v>31</v>
      </c>
      <c r="H1039" t="s">
        <v>2587</v>
      </c>
      <c r="I1039">
        <v>0</v>
      </c>
      <c r="J1039">
        <v>864</v>
      </c>
      <c r="K1039" t="s">
        <v>56</v>
      </c>
      <c r="L1039" t="s">
        <v>20</v>
      </c>
    </row>
    <row r="1040" spans="1:12" x14ac:dyDescent="0.25">
      <c r="A1040">
        <v>101968</v>
      </c>
      <c r="B1040" t="s">
        <v>376</v>
      </c>
      <c r="C1040" t="s">
        <v>22</v>
      </c>
      <c r="D1040" t="s">
        <v>914</v>
      </c>
      <c r="E1040" t="s">
        <v>3214</v>
      </c>
      <c r="F1040" t="s">
        <v>2604</v>
      </c>
      <c r="G1040" t="s">
        <v>2599</v>
      </c>
      <c r="H1040" t="s">
        <v>2587</v>
      </c>
      <c r="I1040">
        <v>0</v>
      </c>
      <c r="J1040">
        <v>340</v>
      </c>
      <c r="K1040" t="s">
        <v>32</v>
      </c>
      <c r="L1040" t="s">
        <v>2588</v>
      </c>
    </row>
    <row r="1041" spans="1:12" x14ac:dyDescent="0.25">
      <c r="A1041">
        <v>101181</v>
      </c>
      <c r="B1041" t="s">
        <v>734</v>
      </c>
      <c r="C1041" t="s">
        <v>218</v>
      </c>
      <c r="D1041" t="s">
        <v>1531</v>
      </c>
      <c r="E1041" t="s">
        <v>1532</v>
      </c>
      <c r="F1041" t="s">
        <v>2641</v>
      </c>
      <c r="H1041" t="s">
        <v>2587</v>
      </c>
      <c r="I1041">
        <v>0</v>
      </c>
      <c r="J1041">
        <v>865</v>
      </c>
      <c r="K1041" t="s">
        <v>32</v>
      </c>
      <c r="L1041" t="s">
        <v>20</v>
      </c>
    </row>
    <row r="1042" spans="1:12" x14ac:dyDescent="0.25">
      <c r="A1042">
        <v>102095</v>
      </c>
      <c r="B1042" t="s">
        <v>493</v>
      </c>
      <c r="C1042" t="s">
        <v>152</v>
      </c>
      <c r="D1042" t="s">
        <v>1533</v>
      </c>
      <c r="E1042" t="s">
        <v>1534</v>
      </c>
      <c r="F1042" t="s">
        <v>2613</v>
      </c>
      <c r="G1042" t="s">
        <v>2602</v>
      </c>
      <c r="H1042" t="s">
        <v>2587</v>
      </c>
      <c r="I1042">
        <v>0</v>
      </c>
      <c r="J1042">
        <v>737</v>
      </c>
      <c r="K1042" t="s">
        <v>56</v>
      </c>
      <c r="L1042" t="s">
        <v>2588</v>
      </c>
    </row>
    <row r="1043" spans="1:12" x14ac:dyDescent="0.25">
      <c r="A1043">
        <v>102090</v>
      </c>
      <c r="B1043" t="s">
        <v>1535</v>
      </c>
      <c r="C1043" t="s">
        <v>122</v>
      </c>
      <c r="D1043" t="s">
        <v>1536</v>
      </c>
      <c r="E1043" t="s">
        <v>1537</v>
      </c>
      <c r="F1043" t="s">
        <v>2654</v>
      </c>
      <c r="G1043" t="s">
        <v>2617</v>
      </c>
      <c r="H1043" t="s">
        <v>25</v>
      </c>
      <c r="I1043">
        <v>7</v>
      </c>
      <c r="J1043">
        <v>873</v>
      </c>
      <c r="K1043" t="s">
        <v>19</v>
      </c>
    </row>
    <row r="1044" spans="1:12" x14ac:dyDescent="0.25">
      <c r="A1044">
        <v>101104</v>
      </c>
      <c r="B1044" t="s">
        <v>489</v>
      </c>
      <c r="C1044" t="s">
        <v>126</v>
      </c>
      <c r="D1044" t="s">
        <v>1538</v>
      </c>
      <c r="E1044" t="s">
        <v>3215</v>
      </c>
      <c r="F1044" t="s">
        <v>50</v>
      </c>
      <c r="G1044" t="s">
        <v>2607</v>
      </c>
      <c r="H1044" t="s">
        <v>2581</v>
      </c>
      <c r="I1044">
        <v>0</v>
      </c>
      <c r="J1044">
        <v>843</v>
      </c>
      <c r="K1044" t="s">
        <v>56</v>
      </c>
      <c r="L1044" t="s">
        <v>2588</v>
      </c>
    </row>
    <row r="1045" spans="1:12" x14ac:dyDescent="0.25">
      <c r="A1045">
        <v>100690</v>
      </c>
      <c r="B1045" t="s">
        <v>202</v>
      </c>
      <c r="D1045" t="s">
        <v>1539</v>
      </c>
      <c r="E1045" t="s">
        <v>3216</v>
      </c>
      <c r="F1045" t="s">
        <v>2646</v>
      </c>
      <c r="G1045" t="s">
        <v>81</v>
      </c>
      <c r="H1045" t="s">
        <v>2587</v>
      </c>
      <c r="I1045">
        <v>0</v>
      </c>
      <c r="J1045">
        <v>570</v>
      </c>
      <c r="K1045" t="s">
        <v>19</v>
      </c>
      <c r="L1045" t="s">
        <v>20</v>
      </c>
    </row>
    <row r="1046" spans="1:12" x14ac:dyDescent="0.25">
      <c r="A1046">
        <v>100448</v>
      </c>
      <c r="B1046" t="s">
        <v>470</v>
      </c>
      <c r="C1046" t="s">
        <v>187</v>
      </c>
      <c r="D1046" t="s">
        <v>248</v>
      </c>
      <c r="E1046" t="s">
        <v>471</v>
      </c>
      <c r="F1046" t="s">
        <v>2598</v>
      </c>
      <c r="G1046" t="s">
        <v>2591</v>
      </c>
      <c r="H1046" t="s">
        <v>2585</v>
      </c>
      <c r="I1046">
        <v>26</v>
      </c>
      <c r="J1046">
        <v>820</v>
      </c>
      <c r="K1046" t="s">
        <v>45</v>
      </c>
      <c r="L1046" t="s">
        <v>20</v>
      </c>
    </row>
    <row r="1047" spans="1:12" x14ac:dyDescent="0.25">
      <c r="A1047">
        <v>101717</v>
      </c>
      <c r="B1047" t="s">
        <v>109</v>
      </c>
      <c r="C1047" t="s">
        <v>110</v>
      </c>
      <c r="D1047" t="s">
        <v>1540</v>
      </c>
      <c r="E1047" t="s">
        <v>3217</v>
      </c>
      <c r="F1047" t="s">
        <v>2613</v>
      </c>
      <c r="G1047" t="s">
        <v>2611</v>
      </c>
      <c r="H1047" t="s">
        <v>2620</v>
      </c>
      <c r="I1047">
        <v>0</v>
      </c>
      <c r="J1047">
        <v>591</v>
      </c>
      <c r="K1047" t="s">
        <v>37</v>
      </c>
      <c r="L1047" t="s">
        <v>2582</v>
      </c>
    </row>
    <row r="1048" spans="1:12" x14ac:dyDescent="0.25">
      <c r="A1048">
        <v>100637</v>
      </c>
      <c r="B1048" t="s">
        <v>446</v>
      </c>
      <c r="C1048" t="s">
        <v>168</v>
      </c>
      <c r="D1048" t="s">
        <v>1541</v>
      </c>
      <c r="E1048" t="s">
        <v>3218</v>
      </c>
      <c r="F1048" t="s">
        <v>2613</v>
      </c>
      <c r="G1048" t="s">
        <v>2652</v>
      </c>
      <c r="H1048" t="s">
        <v>2597</v>
      </c>
      <c r="I1048">
        <v>18</v>
      </c>
      <c r="J1048">
        <v>515</v>
      </c>
      <c r="K1048" t="s">
        <v>32</v>
      </c>
      <c r="L1048" t="s">
        <v>26</v>
      </c>
    </row>
    <row r="1049" spans="1:12" x14ac:dyDescent="0.25">
      <c r="A1049">
        <v>100356</v>
      </c>
      <c r="B1049" t="s">
        <v>382</v>
      </c>
      <c r="C1049" t="s">
        <v>152</v>
      </c>
      <c r="D1049" t="s">
        <v>1139</v>
      </c>
      <c r="E1049" t="s">
        <v>3219</v>
      </c>
      <c r="F1049" t="s">
        <v>2627</v>
      </c>
      <c r="G1049" t="s">
        <v>2658</v>
      </c>
      <c r="H1049" t="s">
        <v>2618</v>
      </c>
      <c r="I1049">
        <v>0</v>
      </c>
      <c r="J1049">
        <v>797</v>
      </c>
      <c r="L1049" t="s">
        <v>20</v>
      </c>
    </row>
    <row r="1050" spans="1:12" x14ac:dyDescent="0.25">
      <c r="A1050">
        <v>100057</v>
      </c>
      <c r="B1050" t="s">
        <v>38</v>
      </c>
      <c r="C1050" t="s">
        <v>39</v>
      </c>
      <c r="D1050" t="s">
        <v>1487</v>
      </c>
      <c r="E1050" t="s">
        <v>3220</v>
      </c>
      <c r="F1050" t="s">
        <v>2583</v>
      </c>
      <c r="G1050" t="s">
        <v>2611</v>
      </c>
      <c r="H1050" t="s">
        <v>2594</v>
      </c>
      <c r="I1050">
        <v>142</v>
      </c>
      <c r="J1050">
        <v>533</v>
      </c>
      <c r="K1050" t="s">
        <v>19</v>
      </c>
      <c r="L1050" t="s">
        <v>20</v>
      </c>
    </row>
    <row r="1051" spans="1:12" x14ac:dyDescent="0.25">
      <c r="A1051">
        <v>102063</v>
      </c>
      <c r="B1051" t="s">
        <v>953</v>
      </c>
      <c r="C1051" t="s">
        <v>270</v>
      </c>
      <c r="D1051" t="s">
        <v>1542</v>
      </c>
      <c r="E1051" t="s">
        <v>3221</v>
      </c>
      <c r="F1051" t="s">
        <v>2604</v>
      </c>
      <c r="G1051" t="s">
        <v>2614</v>
      </c>
      <c r="H1051" t="s">
        <v>2597</v>
      </c>
      <c r="I1051">
        <v>19</v>
      </c>
      <c r="J1051">
        <v>759</v>
      </c>
      <c r="K1051" t="s">
        <v>56</v>
      </c>
      <c r="L1051" t="s">
        <v>20</v>
      </c>
    </row>
    <row r="1052" spans="1:12" x14ac:dyDescent="0.25">
      <c r="A1052">
        <v>100856</v>
      </c>
      <c r="B1052" t="s">
        <v>222</v>
      </c>
      <c r="C1052" t="s">
        <v>100</v>
      </c>
      <c r="D1052" t="s">
        <v>632</v>
      </c>
      <c r="E1052" t="s">
        <v>3222</v>
      </c>
      <c r="F1052" t="s">
        <v>2629</v>
      </c>
      <c r="G1052" t="s">
        <v>2614</v>
      </c>
      <c r="H1052" t="s">
        <v>2587</v>
      </c>
      <c r="I1052">
        <v>0</v>
      </c>
      <c r="J1052">
        <v>585</v>
      </c>
      <c r="K1052" t="s">
        <v>45</v>
      </c>
      <c r="L1052" t="s">
        <v>26</v>
      </c>
    </row>
    <row r="1053" spans="1:12" x14ac:dyDescent="0.25">
      <c r="A1053">
        <v>100932</v>
      </c>
      <c r="B1053" t="s">
        <v>616</v>
      </c>
      <c r="C1053" t="s">
        <v>95</v>
      </c>
      <c r="D1053" t="s">
        <v>1543</v>
      </c>
      <c r="E1053" t="s">
        <v>3223</v>
      </c>
      <c r="F1053" t="s">
        <v>2616</v>
      </c>
      <c r="G1053" t="s">
        <v>2607</v>
      </c>
      <c r="H1053" t="s">
        <v>2597</v>
      </c>
      <c r="I1053">
        <v>29</v>
      </c>
      <c r="J1053">
        <v>898</v>
      </c>
      <c r="K1053" t="s">
        <v>19</v>
      </c>
    </row>
    <row r="1054" spans="1:12" x14ac:dyDescent="0.25">
      <c r="A1054">
        <v>101724</v>
      </c>
      <c r="B1054" t="s">
        <v>84</v>
      </c>
      <c r="C1054" t="s">
        <v>85</v>
      </c>
      <c r="D1054" t="s">
        <v>1544</v>
      </c>
      <c r="E1054" t="s">
        <v>1545</v>
      </c>
      <c r="F1054" t="s">
        <v>2616</v>
      </c>
      <c r="G1054" t="s">
        <v>2600</v>
      </c>
      <c r="H1054" t="s">
        <v>2581</v>
      </c>
      <c r="I1054">
        <v>0</v>
      </c>
      <c r="J1054">
        <v>400</v>
      </c>
      <c r="L1054" t="s">
        <v>26</v>
      </c>
    </row>
    <row r="1055" spans="1:12" x14ac:dyDescent="0.25">
      <c r="A1055">
        <v>101986</v>
      </c>
      <c r="B1055" t="s">
        <v>347</v>
      </c>
      <c r="C1055" t="s">
        <v>95</v>
      </c>
      <c r="D1055" t="s">
        <v>153</v>
      </c>
      <c r="E1055" t="s">
        <v>3224</v>
      </c>
      <c r="F1055" t="s">
        <v>2593</v>
      </c>
      <c r="G1055" t="s">
        <v>2599</v>
      </c>
      <c r="H1055" t="s">
        <v>2630</v>
      </c>
      <c r="I1055">
        <v>11</v>
      </c>
      <c r="J1055">
        <v>699</v>
      </c>
      <c r="K1055" t="s">
        <v>37</v>
      </c>
      <c r="L1055" t="s">
        <v>20</v>
      </c>
    </row>
    <row r="1056" spans="1:12" x14ac:dyDescent="0.25">
      <c r="A1056">
        <v>100530</v>
      </c>
      <c r="B1056" t="s">
        <v>936</v>
      </c>
      <c r="C1056" t="s">
        <v>110</v>
      </c>
      <c r="D1056" t="s">
        <v>1546</v>
      </c>
      <c r="E1056" t="s">
        <v>3225</v>
      </c>
      <c r="F1056" t="s">
        <v>2604</v>
      </c>
      <c r="G1056" t="s">
        <v>2600</v>
      </c>
      <c r="H1056" t="s">
        <v>2597</v>
      </c>
      <c r="I1056">
        <v>29</v>
      </c>
      <c r="J1056">
        <v>508</v>
      </c>
      <c r="K1056" t="s">
        <v>56</v>
      </c>
      <c r="L1056" t="s">
        <v>2582</v>
      </c>
    </row>
    <row r="1057" spans="1:12" x14ac:dyDescent="0.25">
      <c r="A1057">
        <v>100747</v>
      </c>
      <c r="B1057" t="s">
        <v>1042</v>
      </c>
      <c r="C1057" t="s">
        <v>58</v>
      </c>
      <c r="D1057" t="s">
        <v>1391</v>
      </c>
      <c r="E1057" t="s">
        <v>1392</v>
      </c>
      <c r="F1057" t="s">
        <v>2629</v>
      </c>
      <c r="G1057" t="s">
        <v>2602</v>
      </c>
      <c r="H1057" t="s">
        <v>2587</v>
      </c>
      <c r="I1057">
        <v>0</v>
      </c>
      <c r="J1057">
        <v>578</v>
      </c>
      <c r="K1057" t="s">
        <v>56</v>
      </c>
    </row>
    <row r="1058" spans="1:12" x14ac:dyDescent="0.25">
      <c r="A1058">
        <v>100032</v>
      </c>
      <c r="B1058" t="s">
        <v>215</v>
      </c>
      <c r="C1058" t="s">
        <v>126</v>
      </c>
      <c r="D1058" t="s">
        <v>1547</v>
      </c>
      <c r="E1058" t="s">
        <v>1548</v>
      </c>
      <c r="F1058" t="s">
        <v>2654</v>
      </c>
      <c r="G1058" t="s">
        <v>2607</v>
      </c>
      <c r="H1058" t="s">
        <v>18</v>
      </c>
      <c r="I1058">
        <v>0</v>
      </c>
      <c r="J1058">
        <v>395</v>
      </c>
      <c r="L1058" t="s">
        <v>26</v>
      </c>
    </row>
    <row r="1059" spans="1:12" x14ac:dyDescent="0.25">
      <c r="A1059">
        <v>102078</v>
      </c>
      <c r="B1059" t="s">
        <v>396</v>
      </c>
      <c r="C1059" t="s">
        <v>103</v>
      </c>
      <c r="D1059" t="s">
        <v>1379</v>
      </c>
      <c r="E1059" t="s">
        <v>3226</v>
      </c>
      <c r="F1059" t="s">
        <v>2598</v>
      </c>
      <c r="G1059" t="s">
        <v>2625</v>
      </c>
      <c r="H1059" t="s">
        <v>2620</v>
      </c>
      <c r="I1059">
        <v>0</v>
      </c>
      <c r="J1059">
        <v>437</v>
      </c>
      <c r="K1059" t="s">
        <v>32</v>
      </c>
      <c r="L1059" t="s">
        <v>20</v>
      </c>
    </row>
    <row r="1060" spans="1:12" x14ac:dyDescent="0.25">
      <c r="A1060">
        <v>101203</v>
      </c>
      <c r="B1060" t="s">
        <v>506</v>
      </c>
      <c r="C1060" t="s">
        <v>58</v>
      </c>
      <c r="D1060" t="s">
        <v>1438</v>
      </c>
      <c r="E1060" t="s">
        <v>3227</v>
      </c>
      <c r="F1060" t="s">
        <v>64</v>
      </c>
      <c r="H1060" t="s">
        <v>2623</v>
      </c>
      <c r="I1060">
        <v>179</v>
      </c>
      <c r="J1060">
        <v>394</v>
      </c>
      <c r="K1060" t="s">
        <v>56</v>
      </c>
      <c r="L1060" t="s">
        <v>2588</v>
      </c>
    </row>
    <row r="1061" spans="1:12" x14ac:dyDescent="0.25">
      <c r="A1061">
        <v>101194</v>
      </c>
      <c r="B1061" t="s">
        <v>282</v>
      </c>
      <c r="C1061" t="s">
        <v>152</v>
      </c>
      <c r="D1061" t="s">
        <v>1549</v>
      </c>
      <c r="E1061" t="s">
        <v>3228</v>
      </c>
      <c r="F1061" t="s">
        <v>2593</v>
      </c>
      <c r="G1061" t="s">
        <v>2617</v>
      </c>
      <c r="H1061" t="s">
        <v>2594</v>
      </c>
      <c r="I1061">
        <v>117</v>
      </c>
      <c r="J1061">
        <v>301</v>
      </c>
      <c r="K1061" t="s">
        <v>37</v>
      </c>
      <c r="L1061" t="s">
        <v>26</v>
      </c>
    </row>
    <row r="1062" spans="1:12" x14ac:dyDescent="0.25">
      <c r="A1062">
        <v>100838</v>
      </c>
      <c r="B1062" t="s">
        <v>392</v>
      </c>
      <c r="C1062" t="s">
        <v>2621</v>
      </c>
      <c r="D1062" t="s">
        <v>1550</v>
      </c>
      <c r="E1062" t="s">
        <v>3229</v>
      </c>
      <c r="F1062" t="s">
        <v>2629</v>
      </c>
      <c r="G1062" t="s">
        <v>2617</v>
      </c>
      <c r="H1062" t="s">
        <v>2581</v>
      </c>
      <c r="I1062">
        <v>0</v>
      </c>
      <c r="J1062">
        <v>433</v>
      </c>
      <c r="K1062" t="s">
        <v>19</v>
      </c>
      <c r="L1062" t="s">
        <v>2582</v>
      </c>
    </row>
    <row r="1063" spans="1:12" x14ac:dyDescent="0.25">
      <c r="A1063">
        <v>100810</v>
      </c>
      <c r="B1063" t="s">
        <v>402</v>
      </c>
      <c r="C1063" t="s">
        <v>2743</v>
      </c>
      <c r="D1063" t="s">
        <v>161</v>
      </c>
      <c r="E1063" t="s">
        <v>3230</v>
      </c>
      <c r="F1063" t="s">
        <v>2627</v>
      </c>
      <c r="G1063" t="s">
        <v>81</v>
      </c>
      <c r="H1063" t="s">
        <v>2618</v>
      </c>
      <c r="I1063">
        <v>0</v>
      </c>
      <c r="J1063">
        <v>355</v>
      </c>
      <c r="L1063" t="s">
        <v>20</v>
      </c>
    </row>
    <row r="1064" spans="1:12" x14ac:dyDescent="0.25">
      <c r="A1064">
        <v>100595</v>
      </c>
      <c r="B1064" t="s">
        <v>294</v>
      </c>
      <c r="C1064" t="s">
        <v>100</v>
      </c>
      <c r="D1064" t="s">
        <v>1551</v>
      </c>
      <c r="E1064" t="s">
        <v>2904</v>
      </c>
      <c r="F1064" t="s">
        <v>2654</v>
      </c>
      <c r="G1064" t="s">
        <v>81</v>
      </c>
      <c r="H1064" t="s">
        <v>2620</v>
      </c>
      <c r="I1064">
        <v>0</v>
      </c>
      <c r="J1064">
        <v>377</v>
      </c>
      <c r="K1064" t="s">
        <v>45</v>
      </c>
      <c r="L1064" t="s">
        <v>26</v>
      </c>
    </row>
    <row r="1065" spans="1:12" x14ac:dyDescent="0.25">
      <c r="A1065">
        <v>102132</v>
      </c>
      <c r="B1065" t="s">
        <v>160</v>
      </c>
      <c r="C1065" t="s">
        <v>72</v>
      </c>
      <c r="D1065" t="s">
        <v>337</v>
      </c>
      <c r="E1065" t="s">
        <v>3231</v>
      </c>
      <c r="F1065" t="s">
        <v>2648</v>
      </c>
      <c r="G1065" t="s">
        <v>2611</v>
      </c>
      <c r="H1065" t="s">
        <v>2585</v>
      </c>
      <c r="I1065">
        <v>5</v>
      </c>
      <c r="J1065">
        <v>585</v>
      </c>
      <c r="K1065" t="s">
        <v>32</v>
      </c>
      <c r="L1065" t="s">
        <v>20</v>
      </c>
    </row>
    <row r="1066" spans="1:12" x14ac:dyDescent="0.25">
      <c r="A1066">
        <v>102028</v>
      </c>
      <c r="B1066" t="s">
        <v>409</v>
      </c>
      <c r="C1066" t="s">
        <v>187</v>
      </c>
      <c r="D1066" t="s">
        <v>1552</v>
      </c>
      <c r="E1066" t="s">
        <v>1553</v>
      </c>
      <c r="F1066" t="s">
        <v>2648</v>
      </c>
      <c r="G1066" t="s">
        <v>2631</v>
      </c>
      <c r="H1066" t="s">
        <v>18</v>
      </c>
      <c r="I1066">
        <v>0</v>
      </c>
      <c r="J1066">
        <v>694</v>
      </c>
      <c r="K1066" t="s">
        <v>19</v>
      </c>
      <c r="L1066" t="s">
        <v>20</v>
      </c>
    </row>
    <row r="1067" spans="1:12" x14ac:dyDescent="0.25">
      <c r="A1067">
        <v>100580</v>
      </c>
      <c r="B1067" t="s">
        <v>241</v>
      </c>
      <c r="C1067" t="s">
        <v>58</v>
      </c>
      <c r="D1067" t="s">
        <v>1178</v>
      </c>
      <c r="E1067" t="s">
        <v>1193</v>
      </c>
      <c r="F1067" t="s">
        <v>2583</v>
      </c>
      <c r="G1067" t="s">
        <v>2658</v>
      </c>
      <c r="H1067" t="s">
        <v>2620</v>
      </c>
      <c r="I1067">
        <v>0</v>
      </c>
      <c r="J1067">
        <v>468</v>
      </c>
      <c r="K1067" t="s">
        <v>32</v>
      </c>
      <c r="L1067" t="s">
        <v>2582</v>
      </c>
    </row>
    <row r="1068" spans="1:12" x14ac:dyDescent="0.25">
      <c r="A1068">
        <v>101703</v>
      </c>
      <c r="B1068" t="s">
        <v>1554</v>
      </c>
      <c r="C1068" t="s">
        <v>28</v>
      </c>
      <c r="D1068" t="s">
        <v>82</v>
      </c>
      <c r="E1068" t="s">
        <v>3232</v>
      </c>
      <c r="F1068" t="s">
        <v>2613</v>
      </c>
      <c r="G1068" t="s">
        <v>2652</v>
      </c>
      <c r="H1068" t="s">
        <v>2620</v>
      </c>
      <c r="I1068">
        <v>0</v>
      </c>
      <c r="J1068">
        <v>571</v>
      </c>
      <c r="K1068" t="s">
        <v>45</v>
      </c>
      <c r="L1068" t="s">
        <v>2588</v>
      </c>
    </row>
    <row r="1069" spans="1:12" x14ac:dyDescent="0.25">
      <c r="A1069">
        <v>101713</v>
      </c>
      <c r="B1069" t="s">
        <v>102</v>
      </c>
      <c r="C1069" t="s">
        <v>103</v>
      </c>
      <c r="D1069" t="s">
        <v>1555</v>
      </c>
      <c r="E1069" t="s">
        <v>1556</v>
      </c>
      <c r="F1069" t="s">
        <v>2646</v>
      </c>
      <c r="G1069" t="s">
        <v>2625</v>
      </c>
      <c r="H1069" t="s">
        <v>2623</v>
      </c>
      <c r="I1069">
        <v>46</v>
      </c>
      <c r="J1069">
        <v>733</v>
      </c>
      <c r="K1069" t="s">
        <v>37</v>
      </c>
      <c r="L1069" t="s">
        <v>20</v>
      </c>
    </row>
    <row r="1070" spans="1:12" x14ac:dyDescent="0.25">
      <c r="A1070">
        <v>100486</v>
      </c>
      <c r="B1070" t="s">
        <v>703</v>
      </c>
      <c r="C1070" t="s">
        <v>52</v>
      </c>
      <c r="D1070" t="s">
        <v>1557</v>
      </c>
      <c r="E1070" t="s">
        <v>3233</v>
      </c>
      <c r="F1070" t="s">
        <v>2646</v>
      </c>
      <c r="G1070" t="s">
        <v>2617</v>
      </c>
      <c r="H1070" t="s">
        <v>2587</v>
      </c>
      <c r="I1070">
        <v>0</v>
      </c>
      <c r="J1070">
        <v>609</v>
      </c>
      <c r="K1070" t="s">
        <v>45</v>
      </c>
      <c r="L1070" t="s">
        <v>26</v>
      </c>
    </row>
    <row r="1071" spans="1:12" x14ac:dyDescent="0.25">
      <c r="A1071">
        <v>100829</v>
      </c>
      <c r="B1071" t="s">
        <v>262</v>
      </c>
      <c r="C1071" t="s">
        <v>134</v>
      </c>
      <c r="D1071" t="s">
        <v>1558</v>
      </c>
      <c r="E1071" t="s">
        <v>1559</v>
      </c>
      <c r="F1071" t="s">
        <v>2604</v>
      </c>
      <c r="G1071" t="s">
        <v>2602</v>
      </c>
      <c r="H1071" t="s">
        <v>2618</v>
      </c>
      <c r="I1071">
        <v>0</v>
      </c>
      <c r="J1071">
        <v>399</v>
      </c>
      <c r="K1071" t="s">
        <v>32</v>
      </c>
      <c r="L1071" t="s">
        <v>26</v>
      </c>
    </row>
    <row r="1072" spans="1:12" x14ac:dyDescent="0.25">
      <c r="A1072">
        <v>101377</v>
      </c>
      <c r="B1072" t="s">
        <v>908</v>
      </c>
      <c r="C1072" t="s">
        <v>110</v>
      </c>
      <c r="D1072" t="s">
        <v>1560</v>
      </c>
      <c r="E1072" t="s">
        <v>1561</v>
      </c>
      <c r="F1072" t="s">
        <v>2613</v>
      </c>
      <c r="G1072" t="s">
        <v>2682</v>
      </c>
      <c r="H1072" t="s">
        <v>25</v>
      </c>
      <c r="I1072">
        <v>20</v>
      </c>
      <c r="J1072">
        <v>550</v>
      </c>
      <c r="K1072" t="s">
        <v>19</v>
      </c>
      <c r="L1072" t="s">
        <v>2582</v>
      </c>
    </row>
    <row r="1073" spans="1:12" x14ac:dyDescent="0.25">
      <c r="A1073">
        <v>101494</v>
      </c>
      <c r="B1073" t="s">
        <v>1155</v>
      </c>
      <c r="C1073" t="s">
        <v>218</v>
      </c>
      <c r="D1073" t="s">
        <v>1562</v>
      </c>
      <c r="E1073" t="s">
        <v>3234</v>
      </c>
      <c r="F1073" t="s">
        <v>2643</v>
      </c>
      <c r="G1073" t="s">
        <v>2614</v>
      </c>
      <c r="H1073" t="s">
        <v>2581</v>
      </c>
      <c r="I1073">
        <v>0</v>
      </c>
      <c r="J1073">
        <v>557</v>
      </c>
      <c r="K1073" t="s">
        <v>56</v>
      </c>
      <c r="L1073" t="s">
        <v>2588</v>
      </c>
    </row>
    <row r="1074" spans="1:12" x14ac:dyDescent="0.25">
      <c r="A1074">
        <v>101683</v>
      </c>
      <c r="B1074" t="s">
        <v>27</v>
      </c>
      <c r="C1074" t="s">
        <v>28</v>
      </c>
      <c r="D1074" t="s">
        <v>1039</v>
      </c>
      <c r="E1074" t="s">
        <v>1563</v>
      </c>
      <c r="F1074" t="s">
        <v>2646</v>
      </c>
      <c r="G1074" t="s">
        <v>2658</v>
      </c>
      <c r="H1074" t="s">
        <v>2585</v>
      </c>
      <c r="I1074">
        <v>11</v>
      </c>
      <c r="J1074">
        <v>849</v>
      </c>
      <c r="K1074" t="s">
        <v>56</v>
      </c>
      <c r="L1074" t="s">
        <v>26</v>
      </c>
    </row>
    <row r="1075" spans="1:12" x14ac:dyDescent="0.25">
      <c r="A1075">
        <v>101879</v>
      </c>
      <c r="B1075" t="s">
        <v>506</v>
      </c>
      <c r="C1075" t="s">
        <v>58</v>
      </c>
      <c r="D1075" t="s">
        <v>1311</v>
      </c>
      <c r="E1075" t="s">
        <v>3235</v>
      </c>
      <c r="F1075" t="s">
        <v>30</v>
      </c>
      <c r="G1075" t="s">
        <v>2584</v>
      </c>
      <c r="H1075" t="s">
        <v>2644</v>
      </c>
      <c r="I1075">
        <v>0</v>
      </c>
      <c r="J1075">
        <v>394</v>
      </c>
      <c r="K1075" t="s">
        <v>32</v>
      </c>
      <c r="L1075" t="s">
        <v>20</v>
      </c>
    </row>
    <row r="1076" spans="1:12" x14ac:dyDescent="0.25">
      <c r="A1076">
        <v>101844</v>
      </c>
      <c r="B1076" t="s">
        <v>955</v>
      </c>
      <c r="C1076" t="s">
        <v>39</v>
      </c>
      <c r="D1076" t="s">
        <v>1564</v>
      </c>
      <c r="E1076" t="s">
        <v>1565</v>
      </c>
      <c r="F1076" t="s">
        <v>2616</v>
      </c>
      <c r="G1076" t="s">
        <v>2652</v>
      </c>
      <c r="H1076" t="s">
        <v>18</v>
      </c>
      <c r="I1076">
        <v>0</v>
      </c>
      <c r="J1076">
        <v>406</v>
      </c>
      <c r="K1076" t="s">
        <v>19</v>
      </c>
      <c r="L1076" t="s">
        <v>2582</v>
      </c>
    </row>
    <row r="1077" spans="1:12" x14ac:dyDescent="0.25">
      <c r="A1077">
        <v>101318</v>
      </c>
      <c r="B1077" t="s">
        <v>1259</v>
      </c>
      <c r="D1077" t="s">
        <v>1566</v>
      </c>
      <c r="E1077" t="s">
        <v>1567</v>
      </c>
      <c r="F1077" t="s">
        <v>2579</v>
      </c>
      <c r="G1077" t="s">
        <v>2600</v>
      </c>
      <c r="H1077" t="s">
        <v>42</v>
      </c>
      <c r="I1077">
        <v>107</v>
      </c>
      <c r="J1077">
        <v>748</v>
      </c>
      <c r="K1077" t="s">
        <v>56</v>
      </c>
      <c r="L1077" t="s">
        <v>2582</v>
      </c>
    </row>
    <row r="1078" spans="1:12" x14ac:dyDescent="0.25">
      <c r="A1078">
        <v>101483</v>
      </c>
      <c r="B1078" t="s">
        <v>812</v>
      </c>
      <c r="C1078" t="s">
        <v>134</v>
      </c>
      <c r="D1078" t="s">
        <v>1568</v>
      </c>
      <c r="E1078" t="s">
        <v>3236</v>
      </c>
      <c r="F1078" t="s">
        <v>2598</v>
      </c>
      <c r="G1078" t="s">
        <v>60</v>
      </c>
      <c r="H1078" t="s">
        <v>2623</v>
      </c>
      <c r="I1078">
        <v>158</v>
      </c>
      <c r="J1078">
        <v>567</v>
      </c>
      <c r="K1078" t="s">
        <v>32</v>
      </c>
      <c r="L1078" t="s">
        <v>2588</v>
      </c>
    </row>
    <row r="1079" spans="1:12" x14ac:dyDescent="0.25">
      <c r="A1079">
        <v>100481</v>
      </c>
      <c r="B1079" t="s">
        <v>329</v>
      </c>
      <c r="C1079" t="s">
        <v>270</v>
      </c>
      <c r="D1079" t="s">
        <v>1569</v>
      </c>
      <c r="E1079" t="s">
        <v>1570</v>
      </c>
      <c r="F1079" t="s">
        <v>2593</v>
      </c>
      <c r="G1079" t="s">
        <v>2580</v>
      </c>
      <c r="H1079" t="s">
        <v>2620</v>
      </c>
      <c r="I1079">
        <v>0</v>
      </c>
      <c r="J1079">
        <v>328</v>
      </c>
      <c r="K1079" t="s">
        <v>37</v>
      </c>
      <c r="L1079" t="s">
        <v>20</v>
      </c>
    </row>
    <row r="1080" spans="1:12" x14ac:dyDescent="0.25">
      <c r="A1080">
        <v>102169</v>
      </c>
      <c r="B1080" t="s">
        <v>65</v>
      </c>
      <c r="C1080" t="s">
        <v>62</v>
      </c>
      <c r="D1080" t="s">
        <v>1571</v>
      </c>
      <c r="E1080" t="s">
        <v>3237</v>
      </c>
      <c r="F1080" t="s">
        <v>2648</v>
      </c>
      <c r="G1080" t="s">
        <v>2591</v>
      </c>
      <c r="H1080" t="s">
        <v>2618</v>
      </c>
      <c r="I1080">
        <v>0</v>
      </c>
      <c r="J1080">
        <v>542</v>
      </c>
      <c r="K1080" t="s">
        <v>37</v>
      </c>
    </row>
    <row r="1081" spans="1:12" x14ac:dyDescent="0.25">
      <c r="A1081">
        <v>100857</v>
      </c>
      <c r="B1081" t="s">
        <v>515</v>
      </c>
      <c r="C1081" t="s">
        <v>22</v>
      </c>
      <c r="D1081" t="s">
        <v>748</v>
      </c>
      <c r="E1081" t="s">
        <v>749</v>
      </c>
      <c r="F1081" t="s">
        <v>2641</v>
      </c>
      <c r="G1081" t="s">
        <v>2591</v>
      </c>
      <c r="H1081" t="s">
        <v>2581</v>
      </c>
      <c r="I1081">
        <v>0</v>
      </c>
      <c r="J1081">
        <v>826</v>
      </c>
      <c r="K1081" t="s">
        <v>45</v>
      </c>
      <c r="L1081" t="s">
        <v>2588</v>
      </c>
    </row>
    <row r="1082" spans="1:12" x14ac:dyDescent="0.25">
      <c r="A1082">
        <v>101403</v>
      </c>
      <c r="B1082" t="s">
        <v>596</v>
      </c>
      <c r="C1082" t="s">
        <v>22</v>
      </c>
      <c r="D1082" t="s">
        <v>853</v>
      </c>
      <c r="E1082" t="s">
        <v>1572</v>
      </c>
      <c r="F1082" t="s">
        <v>64</v>
      </c>
      <c r="G1082" t="s">
        <v>2596</v>
      </c>
      <c r="H1082" t="s">
        <v>2581</v>
      </c>
      <c r="J1082">
        <v>603</v>
      </c>
      <c r="K1082" t="s">
        <v>32</v>
      </c>
      <c r="L1082" t="s">
        <v>2582</v>
      </c>
    </row>
    <row r="1083" spans="1:12" x14ac:dyDescent="0.25">
      <c r="A1083">
        <v>101259</v>
      </c>
      <c r="B1083" t="s">
        <v>682</v>
      </c>
      <c r="C1083" t="s">
        <v>152</v>
      </c>
      <c r="D1083" t="s">
        <v>970</v>
      </c>
      <c r="E1083" t="s">
        <v>1573</v>
      </c>
      <c r="F1083" t="s">
        <v>2640</v>
      </c>
      <c r="G1083" t="s">
        <v>2633</v>
      </c>
      <c r="H1083" t="s">
        <v>83</v>
      </c>
      <c r="I1083">
        <v>0</v>
      </c>
      <c r="J1083">
        <v>863</v>
      </c>
      <c r="K1083" t="s">
        <v>37</v>
      </c>
      <c r="L1083" t="s">
        <v>2588</v>
      </c>
    </row>
    <row r="1084" spans="1:12" x14ac:dyDescent="0.25">
      <c r="A1084">
        <v>100924</v>
      </c>
      <c r="B1084" t="s">
        <v>196</v>
      </c>
      <c r="C1084" t="s">
        <v>152</v>
      </c>
      <c r="D1084" t="s">
        <v>774</v>
      </c>
      <c r="E1084" t="s">
        <v>1574</v>
      </c>
      <c r="F1084" t="s">
        <v>2646</v>
      </c>
      <c r="G1084" t="s">
        <v>81</v>
      </c>
      <c r="H1084" t="s">
        <v>2587</v>
      </c>
      <c r="I1084">
        <v>0</v>
      </c>
      <c r="J1084">
        <v>405</v>
      </c>
      <c r="K1084" t="s">
        <v>45</v>
      </c>
      <c r="L1084" t="s">
        <v>26</v>
      </c>
    </row>
    <row r="1085" spans="1:12" x14ac:dyDescent="0.25">
      <c r="A1085">
        <v>102058</v>
      </c>
      <c r="B1085" t="s">
        <v>1177</v>
      </c>
      <c r="D1085" t="s">
        <v>1575</v>
      </c>
      <c r="E1085" t="s">
        <v>1576</v>
      </c>
      <c r="F1085" t="s">
        <v>2629</v>
      </c>
      <c r="H1085" t="s">
        <v>18</v>
      </c>
      <c r="I1085">
        <v>0</v>
      </c>
      <c r="J1085">
        <v>482</v>
      </c>
      <c r="K1085" t="s">
        <v>37</v>
      </c>
      <c r="L1085" t="s">
        <v>20</v>
      </c>
    </row>
    <row r="1086" spans="1:12" x14ac:dyDescent="0.25">
      <c r="A1086">
        <v>101727</v>
      </c>
      <c r="B1086" t="s">
        <v>162</v>
      </c>
      <c r="C1086" t="s">
        <v>13</v>
      </c>
      <c r="D1086" t="s">
        <v>437</v>
      </c>
      <c r="E1086" t="s">
        <v>1577</v>
      </c>
      <c r="F1086" t="s">
        <v>2643</v>
      </c>
      <c r="G1086" t="s">
        <v>2617</v>
      </c>
      <c r="H1086" t="s">
        <v>2620</v>
      </c>
      <c r="I1086">
        <v>0</v>
      </c>
      <c r="J1086">
        <v>410</v>
      </c>
      <c r="K1086" t="s">
        <v>45</v>
      </c>
      <c r="L1086" t="s">
        <v>2582</v>
      </c>
    </row>
    <row r="1087" spans="1:12" x14ac:dyDescent="0.25">
      <c r="A1087">
        <v>102113</v>
      </c>
      <c r="B1087" t="s">
        <v>493</v>
      </c>
      <c r="C1087" t="s">
        <v>152</v>
      </c>
      <c r="E1087" t="s">
        <v>3238</v>
      </c>
      <c r="F1087" t="s">
        <v>64</v>
      </c>
      <c r="G1087" t="s">
        <v>2635</v>
      </c>
      <c r="H1087" t="s">
        <v>2581</v>
      </c>
      <c r="I1087">
        <v>0</v>
      </c>
      <c r="J1087">
        <v>737</v>
      </c>
      <c r="K1087" t="s">
        <v>56</v>
      </c>
      <c r="L1087" t="s">
        <v>26</v>
      </c>
    </row>
    <row r="1088" spans="1:12" x14ac:dyDescent="0.25">
      <c r="A1088">
        <v>101124</v>
      </c>
      <c r="B1088" t="s">
        <v>678</v>
      </c>
      <c r="C1088" t="s">
        <v>270</v>
      </c>
      <c r="D1088" t="s">
        <v>1578</v>
      </c>
      <c r="E1088" t="s">
        <v>1579</v>
      </c>
      <c r="F1088" t="s">
        <v>2654</v>
      </c>
      <c r="G1088" t="s">
        <v>2596</v>
      </c>
      <c r="H1088" t="s">
        <v>2618</v>
      </c>
      <c r="I1088">
        <v>0</v>
      </c>
      <c r="J1088">
        <v>883</v>
      </c>
      <c r="K1088" t="s">
        <v>56</v>
      </c>
      <c r="L1088" t="s">
        <v>2588</v>
      </c>
    </row>
    <row r="1089" spans="1:12" x14ac:dyDescent="0.25">
      <c r="A1089">
        <v>100859</v>
      </c>
      <c r="B1089" t="s">
        <v>1022</v>
      </c>
      <c r="C1089" t="s">
        <v>270</v>
      </c>
      <c r="D1089" t="s">
        <v>1580</v>
      </c>
      <c r="E1089" t="s">
        <v>1581</v>
      </c>
      <c r="F1089" t="s">
        <v>41</v>
      </c>
      <c r="G1089" t="s">
        <v>2617</v>
      </c>
      <c r="H1089" t="s">
        <v>2618</v>
      </c>
      <c r="I1089">
        <v>0</v>
      </c>
      <c r="J1089">
        <v>383</v>
      </c>
      <c r="K1089" t="s">
        <v>37</v>
      </c>
      <c r="L1089" t="s">
        <v>26</v>
      </c>
    </row>
    <row r="1090" spans="1:12" x14ac:dyDescent="0.25">
      <c r="A1090">
        <v>100454</v>
      </c>
      <c r="B1090" t="s">
        <v>812</v>
      </c>
      <c r="C1090" t="s">
        <v>134</v>
      </c>
      <c r="D1090" t="s">
        <v>1582</v>
      </c>
      <c r="E1090" t="s">
        <v>3239</v>
      </c>
      <c r="F1090" t="s">
        <v>2590</v>
      </c>
      <c r="G1090" t="s">
        <v>2600</v>
      </c>
      <c r="H1090" t="s">
        <v>18</v>
      </c>
      <c r="I1090">
        <v>0</v>
      </c>
      <c r="J1090">
        <v>567</v>
      </c>
      <c r="K1090" t="s">
        <v>32</v>
      </c>
      <c r="L1090" t="s">
        <v>2588</v>
      </c>
    </row>
    <row r="1091" spans="1:12" x14ac:dyDescent="0.25">
      <c r="A1091">
        <v>101299</v>
      </c>
      <c r="B1091" t="s">
        <v>79</v>
      </c>
      <c r="C1091" t="s">
        <v>2696</v>
      </c>
      <c r="D1091" t="s">
        <v>1583</v>
      </c>
      <c r="E1091" t="s">
        <v>3240</v>
      </c>
      <c r="F1091" t="s">
        <v>2616</v>
      </c>
      <c r="G1091" t="s">
        <v>2591</v>
      </c>
      <c r="H1091" t="s">
        <v>2630</v>
      </c>
      <c r="I1091">
        <v>21</v>
      </c>
      <c r="J1091">
        <v>585</v>
      </c>
      <c r="K1091" t="s">
        <v>32</v>
      </c>
    </row>
    <row r="1092" spans="1:12" x14ac:dyDescent="0.25">
      <c r="A1092">
        <v>100529</v>
      </c>
      <c r="B1092" t="s">
        <v>151</v>
      </c>
      <c r="C1092" t="s">
        <v>152</v>
      </c>
      <c r="D1092" t="s">
        <v>1584</v>
      </c>
      <c r="E1092" t="s">
        <v>1585</v>
      </c>
      <c r="F1092" t="s">
        <v>2583</v>
      </c>
      <c r="G1092" t="s">
        <v>55</v>
      </c>
      <c r="H1092" t="s">
        <v>2585</v>
      </c>
      <c r="I1092">
        <v>14</v>
      </c>
      <c r="J1092">
        <v>534</v>
      </c>
      <c r="K1092" t="s">
        <v>56</v>
      </c>
      <c r="L1092" t="s">
        <v>2582</v>
      </c>
    </row>
    <row r="1093" spans="1:12" x14ac:dyDescent="0.25">
      <c r="A1093">
        <v>101578</v>
      </c>
      <c r="B1093" t="s">
        <v>965</v>
      </c>
      <c r="C1093" t="s">
        <v>110</v>
      </c>
      <c r="D1093" t="s">
        <v>1586</v>
      </c>
      <c r="E1093" t="s">
        <v>3241</v>
      </c>
      <c r="F1093" t="s">
        <v>2583</v>
      </c>
      <c r="G1093" t="s">
        <v>2633</v>
      </c>
      <c r="H1093" t="s">
        <v>2585</v>
      </c>
      <c r="I1093">
        <v>30</v>
      </c>
      <c r="J1093">
        <v>821</v>
      </c>
      <c r="K1093" t="s">
        <v>32</v>
      </c>
      <c r="L1093" t="s">
        <v>26</v>
      </c>
    </row>
    <row r="1094" spans="1:12" x14ac:dyDescent="0.25">
      <c r="A1094">
        <v>100081</v>
      </c>
      <c r="B1094" t="s">
        <v>241</v>
      </c>
      <c r="C1094" t="s">
        <v>58</v>
      </c>
      <c r="D1094" t="s">
        <v>1587</v>
      </c>
      <c r="E1094" t="s">
        <v>566</v>
      </c>
      <c r="F1094" t="s">
        <v>2643</v>
      </c>
      <c r="G1094" t="s">
        <v>55</v>
      </c>
      <c r="H1094" t="s">
        <v>2620</v>
      </c>
      <c r="I1094">
        <v>0</v>
      </c>
      <c r="J1094">
        <v>468</v>
      </c>
      <c r="K1094" t="s">
        <v>56</v>
      </c>
      <c r="L1094" t="s">
        <v>20</v>
      </c>
    </row>
    <row r="1095" spans="1:12" x14ac:dyDescent="0.25">
      <c r="A1095">
        <v>101848</v>
      </c>
      <c r="B1095" t="s">
        <v>94</v>
      </c>
      <c r="C1095" t="s">
        <v>95</v>
      </c>
      <c r="D1095" t="s">
        <v>1538</v>
      </c>
      <c r="E1095" t="s">
        <v>1588</v>
      </c>
      <c r="F1095" t="s">
        <v>2598</v>
      </c>
      <c r="G1095" t="s">
        <v>2631</v>
      </c>
      <c r="H1095" t="s">
        <v>25</v>
      </c>
      <c r="I1095">
        <v>24</v>
      </c>
      <c r="J1095">
        <v>360</v>
      </c>
      <c r="K1095" t="s">
        <v>37</v>
      </c>
      <c r="L1095" t="s">
        <v>26</v>
      </c>
    </row>
    <row r="1096" spans="1:12" x14ac:dyDescent="0.25">
      <c r="A1096">
        <v>101224</v>
      </c>
      <c r="B1096" t="s">
        <v>786</v>
      </c>
      <c r="D1096" t="s">
        <v>1589</v>
      </c>
      <c r="E1096" t="s">
        <v>3242</v>
      </c>
      <c r="F1096" t="s">
        <v>2643</v>
      </c>
      <c r="H1096" t="s">
        <v>2597</v>
      </c>
      <c r="I1096">
        <v>9</v>
      </c>
      <c r="J1096">
        <v>835</v>
      </c>
      <c r="K1096" t="s">
        <v>56</v>
      </c>
      <c r="L1096" t="s">
        <v>2582</v>
      </c>
    </row>
    <row r="1097" spans="1:12" x14ac:dyDescent="0.25">
      <c r="A1097">
        <v>101459</v>
      </c>
      <c r="B1097" t="s">
        <v>232</v>
      </c>
      <c r="C1097" t="s">
        <v>152</v>
      </c>
      <c r="D1097" t="s">
        <v>1590</v>
      </c>
      <c r="E1097" t="s">
        <v>3243</v>
      </c>
      <c r="F1097" t="s">
        <v>2613</v>
      </c>
      <c r="G1097" t="s">
        <v>55</v>
      </c>
      <c r="H1097" t="s">
        <v>83</v>
      </c>
      <c r="I1097">
        <v>0</v>
      </c>
      <c r="J1097">
        <v>781</v>
      </c>
      <c r="K1097" t="s">
        <v>37</v>
      </c>
      <c r="L1097" t="s">
        <v>26</v>
      </c>
    </row>
    <row r="1098" spans="1:12" x14ac:dyDescent="0.25">
      <c r="A1098">
        <v>101226</v>
      </c>
      <c r="B1098" t="s">
        <v>280</v>
      </c>
      <c r="C1098" t="s">
        <v>2706</v>
      </c>
      <c r="D1098" t="s">
        <v>1152</v>
      </c>
      <c r="E1098" t="s">
        <v>3244</v>
      </c>
      <c r="F1098" t="s">
        <v>2613</v>
      </c>
      <c r="G1098" t="s">
        <v>55</v>
      </c>
      <c r="H1098" t="s">
        <v>2620</v>
      </c>
      <c r="I1098">
        <v>0</v>
      </c>
      <c r="J1098">
        <v>621</v>
      </c>
      <c r="L1098" t="s">
        <v>20</v>
      </c>
    </row>
    <row r="1099" spans="1:12" x14ac:dyDescent="0.25">
      <c r="A1099">
        <v>101951</v>
      </c>
      <c r="B1099" t="s">
        <v>179</v>
      </c>
      <c r="C1099" t="s">
        <v>149</v>
      </c>
      <c r="D1099" t="s">
        <v>1591</v>
      </c>
      <c r="E1099" t="s">
        <v>3245</v>
      </c>
      <c r="F1099" t="s">
        <v>2629</v>
      </c>
      <c r="G1099" t="s">
        <v>2631</v>
      </c>
      <c r="H1099" t="s">
        <v>83</v>
      </c>
      <c r="I1099">
        <v>0</v>
      </c>
      <c r="J1099">
        <v>518</v>
      </c>
      <c r="K1099" t="s">
        <v>37</v>
      </c>
      <c r="L1099" t="s">
        <v>20</v>
      </c>
    </row>
    <row r="1100" spans="1:12" x14ac:dyDescent="0.25">
      <c r="A1100">
        <v>101919</v>
      </c>
      <c r="B1100" t="s">
        <v>708</v>
      </c>
      <c r="C1100" t="s">
        <v>270</v>
      </c>
      <c r="D1100" t="s">
        <v>1533</v>
      </c>
      <c r="E1100" t="s">
        <v>3246</v>
      </c>
      <c r="F1100" t="s">
        <v>41</v>
      </c>
      <c r="G1100" t="s">
        <v>2596</v>
      </c>
      <c r="H1100" t="s">
        <v>2623</v>
      </c>
      <c r="I1100">
        <v>148</v>
      </c>
      <c r="J1100">
        <v>451</v>
      </c>
      <c r="K1100" t="s">
        <v>37</v>
      </c>
      <c r="L1100" t="s">
        <v>20</v>
      </c>
    </row>
    <row r="1101" spans="1:12" x14ac:dyDescent="0.25">
      <c r="A1101">
        <v>101938</v>
      </c>
      <c r="B1101" t="s">
        <v>540</v>
      </c>
      <c r="C1101" t="s">
        <v>13</v>
      </c>
      <c r="D1101" t="s">
        <v>766</v>
      </c>
      <c r="E1101" t="s">
        <v>3247</v>
      </c>
      <c r="F1101" t="s">
        <v>2613</v>
      </c>
      <c r="G1101" t="s">
        <v>2599</v>
      </c>
      <c r="H1101" t="s">
        <v>18</v>
      </c>
      <c r="I1101">
        <v>0</v>
      </c>
      <c r="J1101">
        <v>487</v>
      </c>
      <c r="K1101" t="s">
        <v>37</v>
      </c>
      <c r="L1101" t="s">
        <v>26</v>
      </c>
    </row>
    <row r="1102" spans="1:12" x14ac:dyDescent="0.25">
      <c r="A1102">
        <v>100444</v>
      </c>
      <c r="B1102" t="s">
        <v>225</v>
      </c>
      <c r="C1102" t="s">
        <v>142</v>
      </c>
      <c r="D1102" t="s">
        <v>1592</v>
      </c>
      <c r="E1102" t="s">
        <v>3248</v>
      </c>
      <c r="F1102" t="s">
        <v>2641</v>
      </c>
      <c r="G1102" t="s">
        <v>2580</v>
      </c>
      <c r="H1102" t="s">
        <v>42</v>
      </c>
      <c r="I1102">
        <v>47</v>
      </c>
      <c r="J1102">
        <v>741</v>
      </c>
      <c r="K1102" t="s">
        <v>32</v>
      </c>
      <c r="L1102" t="s">
        <v>26</v>
      </c>
    </row>
    <row r="1103" spans="1:12" x14ac:dyDescent="0.25">
      <c r="A1103">
        <v>100066</v>
      </c>
      <c r="B1103" t="s">
        <v>202</v>
      </c>
      <c r="C1103" t="s">
        <v>95</v>
      </c>
      <c r="D1103" t="s">
        <v>1353</v>
      </c>
      <c r="E1103" t="s">
        <v>1593</v>
      </c>
      <c r="F1103" t="s">
        <v>2646</v>
      </c>
      <c r="G1103" t="s">
        <v>55</v>
      </c>
      <c r="H1103" t="s">
        <v>25</v>
      </c>
      <c r="I1103">
        <v>2</v>
      </c>
      <c r="J1103">
        <v>570</v>
      </c>
      <c r="K1103" t="s">
        <v>56</v>
      </c>
      <c r="L1103" t="s">
        <v>2588</v>
      </c>
    </row>
    <row r="1104" spans="1:12" x14ac:dyDescent="0.25">
      <c r="A1104">
        <v>101735</v>
      </c>
      <c r="B1104" t="s">
        <v>155</v>
      </c>
      <c r="C1104" t="s">
        <v>142</v>
      </c>
      <c r="D1104" t="s">
        <v>1594</v>
      </c>
      <c r="E1104" t="s">
        <v>3249</v>
      </c>
      <c r="F1104" t="s">
        <v>41</v>
      </c>
      <c r="G1104" t="s">
        <v>2580</v>
      </c>
      <c r="H1104" t="s">
        <v>2644</v>
      </c>
      <c r="I1104">
        <v>0</v>
      </c>
      <c r="J1104">
        <v>339</v>
      </c>
      <c r="K1104" t="s">
        <v>19</v>
      </c>
      <c r="L1104" t="s">
        <v>20</v>
      </c>
    </row>
    <row r="1105" spans="1:12" x14ac:dyDescent="0.25">
      <c r="A1105">
        <v>101147</v>
      </c>
      <c r="B1105" t="s">
        <v>1402</v>
      </c>
      <c r="C1105" t="s">
        <v>100</v>
      </c>
      <c r="D1105" t="s">
        <v>195</v>
      </c>
      <c r="E1105" t="s">
        <v>3250</v>
      </c>
      <c r="F1105" t="s">
        <v>2590</v>
      </c>
      <c r="G1105" t="s">
        <v>55</v>
      </c>
      <c r="H1105" t="s">
        <v>2597</v>
      </c>
      <c r="I1105">
        <v>11</v>
      </c>
      <c r="J1105">
        <v>588</v>
      </c>
      <c r="K1105" t="s">
        <v>19</v>
      </c>
      <c r="L1105" t="s">
        <v>20</v>
      </c>
    </row>
    <row r="1106" spans="1:12" x14ac:dyDescent="0.25">
      <c r="A1106">
        <v>101044</v>
      </c>
      <c r="B1106" t="s">
        <v>125</v>
      </c>
      <c r="C1106" t="s">
        <v>126</v>
      </c>
      <c r="D1106" t="s">
        <v>1595</v>
      </c>
      <c r="E1106" t="s">
        <v>1596</v>
      </c>
      <c r="F1106" t="s">
        <v>2643</v>
      </c>
      <c r="G1106" t="s">
        <v>2580</v>
      </c>
      <c r="H1106" t="s">
        <v>18</v>
      </c>
      <c r="I1106">
        <v>0</v>
      </c>
      <c r="J1106">
        <v>461</v>
      </c>
      <c r="K1106" t="s">
        <v>19</v>
      </c>
      <c r="L1106" t="s">
        <v>20</v>
      </c>
    </row>
    <row r="1107" spans="1:12" x14ac:dyDescent="0.25">
      <c r="A1107">
        <v>102195</v>
      </c>
      <c r="B1107" t="s">
        <v>322</v>
      </c>
      <c r="C1107" t="s">
        <v>13</v>
      </c>
      <c r="D1107" t="s">
        <v>1597</v>
      </c>
      <c r="E1107" t="s">
        <v>1598</v>
      </c>
      <c r="F1107" t="s">
        <v>2583</v>
      </c>
      <c r="G1107" t="s">
        <v>2631</v>
      </c>
      <c r="H1107" t="s">
        <v>2597</v>
      </c>
      <c r="I1107">
        <v>8</v>
      </c>
      <c r="J1107">
        <v>623</v>
      </c>
      <c r="K1107" t="s">
        <v>19</v>
      </c>
      <c r="L1107" t="s">
        <v>2588</v>
      </c>
    </row>
    <row r="1108" spans="1:12" x14ac:dyDescent="0.25">
      <c r="A1108">
        <v>100059</v>
      </c>
      <c r="B1108" t="s">
        <v>563</v>
      </c>
      <c r="C1108" t="s">
        <v>58</v>
      </c>
      <c r="D1108" t="s">
        <v>1599</v>
      </c>
      <c r="E1108" t="s">
        <v>1600</v>
      </c>
      <c r="F1108" t="s">
        <v>2593</v>
      </c>
      <c r="G1108" t="s">
        <v>2584</v>
      </c>
      <c r="H1108" t="s">
        <v>18</v>
      </c>
      <c r="I1108">
        <v>0</v>
      </c>
      <c r="J1108">
        <v>893</v>
      </c>
      <c r="K1108" t="s">
        <v>37</v>
      </c>
      <c r="L1108" t="s">
        <v>26</v>
      </c>
    </row>
    <row r="1109" spans="1:12" x14ac:dyDescent="0.25">
      <c r="A1109">
        <v>101517</v>
      </c>
      <c r="B1109" t="s">
        <v>534</v>
      </c>
      <c r="C1109" t="s">
        <v>39</v>
      </c>
      <c r="D1109" t="s">
        <v>1601</v>
      </c>
      <c r="E1109" t="s">
        <v>1602</v>
      </c>
      <c r="F1109" t="s">
        <v>2613</v>
      </c>
      <c r="G1109" t="s">
        <v>2580</v>
      </c>
      <c r="H1109" t="s">
        <v>18</v>
      </c>
      <c r="I1109">
        <v>0</v>
      </c>
      <c r="J1109">
        <v>592</v>
      </c>
      <c r="K1109" t="s">
        <v>19</v>
      </c>
      <c r="L1109" t="s">
        <v>20</v>
      </c>
    </row>
    <row r="1110" spans="1:12" x14ac:dyDescent="0.25">
      <c r="A1110">
        <v>102022</v>
      </c>
      <c r="B1110" t="s">
        <v>234</v>
      </c>
      <c r="C1110" t="s">
        <v>142</v>
      </c>
      <c r="D1110" t="s">
        <v>1603</v>
      </c>
      <c r="E1110" t="s">
        <v>3251</v>
      </c>
      <c r="F1110" t="s">
        <v>64</v>
      </c>
      <c r="G1110" t="s">
        <v>2609</v>
      </c>
      <c r="H1110" t="s">
        <v>18</v>
      </c>
      <c r="I1110">
        <v>0</v>
      </c>
      <c r="J1110">
        <v>494</v>
      </c>
      <c r="K1110" t="s">
        <v>19</v>
      </c>
      <c r="L1110" t="s">
        <v>2582</v>
      </c>
    </row>
    <row r="1111" spans="1:12" x14ac:dyDescent="0.25">
      <c r="A1111">
        <v>100566</v>
      </c>
      <c r="B1111" t="s">
        <v>34</v>
      </c>
      <c r="D1111" t="s">
        <v>1604</v>
      </c>
      <c r="E1111" t="s">
        <v>1605</v>
      </c>
      <c r="F1111" t="s">
        <v>2643</v>
      </c>
      <c r="H1111" t="s">
        <v>2587</v>
      </c>
      <c r="I1111">
        <v>0</v>
      </c>
      <c r="J1111">
        <v>672</v>
      </c>
      <c r="K1111" t="s">
        <v>37</v>
      </c>
      <c r="L1111" t="s">
        <v>2588</v>
      </c>
    </row>
    <row r="1112" spans="1:12" x14ac:dyDescent="0.25">
      <c r="A1112">
        <v>102184</v>
      </c>
      <c r="B1112" t="s">
        <v>706</v>
      </c>
      <c r="C1112" t="s">
        <v>72</v>
      </c>
      <c r="D1112" t="s">
        <v>1606</v>
      </c>
      <c r="F1112" t="s">
        <v>2613</v>
      </c>
      <c r="G1112" t="s">
        <v>2617</v>
      </c>
      <c r="H1112" t="s">
        <v>2587</v>
      </c>
      <c r="I1112">
        <v>0</v>
      </c>
      <c r="J1112">
        <v>382</v>
      </c>
      <c r="K1112" t="s">
        <v>32</v>
      </c>
      <c r="L1112" t="s">
        <v>26</v>
      </c>
    </row>
    <row r="1113" spans="1:12" x14ac:dyDescent="0.25">
      <c r="A1113">
        <v>100869</v>
      </c>
      <c r="B1113" t="s">
        <v>429</v>
      </c>
      <c r="C1113" t="s">
        <v>52</v>
      </c>
      <c r="D1113" t="s">
        <v>1607</v>
      </c>
      <c r="E1113" t="s">
        <v>1608</v>
      </c>
      <c r="F1113" t="s">
        <v>2579</v>
      </c>
      <c r="G1113" t="s">
        <v>2617</v>
      </c>
      <c r="H1113" t="s">
        <v>2618</v>
      </c>
      <c r="I1113">
        <v>0</v>
      </c>
      <c r="J1113">
        <v>568</v>
      </c>
      <c r="K1113" t="s">
        <v>19</v>
      </c>
      <c r="L1113" t="s">
        <v>20</v>
      </c>
    </row>
    <row r="1114" spans="1:12" x14ac:dyDescent="0.25">
      <c r="A1114">
        <v>100255</v>
      </c>
      <c r="B1114" t="s">
        <v>1042</v>
      </c>
      <c r="C1114" t="s">
        <v>58</v>
      </c>
      <c r="D1114" t="s">
        <v>1609</v>
      </c>
      <c r="E1114" t="s">
        <v>1610</v>
      </c>
      <c r="F1114" t="s">
        <v>2593</v>
      </c>
      <c r="H1114" t="s">
        <v>18</v>
      </c>
      <c r="I1114">
        <v>0</v>
      </c>
      <c r="J1114">
        <v>578</v>
      </c>
      <c r="K1114" t="s">
        <v>19</v>
      </c>
      <c r="L1114" t="s">
        <v>2588</v>
      </c>
    </row>
    <row r="1115" spans="1:12" x14ac:dyDescent="0.25">
      <c r="A1115">
        <v>101851</v>
      </c>
      <c r="B1115" t="s">
        <v>347</v>
      </c>
      <c r="C1115" t="s">
        <v>95</v>
      </c>
      <c r="D1115" t="s">
        <v>1611</v>
      </c>
      <c r="E1115" t="s">
        <v>3252</v>
      </c>
      <c r="F1115" t="s">
        <v>2627</v>
      </c>
      <c r="G1115" t="s">
        <v>81</v>
      </c>
      <c r="H1115" t="s">
        <v>42</v>
      </c>
      <c r="I1115">
        <v>112</v>
      </c>
      <c r="J1115">
        <v>699</v>
      </c>
      <c r="K1115" t="s">
        <v>56</v>
      </c>
      <c r="L1115" t="s">
        <v>20</v>
      </c>
    </row>
    <row r="1116" spans="1:12" x14ac:dyDescent="0.25">
      <c r="A1116">
        <v>101972</v>
      </c>
      <c r="B1116" t="s">
        <v>99</v>
      </c>
      <c r="C1116" t="s">
        <v>100</v>
      </c>
      <c r="D1116" t="s">
        <v>1612</v>
      </c>
      <c r="E1116" t="s">
        <v>3253</v>
      </c>
      <c r="F1116" t="s">
        <v>2641</v>
      </c>
      <c r="G1116" t="s">
        <v>2607</v>
      </c>
      <c r="H1116" t="s">
        <v>2587</v>
      </c>
      <c r="I1116">
        <v>0</v>
      </c>
      <c r="J1116">
        <v>414</v>
      </c>
      <c r="K1116" t="s">
        <v>19</v>
      </c>
      <c r="L1116" t="s">
        <v>2588</v>
      </c>
    </row>
    <row r="1117" spans="1:12" x14ac:dyDescent="0.25">
      <c r="A1117">
        <v>101042</v>
      </c>
      <c r="B1117" t="s">
        <v>1203</v>
      </c>
      <c r="C1117" t="s">
        <v>187</v>
      </c>
      <c r="D1117" t="s">
        <v>1159</v>
      </c>
      <c r="E1117" t="s">
        <v>1613</v>
      </c>
      <c r="F1117" t="s">
        <v>2579</v>
      </c>
      <c r="G1117" t="s">
        <v>2658</v>
      </c>
      <c r="H1117" t="s">
        <v>83</v>
      </c>
      <c r="I1117">
        <v>0</v>
      </c>
      <c r="J1117">
        <v>752</v>
      </c>
      <c r="K1117" t="s">
        <v>37</v>
      </c>
      <c r="L1117" t="s">
        <v>26</v>
      </c>
    </row>
    <row r="1118" spans="1:12" x14ac:dyDescent="0.25">
      <c r="A1118">
        <v>100005</v>
      </c>
      <c r="B1118" t="s">
        <v>170</v>
      </c>
      <c r="C1118" t="s">
        <v>85</v>
      </c>
      <c r="D1118" t="s">
        <v>1614</v>
      </c>
      <c r="E1118" t="s">
        <v>1615</v>
      </c>
      <c r="F1118" t="s">
        <v>2627</v>
      </c>
      <c r="G1118" t="s">
        <v>2631</v>
      </c>
      <c r="H1118" t="s">
        <v>2581</v>
      </c>
      <c r="I1118">
        <v>0</v>
      </c>
      <c r="J1118">
        <v>869</v>
      </c>
      <c r="K1118" t="s">
        <v>56</v>
      </c>
      <c r="L1118" t="s">
        <v>26</v>
      </c>
    </row>
    <row r="1119" spans="1:12" x14ac:dyDescent="0.25">
      <c r="A1119">
        <v>100837</v>
      </c>
      <c r="B1119" t="s">
        <v>619</v>
      </c>
      <c r="C1119" t="s">
        <v>244</v>
      </c>
      <c r="D1119" t="s">
        <v>1616</v>
      </c>
      <c r="E1119" t="s">
        <v>1617</v>
      </c>
      <c r="F1119" t="s">
        <v>2627</v>
      </c>
      <c r="G1119" t="s">
        <v>2611</v>
      </c>
      <c r="H1119" t="s">
        <v>2594</v>
      </c>
      <c r="I1119">
        <v>133</v>
      </c>
      <c r="J1119">
        <v>351</v>
      </c>
      <c r="K1119" t="s">
        <v>37</v>
      </c>
      <c r="L1119" t="s">
        <v>20</v>
      </c>
    </row>
    <row r="1121" spans="1:12" x14ac:dyDescent="0.25">
      <c r="A1121">
        <v>100100</v>
      </c>
      <c r="B1121" t="s">
        <v>352</v>
      </c>
      <c r="C1121" t="s">
        <v>85</v>
      </c>
      <c r="D1121" t="s">
        <v>963</v>
      </c>
      <c r="E1121" t="s">
        <v>3254</v>
      </c>
      <c r="F1121" t="s">
        <v>2640</v>
      </c>
      <c r="G1121" t="s">
        <v>2591</v>
      </c>
      <c r="H1121" t="s">
        <v>18</v>
      </c>
      <c r="I1121">
        <v>0</v>
      </c>
      <c r="J1121">
        <v>778</v>
      </c>
      <c r="K1121" t="s">
        <v>56</v>
      </c>
      <c r="L1121" t="s">
        <v>20</v>
      </c>
    </row>
    <row r="1122" spans="1:12" x14ac:dyDescent="0.25">
      <c r="A1122">
        <v>100364</v>
      </c>
      <c r="B1122" t="s">
        <v>297</v>
      </c>
      <c r="C1122" t="s">
        <v>72</v>
      </c>
      <c r="D1122" t="s">
        <v>1618</v>
      </c>
      <c r="E1122" t="s">
        <v>3255</v>
      </c>
      <c r="F1122" t="s">
        <v>2629</v>
      </c>
      <c r="G1122" t="s">
        <v>2625</v>
      </c>
      <c r="H1122" t="s">
        <v>2618</v>
      </c>
      <c r="I1122">
        <v>0</v>
      </c>
      <c r="J1122">
        <v>878</v>
      </c>
      <c r="K1122" t="s">
        <v>56</v>
      </c>
      <c r="L1122" t="s">
        <v>2588</v>
      </c>
    </row>
    <row r="1123" spans="1:12" x14ac:dyDescent="0.25">
      <c r="A1123">
        <v>101745</v>
      </c>
      <c r="B1123" t="s">
        <v>742</v>
      </c>
      <c r="C1123" t="s">
        <v>100</v>
      </c>
      <c r="D1123" t="s">
        <v>1619</v>
      </c>
      <c r="F1123" t="s">
        <v>2616</v>
      </c>
      <c r="G1123" t="s">
        <v>2633</v>
      </c>
      <c r="H1123" t="s">
        <v>2585</v>
      </c>
      <c r="I1123">
        <v>24</v>
      </c>
      <c r="J1123">
        <v>571</v>
      </c>
      <c r="K1123" t="s">
        <v>37</v>
      </c>
      <c r="L1123" t="s">
        <v>2588</v>
      </c>
    </row>
    <row r="1124" spans="1:12" x14ac:dyDescent="0.25">
      <c r="A1124">
        <v>101868</v>
      </c>
      <c r="B1124" t="s">
        <v>860</v>
      </c>
      <c r="C1124" t="s">
        <v>152</v>
      </c>
      <c r="D1124" t="s">
        <v>901</v>
      </c>
      <c r="E1124" t="s">
        <v>1620</v>
      </c>
      <c r="F1124" t="s">
        <v>2593</v>
      </c>
      <c r="G1124" t="s">
        <v>2580</v>
      </c>
      <c r="H1124" t="s">
        <v>2597</v>
      </c>
      <c r="I1124">
        <v>19</v>
      </c>
      <c r="J1124">
        <v>651</v>
      </c>
      <c r="K1124" t="s">
        <v>45</v>
      </c>
      <c r="L1124" t="s">
        <v>2588</v>
      </c>
    </row>
    <row r="1125" spans="1:12" x14ac:dyDescent="0.25">
      <c r="A1125">
        <v>100037</v>
      </c>
      <c r="B1125" t="s">
        <v>358</v>
      </c>
      <c r="C1125" t="s">
        <v>110</v>
      </c>
      <c r="D1125" t="s">
        <v>1621</v>
      </c>
      <c r="E1125" t="s">
        <v>3256</v>
      </c>
      <c r="F1125" t="s">
        <v>2616</v>
      </c>
      <c r="G1125" t="s">
        <v>2607</v>
      </c>
      <c r="H1125" t="s">
        <v>42</v>
      </c>
      <c r="I1125">
        <v>158</v>
      </c>
      <c r="J1125">
        <v>481</v>
      </c>
      <c r="K1125" t="s">
        <v>32</v>
      </c>
      <c r="L1125" t="s">
        <v>20</v>
      </c>
    </row>
    <row r="1126" spans="1:12" x14ac:dyDescent="0.25">
      <c r="A1126">
        <v>100097</v>
      </c>
      <c r="B1126" t="s">
        <v>374</v>
      </c>
      <c r="C1126" t="s">
        <v>47</v>
      </c>
      <c r="D1126" t="s">
        <v>1063</v>
      </c>
      <c r="E1126" t="s">
        <v>1622</v>
      </c>
      <c r="F1126" t="s">
        <v>2590</v>
      </c>
      <c r="G1126" t="s">
        <v>2611</v>
      </c>
      <c r="H1126" t="s">
        <v>42</v>
      </c>
      <c r="I1126">
        <v>84</v>
      </c>
      <c r="J1126">
        <v>342</v>
      </c>
      <c r="K1126" t="s">
        <v>56</v>
      </c>
      <c r="L1126" t="s">
        <v>2588</v>
      </c>
    </row>
    <row r="1127" spans="1:12" x14ac:dyDescent="0.25">
      <c r="A1127">
        <v>101424</v>
      </c>
      <c r="B1127" t="s">
        <v>1022</v>
      </c>
      <c r="C1127" t="s">
        <v>270</v>
      </c>
      <c r="D1127" t="s">
        <v>1623</v>
      </c>
      <c r="E1127" t="s">
        <v>3257</v>
      </c>
      <c r="F1127" t="s">
        <v>41</v>
      </c>
      <c r="G1127" t="s">
        <v>2658</v>
      </c>
      <c r="H1127" t="s">
        <v>18</v>
      </c>
      <c r="I1127">
        <v>0</v>
      </c>
      <c r="J1127">
        <v>383</v>
      </c>
      <c r="K1127" t="s">
        <v>37</v>
      </c>
      <c r="L1127" t="s">
        <v>2582</v>
      </c>
    </row>
    <row r="1128" spans="1:12" x14ac:dyDescent="0.25">
      <c r="A1128">
        <v>100354</v>
      </c>
      <c r="B1128" t="s">
        <v>186</v>
      </c>
      <c r="C1128" t="s">
        <v>187</v>
      </c>
      <c r="D1128" t="s">
        <v>407</v>
      </c>
      <c r="E1128" t="s">
        <v>1624</v>
      </c>
      <c r="F1128" t="s">
        <v>2593</v>
      </c>
      <c r="G1128" t="s">
        <v>2658</v>
      </c>
      <c r="H1128" t="s">
        <v>18</v>
      </c>
      <c r="J1128">
        <v>709</v>
      </c>
      <c r="K1128" t="s">
        <v>37</v>
      </c>
      <c r="L1128" t="s">
        <v>26</v>
      </c>
    </row>
    <row r="1129" spans="1:12" x14ac:dyDescent="0.25">
      <c r="A1129">
        <v>101618</v>
      </c>
      <c r="B1129" t="s">
        <v>1211</v>
      </c>
      <c r="C1129" t="s">
        <v>62</v>
      </c>
      <c r="D1129" t="s">
        <v>1625</v>
      </c>
      <c r="E1129" t="s">
        <v>3258</v>
      </c>
      <c r="F1129" t="s">
        <v>50</v>
      </c>
      <c r="G1129" t="s">
        <v>31</v>
      </c>
      <c r="H1129" t="s">
        <v>2644</v>
      </c>
      <c r="I1129">
        <v>0</v>
      </c>
      <c r="J1129">
        <v>741</v>
      </c>
      <c r="K1129" t="s">
        <v>56</v>
      </c>
      <c r="L1129" t="s">
        <v>2582</v>
      </c>
    </row>
    <row r="1130" spans="1:12" x14ac:dyDescent="0.25">
      <c r="A1130">
        <v>101248</v>
      </c>
      <c r="B1130" t="s">
        <v>319</v>
      </c>
      <c r="C1130" t="s">
        <v>2703</v>
      </c>
      <c r="D1130" t="s">
        <v>1626</v>
      </c>
      <c r="E1130" t="s">
        <v>3259</v>
      </c>
      <c r="F1130" t="s">
        <v>2616</v>
      </c>
      <c r="G1130" t="s">
        <v>2599</v>
      </c>
      <c r="H1130" t="s">
        <v>2644</v>
      </c>
      <c r="I1130">
        <v>0</v>
      </c>
      <c r="J1130">
        <v>411</v>
      </c>
      <c r="K1130" t="s">
        <v>32</v>
      </c>
      <c r="L1130" t="s">
        <v>2588</v>
      </c>
    </row>
    <row r="1131" spans="1:12" x14ac:dyDescent="0.25">
      <c r="A1131">
        <v>100241</v>
      </c>
      <c r="B1131" t="s">
        <v>179</v>
      </c>
      <c r="C1131" t="s">
        <v>149</v>
      </c>
      <c r="D1131" t="s">
        <v>935</v>
      </c>
      <c r="E1131" t="s">
        <v>3260</v>
      </c>
      <c r="F1131" t="s">
        <v>2604</v>
      </c>
      <c r="G1131" t="s">
        <v>2617</v>
      </c>
      <c r="H1131" t="s">
        <v>18</v>
      </c>
      <c r="I1131">
        <v>0</v>
      </c>
      <c r="J1131">
        <v>518</v>
      </c>
      <c r="K1131" t="s">
        <v>32</v>
      </c>
      <c r="L1131" t="s">
        <v>2582</v>
      </c>
    </row>
    <row r="1132" spans="1:12" x14ac:dyDescent="0.25">
      <c r="A1132">
        <v>102046</v>
      </c>
      <c r="B1132" t="s">
        <v>164</v>
      </c>
      <c r="C1132" t="s">
        <v>126</v>
      </c>
      <c r="D1132" t="s">
        <v>277</v>
      </c>
      <c r="E1132" t="s">
        <v>1627</v>
      </c>
      <c r="F1132" t="s">
        <v>41</v>
      </c>
      <c r="G1132" t="s">
        <v>2599</v>
      </c>
      <c r="H1132" t="s">
        <v>2581</v>
      </c>
      <c r="I1132">
        <v>0</v>
      </c>
      <c r="J1132">
        <v>722</v>
      </c>
      <c r="K1132" t="s">
        <v>32</v>
      </c>
    </row>
    <row r="1133" spans="1:12" x14ac:dyDescent="0.25">
      <c r="A1133">
        <v>100908</v>
      </c>
      <c r="B1133" t="s">
        <v>1168</v>
      </c>
      <c r="C1133" t="s">
        <v>218</v>
      </c>
      <c r="D1133" t="s">
        <v>1628</v>
      </c>
      <c r="E1133" t="s">
        <v>3261</v>
      </c>
      <c r="F1133" t="s">
        <v>2654</v>
      </c>
      <c r="H1133" t="s">
        <v>25</v>
      </c>
      <c r="I1133">
        <v>4</v>
      </c>
      <c r="J1133">
        <v>606</v>
      </c>
      <c r="K1133" t="s">
        <v>19</v>
      </c>
      <c r="L1133" t="s">
        <v>20</v>
      </c>
    </row>
    <row r="1134" spans="1:12" x14ac:dyDescent="0.25">
      <c r="A1134">
        <v>100295</v>
      </c>
      <c r="B1134" t="s">
        <v>243</v>
      </c>
      <c r="C1134" t="s">
        <v>244</v>
      </c>
      <c r="D1134" t="s">
        <v>1629</v>
      </c>
      <c r="E1134" t="s">
        <v>3262</v>
      </c>
      <c r="F1134" t="s">
        <v>2604</v>
      </c>
      <c r="G1134" t="s">
        <v>2580</v>
      </c>
      <c r="H1134" t="s">
        <v>2581</v>
      </c>
      <c r="I1134">
        <v>0</v>
      </c>
      <c r="J1134">
        <v>729</v>
      </c>
      <c r="K1134" t="s">
        <v>32</v>
      </c>
      <c r="L1134" t="s">
        <v>2588</v>
      </c>
    </row>
    <row r="1135" spans="1:12" x14ac:dyDescent="0.25">
      <c r="A1135">
        <v>100061</v>
      </c>
      <c r="B1135" t="s">
        <v>1042</v>
      </c>
      <c r="C1135" t="s">
        <v>58</v>
      </c>
      <c r="D1135" t="s">
        <v>1630</v>
      </c>
      <c r="E1135" t="s">
        <v>1631</v>
      </c>
      <c r="F1135" t="s">
        <v>2646</v>
      </c>
      <c r="G1135" t="s">
        <v>2631</v>
      </c>
      <c r="H1135" t="s">
        <v>2581</v>
      </c>
      <c r="I1135">
        <v>0</v>
      </c>
      <c r="J1135">
        <v>578</v>
      </c>
      <c r="K1135" t="s">
        <v>37</v>
      </c>
      <c r="L1135" t="s">
        <v>20</v>
      </c>
    </row>
    <row r="1136" spans="1:12" x14ac:dyDescent="0.25">
      <c r="A1136">
        <v>100971</v>
      </c>
      <c r="B1136" t="s">
        <v>489</v>
      </c>
      <c r="C1136" t="s">
        <v>126</v>
      </c>
      <c r="D1136" t="s">
        <v>1632</v>
      </c>
      <c r="E1136" t="s">
        <v>3263</v>
      </c>
      <c r="F1136" t="s">
        <v>2646</v>
      </c>
      <c r="H1136" t="s">
        <v>2620</v>
      </c>
      <c r="I1136">
        <v>0</v>
      </c>
      <c r="J1136">
        <v>843</v>
      </c>
      <c r="K1136" t="s">
        <v>45</v>
      </c>
      <c r="L1136" t="s">
        <v>20</v>
      </c>
    </row>
    <row r="1137" spans="1:12" x14ac:dyDescent="0.25">
      <c r="A1137">
        <v>100667</v>
      </c>
      <c r="B1137" t="s">
        <v>46</v>
      </c>
      <c r="C1137" t="s">
        <v>2696</v>
      </c>
      <c r="D1137" t="s">
        <v>1633</v>
      </c>
      <c r="E1137" t="s">
        <v>3264</v>
      </c>
      <c r="F1137" t="s">
        <v>41</v>
      </c>
      <c r="G1137" t="s">
        <v>55</v>
      </c>
      <c r="H1137" t="s">
        <v>2623</v>
      </c>
      <c r="I1137">
        <v>169</v>
      </c>
      <c r="J1137">
        <v>615</v>
      </c>
      <c r="K1137" t="s">
        <v>37</v>
      </c>
      <c r="L1137" t="s">
        <v>2582</v>
      </c>
    </row>
    <row r="1138" spans="1:12" x14ac:dyDescent="0.25">
      <c r="A1138">
        <v>101764</v>
      </c>
      <c r="B1138" t="s">
        <v>738</v>
      </c>
      <c r="C1138" t="s">
        <v>100</v>
      </c>
      <c r="D1138" t="s">
        <v>743</v>
      </c>
      <c r="E1138" t="s">
        <v>1634</v>
      </c>
      <c r="F1138" t="s">
        <v>2648</v>
      </c>
      <c r="G1138" t="s">
        <v>2682</v>
      </c>
      <c r="H1138" t="s">
        <v>2620</v>
      </c>
      <c r="I1138">
        <v>0</v>
      </c>
      <c r="J1138">
        <v>585</v>
      </c>
      <c r="K1138" t="s">
        <v>32</v>
      </c>
      <c r="L1138" t="s">
        <v>2582</v>
      </c>
    </row>
    <row r="1139" spans="1:12" x14ac:dyDescent="0.25">
      <c r="A1139">
        <v>100401</v>
      </c>
      <c r="B1139" t="s">
        <v>805</v>
      </c>
      <c r="C1139" t="s">
        <v>62</v>
      </c>
      <c r="D1139" t="s">
        <v>666</v>
      </c>
      <c r="E1139" t="s">
        <v>1635</v>
      </c>
      <c r="F1139" t="s">
        <v>41</v>
      </c>
      <c r="G1139" t="s">
        <v>2611</v>
      </c>
      <c r="H1139" t="s">
        <v>2581</v>
      </c>
      <c r="I1139">
        <v>0</v>
      </c>
      <c r="J1139">
        <v>352</v>
      </c>
      <c r="K1139" t="s">
        <v>37</v>
      </c>
      <c r="L1139" t="s">
        <v>20</v>
      </c>
    </row>
    <row r="1140" spans="1:12" x14ac:dyDescent="0.25">
      <c r="A1140">
        <v>100706</v>
      </c>
      <c r="B1140" t="s">
        <v>160</v>
      </c>
      <c r="C1140" t="s">
        <v>72</v>
      </c>
      <c r="D1140" t="s">
        <v>1375</v>
      </c>
      <c r="E1140" t="s">
        <v>3265</v>
      </c>
      <c r="F1140" t="s">
        <v>2640</v>
      </c>
      <c r="G1140" t="s">
        <v>2600</v>
      </c>
      <c r="H1140" t="s">
        <v>2587</v>
      </c>
      <c r="I1140">
        <v>0</v>
      </c>
      <c r="J1140">
        <v>585</v>
      </c>
      <c r="K1140" t="s">
        <v>19</v>
      </c>
      <c r="L1140" t="s">
        <v>26</v>
      </c>
    </row>
    <row r="1141" spans="1:12" x14ac:dyDescent="0.25">
      <c r="A1141">
        <v>101636</v>
      </c>
      <c r="B1141" t="s">
        <v>230</v>
      </c>
      <c r="C1141" t="s">
        <v>95</v>
      </c>
      <c r="D1141" t="s">
        <v>1580</v>
      </c>
      <c r="E1141" t="s">
        <v>1636</v>
      </c>
      <c r="F1141" t="s">
        <v>50</v>
      </c>
      <c r="G1141" t="s">
        <v>2631</v>
      </c>
      <c r="H1141" t="s">
        <v>2587</v>
      </c>
      <c r="I1141">
        <v>0</v>
      </c>
      <c r="J1141">
        <v>818</v>
      </c>
      <c r="K1141" t="s">
        <v>32</v>
      </c>
      <c r="L1141" t="s">
        <v>20</v>
      </c>
    </row>
    <row r="1142" spans="1:12" x14ac:dyDescent="0.25">
      <c r="A1142">
        <v>100617</v>
      </c>
      <c r="B1142" t="s">
        <v>866</v>
      </c>
      <c r="C1142" t="s">
        <v>168</v>
      </c>
      <c r="D1142" t="s">
        <v>1637</v>
      </c>
      <c r="E1142" t="s">
        <v>3266</v>
      </c>
      <c r="F1142" t="s">
        <v>2593</v>
      </c>
      <c r="G1142" t="s">
        <v>2635</v>
      </c>
      <c r="H1142" t="s">
        <v>42</v>
      </c>
      <c r="I1142">
        <v>157</v>
      </c>
      <c r="J1142">
        <v>458</v>
      </c>
      <c r="K1142" t="s">
        <v>56</v>
      </c>
      <c r="L1142" t="s">
        <v>26</v>
      </c>
    </row>
    <row r="1143" spans="1:12" x14ac:dyDescent="0.25">
      <c r="A1143">
        <v>100616</v>
      </c>
      <c r="B1143" t="s">
        <v>1378</v>
      </c>
      <c r="C1143" t="s">
        <v>2649</v>
      </c>
      <c r="D1143" t="s">
        <v>1322</v>
      </c>
      <c r="E1143" t="s">
        <v>1638</v>
      </c>
      <c r="F1143" t="s">
        <v>2613</v>
      </c>
      <c r="G1143" t="s">
        <v>55</v>
      </c>
      <c r="H1143" t="s">
        <v>2594</v>
      </c>
      <c r="I1143">
        <v>124</v>
      </c>
      <c r="J1143">
        <v>369</v>
      </c>
      <c r="K1143" t="s">
        <v>19</v>
      </c>
      <c r="L1143" t="s">
        <v>20</v>
      </c>
    </row>
    <row r="1144" spans="1:12" x14ac:dyDescent="0.25">
      <c r="A1144">
        <v>100370</v>
      </c>
      <c r="B1144" t="s">
        <v>99</v>
      </c>
      <c r="C1144" t="s">
        <v>100</v>
      </c>
      <c r="D1144" t="s">
        <v>653</v>
      </c>
      <c r="E1144" t="s">
        <v>1639</v>
      </c>
      <c r="F1144" t="s">
        <v>64</v>
      </c>
      <c r="G1144" t="s">
        <v>31</v>
      </c>
      <c r="H1144" t="s">
        <v>25</v>
      </c>
      <c r="I1144">
        <v>29</v>
      </c>
      <c r="J1144">
        <v>414</v>
      </c>
      <c r="K1144" t="s">
        <v>19</v>
      </c>
      <c r="L1144" t="s">
        <v>2582</v>
      </c>
    </row>
    <row r="1145" spans="1:12" x14ac:dyDescent="0.25">
      <c r="A1145">
        <v>100680</v>
      </c>
      <c r="B1145" t="s">
        <v>392</v>
      </c>
      <c r="C1145" t="s">
        <v>72</v>
      </c>
      <c r="D1145" t="s">
        <v>1640</v>
      </c>
      <c r="E1145" t="s">
        <v>3267</v>
      </c>
      <c r="F1145" t="s">
        <v>2641</v>
      </c>
      <c r="G1145" t="s">
        <v>2617</v>
      </c>
      <c r="H1145" t="s">
        <v>18</v>
      </c>
      <c r="I1145">
        <v>0</v>
      </c>
      <c r="J1145">
        <v>433</v>
      </c>
      <c r="K1145" t="s">
        <v>32</v>
      </c>
      <c r="L1145" t="s">
        <v>2582</v>
      </c>
    </row>
    <row r="1146" spans="1:12" x14ac:dyDescent="0.25">
      <c r="A1146">
        <v>100782</v>
      </c>
      <c r="B1146" t="s">
        <v>385</v>
      </c>
      <c r="C1146" t="s">
        <v>2699</v>
      </c>
      <c r="D1146" t="s">
        <v>1641</v>
      </c>
      <c r="E1146" t="s">
        <v>1642</v>
      </c>
      <c r="F1146" t="s">
        <v>2604</v>
      </c>
      <c r="G1146" t="s">
        <v>2635</v>
      </c>
      <c r="H1146" t="s">
        <v>2587</v>
      </c>
      <c r="J1146">
        <v>490</v>
      </c>
      <c r="K1146" t="s">
        <v>32</v>
      </c>
      <c r="L1146" t="s">
        <v>2588</v>
      </c>
    </row>
    <row r="1147" spans="1:12" x14ac:dyDescent="0.25">
      <c r="A1147">
        <v>101940</v>
      </c>
      <c r="B1147" t="s">
        <v>282</v>
      </c>
      <c r="C1147" t="s">
        <v>152</v>
      </c>
      <c r="D1147" t="s">
        <v>1643</v>
      </c>
      <c r="E1147" t="s">
        <v>3268</v>
      </c>
      <c r="F1147" t="s">
        <v>2627</v>
      </c>
      <c r="G1147" t="s">
        <v>2584</v>
      </c>
      <c r="H1147" t="s">
        <v>2587</v>
      </c>
      <c r="I1147">
        <v>0</v>
      </c>
      <c r="J1147">
        <v>301</v>
      </c>
      <c r="K1147" t="s">
        <v>32</v>
      </c>
      <c r="L1147" t="s">
        <v>2588</v>
      </c>
    </row>
    <row r="1148" spans="1:12" x14ac:dyDescent="0.25">
      <c r="A1148">
        <v>101048</v>
      </c>
      <c r="B1148" t="s">
        <v>451</v>
      </c>
      <c r="C1148" t="s">
        <v>103</v>
      </c>
      <c r="D1148" t="s">
        <v>804</v>
      </c>
      <c r="E1148" t="s">
        <v>1644</v>
      </c>
      <c r="F1148" t="s">
        <v>2593</v>
      </c>
      <c r="G1148" t="s">
        <v>2614</v>
      </c>
      <c r="H1148" t="s">
        <v>2581</v>
      </c>
      <c r="I1148">
        <v>0</v>
      </c>
      <c r="J1148">
        <v>418</v>
      </c>
      <c r="L1148" t="s">
        <v>20</v>
      </c>
    </row>
    <row r="1149" spans="1:12" x14ac:dyDescent="0.25">
      <c r="A1149">
        <v>102189</v>
      </c>
      <c r="B1149" t="s">
        <v>1026</v>
      </c>
      <c r="C1149" t="s">
        <v>244</v>
      </c>
      <c r="D1149" t="s">
        <v>867</v>
      </c>
      <c r="E1149" t="s">
        <v>3269</v>
      </c>
      <c r="F1149" t="s">
        <v>50</v>
      </c>
      <c r="G1149" t="s">
        <v>2600</v>
      </c>
      <c r="H1149" t="s">
        <v>42</v>
      </c>
      <c r="I1149">
        <v>109</v>
      </c>
      <c r="J1149">
        <v>560</v>
      </c>
      <c r="K1149" t="s">
        <v>32</v>
      </c>
      <c r="L1149" t="s">
        <v>20</v>
      </c>
    </row>
    <row r="1150" spans="1:12" x14ac:dyDescent="0.25">
      <c r="A1150">
        <v>100200</v>
      </c>
      <c r="B1150" t="s">
        <v>278</v>
      </c>
      <c r="C1150" t="s">
        <v>2632</v>
      </c>
      <c r="D1150" t="s">
        <v>1637</v>
      </c>
      <c r="E1150" t="s">
        <v>1645</v>
      </c>
      <c r="F1150" t="s">
        <v>2583</v>
      </c>
      <c r="G1150" t="s">
        <v>2584</v>
      </c>
      <c r="H1150" t="s">
        <v>2620</v>
      </c>
      <c r="I1150">
        <v>0</v>
      </c>
      <c r="J1150">
        <v>713</v>
      </c>
      <c r="K1150" t="s">
        <v>19</v>
      </c>
      <c r="L1150" t="s">
        <v>26</v>
      </c>
    </row>
    <row r="1151" spans="1:12" x14ac:dyDescent="0.25">
      <c r="A1151">
        <v>101191</v>
      </c>
      <c r="B1151" t="s">
        <v>625</v>
      </c>
      <c r="C1151" t="s">
        <v>152</v>
      </c>
      <c r="D1151" t="s">
        <v>1387</v>
      </c>
      <c r="E1151" t="s">
        <v>3270</v>
      </c>
      <c r="F1151" t="s">
        <v>2579</v>
      </c>
      <c r="G1151" t="s">
        <v>2596</v>
      </c>
      <c r="H1151" t="s">
        <v>2644</v>
      </c>
      <c r="I1151">
        <v>0</v>
      </c>
      <c r="J1151">
        <v>678</v>
      </c>
      <c r="K1151" t="s">
        <v>56</v>
      </c>
      <c r="L1151" t="s">
        <v>26</v>
      </c>
    </row>
    <row r="1152" spans="1:12" x14ac:dyDescent="0.25">
      <c r="A1152">
        <v>101117</v>
      </c>
      <c r="B1152" t="s">
        <v>599</v>
      </c>
      <c r="C1152" t="s">
        <v>52</v>
      </c>
      <c r="D1152" t="s">
        <v>522</v>
      </c>
      <c r="E1152" t="s">
        <v>3271</v>
      </c>
      <c r="F1152" t="s">
        <v>2579</v>
      </c>
      <c r="G1152" t="s">
        <v>2602</v>
      </c>
      <c r="H1152" t="s">
        <v>18</v>
      </c>
      <c r="I1152">
        <v>0</v>
      </c>
      <c r="J1152">
        <v>552</v>
      </c>
      <c r="K1152" t="s">
        <v>37</v>
      </c>
      <c r="L1152" t="s">
        <v>2582</v>
      </c>
    </row>
    <row r="1153" spans="1:12" x14ac:dyDescent="0.25">
      <c r="A1153">
        <v>100468</v>
      </c>
      <c r="B1153" t="s">
        <v>125</v>
      </c>
      <c r="C1153" t="s">
        <v>126</v>
      </c>
      <c r="D1153" t="s">
        <v>1646</v>
      </c>
      <c r="E1153" t="s">
        <v>1647</v>
      </c>
      <c r="F1153" t="s">
        <v>2646</v>
      </c>
      <c r="G1153" t="s">
        <v>81</v>
      </c>
      <c r="H1153" t="s">
        <v>2644</v>
      </c>
      <c r="I1153">
        <v>0</v>
      </c>
      <c r="J1153">
        <v>461</v>
      </c>
      <c r="K1153" t="s">
        <v>19</v>
      </c>
      <c r="L1153" t="s">
        <v>20</v>
      </c>
    </row>
    <row r="1154" spans="1:12" x14ac:dyDescent="0.25">
      <c r="A1154">
        <v>100656</v>
      </c>
      <c r="B1154" t="s">
        <v>164</v>
      </c>
      <c r="C1154" t="s">
        <v>126</v>
      </c>
      <c r="D1154" t="s">
        <v>1648</v>
      </c>
      <c r="F1154" t="s">
        <v>2654</v>
      </c>
      <c r="G1154" t="s">
        <v>2609</v>
      </c>
      <c r="H1154" t="s">
        <v>2587</v>
      </c>
      <c r="I1154">
        <v>0</v>
      </c>
      <c r="J1154">
        <v>722</v>
      </c>
      <c r="K1154" t="s">
        <v>32</v>
      </c>
      <c r="L1154" t="s">
        <v>2582</v>
      </c>
    </row>
    <row r="1155" spans="1:12" x14ac:dyDescent="0.25">
      <c r="A1155">
        <v>101818</v>
      </c>
      <c r="B1155" t="s">
        <v>340</v>
      </c>
      <c r="C1155" t="s">
        <v>100</v>
      </c>
      <c r="D1155" t="s">
        <v>899</v>
      </c>
      <c r="E1155" t="s">
        <v>1649</v>
      </c>
      <c r="F1155" t="s">
        <v>2604</v>
      </c>
      <c r="G1155" t="s">
        <v>2614</v>
      </c>
      <c r="H1155" t="s">
        <v>2587</v>
      </c>
      <c r="I1155">
        <v>0</v>
      </c>
      <c r="J1155">
        <v>705</v>
      </c>
      <c r="K1155" t="s">
        <v>56</v>
      </c>
      <c r="L1155" t="s">
        <v>20</v>
      </c>
    </row>
    <row r="1156" spans="1:12" x14ac:dyDescent="0.25">
      <c r="A1156">
        <v>100675</v>
      </c>
      <c r="B1156" t="s">
        <v>325</v>
      </c>
      <c r="C1156" t="s">
        <v>126</v>
      </c>
      <c r="D1156" t="s">
        <v>326</v>
      </c>
      <c r="E1156" t="s">
        <v>2713</v>
      </c>
      <c r="F1156" t="s">
        <v>2579</v>
      </c>
      <c r="H1156" t="s">
        <v>2618</v>
      </c>
      <c r="J1156">
        <v>570</v>
      </c>
      <c r="K1156" t="s">
        <v>37</v>
      </c>
      <c r="L1156" t="s">
        <v>26</v>
      </c>
    </row>
    <row r="1157" spans="1:12" x14ac:dyDescent="0.25">
      <c r="A1157">
        <v>102120</v>
      </c>
      <c r="B1157" t="s">
        <v>313</v>
      </c>
      <c r="C1157" t="s">
        <v>58</v>
      </c>
      <c r="D1157" t="s">
        <v>590</v>
      </c>
      <c r="E1157" t="s">
        <v>3272</v>
      </c>
      <c r="F1157" t="s">
        <v>2579</v>
      </c>
      <c r="G1157" t="s">
        <v>2609</v>
      </c>
      <c r="H1157" t="s">
        <v>42</v>
      </c>
      <c r="I1157">
        <v>105</v>
      </c>
      <c r="J1157">
        <v>716</v>
      </c>
      <c r="K1157" t="s">
        <v>45</v>
      </c>
      <c r="L1157" t="s">
        <v>2582</v>
      </c>
    </row>
    <row r="1158" spans="1:12" x14ac:dyDescent="0.25">
      <c r="A1158">
        <v>102162</v>
      </c>
      <c r="B1158" t="s">
        <v>251</v>
      </c>
      <c r="C1158" t="s">
        <v>72</v>
      </c>
      <c r="D1158" t="s">
        <v>1609</v>
      </c>
      <c r="E1158" t="s">
        <v>1650</v>
      </c>
      <c r="F1158" t="s">
        <v>2640</v>
      </c>
      <c r="G1158" t="s">
        <v>2584</v>
      </c>
      <c r="H1158" t="s">
        <v>2620</v>
      </c>
      <c r="I1158">
        <v>0</v>
      </c>
      <c r="J1158">
        <v>673</v>
      </c>
      <c r="K1158" t="s">
        <v>45</v>
      </c>
      <c r="L1158" t="s">
        <v>2588</v>
      </c>
    </row>
    <row r="1159" spans="1:12" x14ac:dyDescent="0.25">
      <c r="A1159">
        <v>100404</v>
      </c>
      <c r="B1159" t="s">
        <v>1053</v>
      </c>
      <c r="C1159" t="s">
        <v>47</v>
      </c>
      <c r="D1159" t="s">
        <v>1651</v>
      </c>
      <c r="E1159" t="s">
        <v>3273</v>
      </c>
      <c r="F1159" t="s">
        <v>2640</v>
      </c>
      <c r="G1159" t="s">
        <v>55</v>
      </c>
      <c r="H1159" t="s">
        <v>83</v>
      </c>
      <c r="I1159">
        <v>0</v>
      </c>
      <c r="J1159">
        <v>864</v>
      </c>
      <c r="K1159" t="s">
        <v>37</v>
      </c>
      <c r="L1159" t="s">
        <v>26</v>
      </c>
    </row>
    <row r="1160" spans="1:12" x14ac:dyDescent="0.25">
      <c r="A1160">
        <v>100226</v>
      </c>
      <c r="B1160" t="s">
        <v>636</v>
      </c>
      <c r="C1160" t="s">
        <v>244</v>
      </c>
      <c r="D1160" t="s">
        <v>1652</v>
      </c>
      <c r="E1160" t="s">
        <v>3274</v>
      </c>
      <c r="F1160" t="s">
        <v>64</v>
      </c>
      <c r="G1160" t="s">
        <v>2609</v>
      </c>
      <c r="H1160" t="s">
        <v>2581</v>
      </c>
      <c r="I1160">
        <v>0</v>
      </c>
      <c r="J1160">
        <v>303</v>
      </c>
      <c r="K1160" t="s">
        <v>45</v>
      </c>
      <c r="L1160" t="s">
        <v>2588</v>
      </c>
    </row>
    <row r="1161" spans="1:12" x14ac:dyDescent="0.25">
      <c r="A1161">
        <v>100535</v>
      </c>
      <c r="B1161" t="s">
        <v>202</v>
      </c>
      <c r="C1161" t="s">
        <v>95</v>
      </c>
      <c r="D1161" t="s">
        <v>1457</v>
      </c>
      <c r="E1161" t="s">
        <v>3275</v>
      </c>
      <c r="F1161" t="s">
        <v>41</v>
      </c>
      <c r="G1161" t="s">
        <v>55</v>
      </c>
      <c r="H1161" t="s">
        <v>2620</v>
      </c>
      <c r="I1161">
        <v>0</v>
      </c>
      <c r="J1161">
        <v>570</v>
      </c>
      <c r="K1161" t="s">
        <v>32</v>
      </c>
      <c r="L1161" t="s">
        <v>2582</v>
      </c>
    </row>
    <row r="1162" spans="1:12" x14ac:dyDescent="0.25">
      <c r="A1162">
        <v>100784</v>
      </c>
      <c r="B1162" t="s">
        <v>1009</v>
      </c>
      <c r="C1162" t="s">
        <v>58</v>
      </c>
      <c r="D1162" t="s">
        <v>1653</v>
      </c>
      <c r="E1162" t="s">
        <v>3276</v>
      </c>
      <c r="F1162" t="s">
        <v>2654</v>
      </c>
      <c r="G1162" t="s">
        <v>2625</v>
      </c>
      <c r="H1162" t="s">
        <v>2581</v>
      </c>
      <c r="I1162">
        <v>0</v>
      </c>
      <c r="J1162">
        <v>400</v>
      </c>
      <c r="K1162" t="s">
        <v>56</v>
      </c>
      <c r="L1162" t="s">
        <v>26</v>
      </c>
    </row>
    <row r="1163" spans="1:12" x14ac:dyDescent="0.25">
      <c r="A1163">
        <v>100614</v>
      </c>
      <c r="B1163" t="s">
        <v>136</v>
      </c>
      <c r="C1163" t="s">
        <v>58</v>
      </c>
      <c r="D1163" t="s">
        <v>1654</v>
      </c>
      <c r="E1163" t="s">
        <v>1655</v>
      </c>
      <c r="F1163" t="s">
        <v>2646</v>
      </c>
      <c r="G1163" t="s">
        <v>81</v>
      </c>
      <c r="H1163" t="s">
        <v>2594</v>
      </c>
      <c r="I1163">
        <v>50</v>
      </c>
      <c r="J1163">
        <v>540</v>
      </c>
      <c r="K1163" t="s">
        <v>45</v>
      </c>
      <c r="L1163" t="s">
        <v>26</v>
      </c>
    </row>
    <row r="1164" spans="1:12" x14ac:dyDescent="0.25">
      <c r="A1164">
        <v>100794</v>
      </c>
      <c r="B1164" t="s">
        <v>1357</v>
      </c>
      <c r="C1164" t="s">
        <v>100</v>
      </c>
      <c r="D1164" t="s">
        <v>1656</v>
      </c>
      <c r="E1164" t="s">
        <v>1657</v>
      </c>
      <c r="F1164" t="s">
        <v>2629</v>
      </c>
      <c r="G1164" t="s">
        <v>2602</v>
      </c>
      <c r="H1164" t="s">
        <v>18</v>
      </c>
      <c r="I1164">
        <v>0</v>
      </c>
      <c r="J1164">
        <v>522</v>
      </c>
      <c r="K1164" t="s">
        <v>45</v>
      </c>
      <c r="L1164" t="s">
        <v>2588</v>
      </c>
    </row>
    <row r="1165" spans="1:12" x14ac:dyDescent="0.25">
      <c r="A1165">
        <v>100085</v>
      </c>
      <c r="B1165" t="s">
        <v>367</v>
      </c>
      <c r="C1165" t="s">
        <v>103</v>
      </c>
      <c r="D1165" t="s">
        <v>63</v>
      </c>
      <c r="E1165" t="s">
        <v>3277</v>
      </c>
      <c r="F1165" t="s">
        <v>2641</v>
      </c>
      <c r="G1165" t="s">
        <v>2584</v>
      </c>
      <c r="H1165" t="s">
        <v>2594</v>
      </c>
      <c r="I1165">
        <v>81</v>
      </c>
      <c r="J1165">
        <v>621</v>
      </c>
      <c r="K1165" t="s">
        <v>37</v>
      </c>
      <c r="L1165" t="s">
        <v>2588</v>
      </c>
    </row>
    <row r="1166" spans="1:12" x14ac:dyDescent="0.25">
      <c r="A1166">
        <v>102180</v>
      </c>
      <c r="B1166" t="s">
        <v>847</v>
      </c>
      <c r="C1166" t="s">
        <v>22</v>
      </c>
      <c r="D1166" t="s">
        <v>1320</v>
      </c>
      <c r="E1166" t="s">
        <v>3278</v>
      </c>
      <c r="F1166" t="s">
        <v>2593</v>
      </c>
      <c r="G1166" t="s">
        <v>2580</v>
      </c>
      <c r="H1166" t="s">
        <v>2585</v>
      </c>
      <c r="I1166">
        <v>9</v>
      </c>
      <c r="J1166">
        <v>612</v>
      </c>
      <c r="K1166" t="s">
        <v>45</v>
      </c>
      <c r="L1166" t="s">
        <v>20</v>
      </c>
    </row>
    <row r="1167" spans="1:12" x14ac:dyDescent="0.25">
      <c r="A1167">
        <v>101074</v>
      </c>
      <c r="B1167" t="s">
        <v>145</v>
      </c>
      <c r="D1167" t="s">
        <v>1658</v>
      </c>
      <c r="E1167" t="s">
        <v>1659</v>
      </c>
      <c r="F1167" t="s">
        <v>2646</v>
      </c>
      <c r="G1167" t="s">
        <v>2625</v>
      </c>
      <c r="H1167" t="s">
        <v>2644</v>
      </c>
      <c r="I1167">
        <v>0</v>
      </c>
      <c r="J1167">
        <v>435</v>
      </c>
      <c r="K1167" t="s">
        <v>37</v>
      </c>
      <c r="L1167" t="s">
        <v>2582</v>
      </c>
    </row>
    <row r="1168" spans="1:12" x14ac:dyDescent="0.25">
      <c r="A1168">
        <v>100818</v>
      </c>
      <c r="B1168" t="s">
        <v>444</v>
      </c>
      <c r="C1168" t="s">
        <v>52</v>
      </c>
      <c r="D1168" t="s">
        <v>1660</v>
      </c>
      <c r="E1168" t="s">
        <v>1661</v>
      </c>
      <c r="F1168" t="s">
        <v>2643</v>
      </c>
      <c r="G1168" t="s">
        <v>2609</v>
      </c>
      <c r="H1168" t="s">
        <v>2644</v>
      </c>
      <c r="I1168">
        <v>0</v>
      </c>
      <c r="J1168">
        <v>688</v>
      </c>
      <c r="K1168" t="s">
        <v>56</v>
      </c>
      <c r="L1168" t="s">
        <v>26</v>
      </c>
    </row>
    <row r="1169" spans="1:12" x14ac:dyDescent="0.25">
      <c r="A1169">
        <v>102126</v>
      </c>
      <c r="B1169" t="s">
        <v>282</v>
      </c>
      <c r="C1169" t="s">
        <v>152</v>
      </c>
      <c r="D1169" t="s">
        <v>119</v>
      </c>
      <c r="E1169" t="s">
        <v>3279</v>
      </c>
      <c r="F1169" t="s">
        <v>2648</v>
      </c>
      <c r="G1169" t="s">
        <v>2658</v>
      </c>
      <c r="H1169" t="s">
        <v>2587</v>
      </c>
      <c r="I1169">
        <v>0</v>
      </c>
      <c r="J1169">
        <v>301</v>
      </c>
      <c r="K1169" t="s">
        <v>56</v>
      </c>
      <c r="L1169" t="s">
        <v>26</v>
      </c>
    </row>
    <row r="1170" spans="1:12" x14ac:dyDescent="0.25">
      <c r="A1170">
        <v>101017</v>
      </c>
      <c r="B1170" t="s">
        <v>102</v>
      </c>
      <c r="C1170" t="s">
        <v>103</v>
      </c>
      <c r="D1170" t="s">
        <v>1662</v>
      </c>
      <c r="E1170" t="s">
        <v>3280</v>
      </c>
      <c r="F1170" t="s">
        <v>2590</v>
      </c>
      <c r="G1170" t="s">
        <v>2658</v>
      </c>
      <c r="H1170" t="s">
        <v>2585</v>
      </c>
      <c r="I1170">
        <v>14</v>
      </c>
      <c r="J1170">
        <v>733</v>
      </c>
      <c r="K1170" t="s">
        <v>32</v>
      </c>
      <c r="L1170" t="s">
        <v>2588</v>
      </c>
    </row>
    <row r="1171" spans="1:12" x14ac:dyDescent="0.25">
      <c r="A1171">
        <v>100978</v>
      </c>
      <c r="B1171" t="s">
        <v>1663</v>
      </c>
      <c r="C1171" t="s">
        <v>100</v>
      </c>
      <c r="D1171" t="s">
        <v>300</v>
      </c>
      <c r="E1171" t="s">
        <v>3281</v>
      </c>
      <c r="F1171" t="s">
        <v>2646</v>
      </c>
      <c r="G1171" t="s">
        <v>2602</v>
      </c>
      <c r="H1171" t="s">
        <v>2597</v>
      </c>
      <c r="I1171">
        <v>3</v>
      </c>
      <c r="J1171">
        <v>452</v>
      </c>
      <c r="K1171" t="s">
        <v>45</v>
      </c>
      <c r="L1171" t="s">
        <v>26</v>
      </c>
    </row>
    <row r="1172" spans="1:12" x14ac:dyDescent="0.25">
      <c r="A1172">
        <v>101921</v>
      </c>
      <c r="B1172" t="s">
        <v>319</v>
      </c>
      <c r="C1172" t="s">
        <v>100</v>
      </c>
      <c r="D1172" t="s">
        <v>1664</v>
      </c>
      <c r="E1172" t="s">
        <v>1665</v>
      </c>
      <c r="F1172" t="s">
        <v>2590</v>
      </c>
      <c r="G1172" t="s">
        <v>2600</v>
      </c>
      <c r="H1172" t="s">
        <v>2585</v>
      </c>
      <c r="I1172">
        <v>19</v>
      </c>
      <c r="J1172">
        <v>411</v>
      </c>
      <c r="K1172" t="s">
        <v>37</v>
      </c>
      <c r="L1172" t="s">
        <v>2582</v>
      </c>
    </row>
    <row r="1173" spans="1:12" x14ac:dyDescent="0.25">
      <c r="A1173">
        <v>100814</v>
      </c>
      <c r="B1173" t="s">
        <v>364</v>
      </c>
      <c r="C1173" t="s">
        <v>103</v>
      </c>
      <c r="D1173" t="s">
        <v>1666</v>
      </c>
      <c r="E1173" t="s">
        <v>1667</v>
      </c>
      <c r="F1173" t="s">
        <v>2627</v>
      </c>
      <c r="G1173" t="s">
        <v>2635</v>
      </c>
      <c r="H1173" t="s">
        <v>2581</v>
      </c>
      <c r="I1173">
        <v>0</v>
      </c>
      <c r="J1173">
        <v>351</v>
      </c>
      <c r="K1173" t="s">
        <v>32</v>
      </c>
      <c r="L1173" t="s">
        <v>2588</v>
      </c>
    </row>
    <row r="1174" spans="1:12" x14ac:dyDescent="0.25">
      <c r="A1174">
        <v>100214</v>
      </c>
      <c r="B1174" t="s">
        <v>636</v>
      </c>
      <c r="C1174" t="s">
        <v>2818</v>
      </c>
      <c r="D1174" t="s">
        <v>1668</v>
      </c>
      <c r="E1174" t="s">
        <v>1669</v>
      </c>
      <c r="F1174" t="s">
        <v>50</v>
      </c>
      <c r="G1174" t="s">
        <v>55</v>
      </c>
      <c r="H1174" t="s">
        <v>2587</v>
      </c>
      <c r="I1174">
        <v>0</v>
      </c>
      <c r="J1174">
        <v>303</v>
      </c>
      <c r="K1174" t="s">
        <v>37</v>
      </c>
      <c r="L1174" t="s">
        <v>2582</v>
      </c>
    </row>
    <row r="1175" spans="1:12" x14ac:dyDescent="0.25">
      <c r="A1175">
        <v>101032</v>
      </c>
      <c r="B1175" t="s">
        <v>493</v>
      </c>
      <c r="C1175" t="s">
        <v>152</v>
      </c>
      <c r="D1175" t="s">
        <v>1670</v>
      </c>
      <c r="E1175" t="s">
        <v>3282</v>
      </c>
      <c r="F1175" t="s">
        <v>2613</v>
      </c>
      <c r="G1175" t="s">
        <v>60</v>
      </c>
      <c r="H1175" t="s">
        <v>83</v>
      </c>
      <c r="I1175">
        <v>0</v>
      </c>
      <c r="J1175">
        <v>737</v>
      </c>
      <c r="K1175" t="s">
        <v>37</v>
      </c>
      <c r="L1175" t="s">
        <v>20</v>
      </c>
    </row>
    <row r="1176" spans="1:12" x14ac:dyDescent="0.25">
      <c r="A1176">
        <v>101833</v>
      </c>
      <c r="B1176" t="s">
        <v>1203</v>
      </c>
      <c r="C1176" t="s">
        <v>187</v>
      </c>
      <c r="D1176" t="s">
        <v>792</v>
      </c>
      <c r="E1176" t="s">
        <v>3283</v>
      </c>
      <c r="F1176" t="s">
        <v>2616</v>
      </c>
      <c r="H1176" t="s">
        <v>18</v>
      </c>
      <c r="I1176">
        <v>0</v>
      </c>
      <c r="J1176">
        <v>752</v>
      </c>
      <c r="K1176" t="s">
        <v>37</v>
      </c>
      <c r="L1176" t="s">
        <v>26</v>
      </c>
    </row>
    <row r="1177" spans="1:12" x14ac:dyDescent="0.25">
      <c r="A1177">
        <v>100238</v>
      </c>
      <c r="B1177" t="s">
        <v>1036</v>
      </c>
      <c r="C1177" t="s">
        <v>149</v>
      </c>
      <c r="D1177" t="s">
        <v>764</v>
      </c>
      <c r="E1177" t="s">
        <v>1192</v>
      </c>
      <c r="F1177" t="s">
        <v>2598</v>
      </c>
      <c r="G1177" t="s">
        <v>2633</v>
      </c>
      <c r="H1177" t="s">
        <v>2644</v>
      </c>
      <c r="I1177">
        <v>0</v>
      </c>
      <c r="J1177">
        <v>358</v>
      </c>
      <c r="K1177" t="s">
        <v>56</v>
      </c>
      <c r="L1177" t="s">
        <v>26</v>
      </c>
    </row>
    <row r="1178" spans="1:12" x14ac:dyDescent="0.25">
      <c r="A1178">
        <v>100560</v>
      </c>
      <c r="B1178" t="s">
        <v>194</v>
      </c>
      <c r="C1178" t="s">
        <v>47</v>
      </c>
      <c r="D1178" t="s">
        <v>541</v>
      </c>
      <c r="E1178" t="s">
        <v>3284</v>
      </c>
      <c r="F1178" t="s">
        <v>2640</v>
      </c>
      <c r="G1178" t="s">
        <v>2614</v>
      </c>
      <c r="H1178" t="s">
        <v>18</v>
      </c>
      <c r="I1178">
        <v>0</v>
      </c>
      <c r="J1178">
        <v>308</v>
      </c>
      <c r="K1178" t="s">
        <v>45</v>
      </c>
      <c r="L1178" t="s">
        <v>2582</v>
      </c>
    </row>
    <row r="1179" spans="1:12" x14ac:dyDescent="0.25">
      <c r="A1179">
        <v>101419</v>
      </c>
      <c r="B1179" t="s">
        <v>57</v>
      </c>
      <c r="C1179" t="s">
        <v>58</v>
      </c>
      <c r="D1179" t="s">
        <v>1304</v>
      </c>
      <c r="E1179" t="s">
        <v>3285</v>
      </c>
      <c r="F1179" t="s">
        <v>2583</v>
      </c>
      <c r="G1179" t="s">
        <v>2591</v>
      </c>
      <c r="H1179" t="s">
        <v>2623</v>
      </c>
      <c r="I1179">
        <v>176</v>
      </c>
      <c r="J1179">
        <v>798</v>
      </c>
      <c r="K1179" t="s">
        <v>56</v>
      </c>
      <c r="L1179" t="s">
        <v>26</v>
      </c>
    </row>
    <row r="1180" spans="1:12" x14ac:dyDescent="0.25">
      <c r="A1180">
        <v>100697</v>
      </c>
      <c r="B1180" t="s">
        <v>1069</v>
      </c>
      <c r="C1180" t="s">
        <v>22</v>
      </c>
      <c r="E1180" t="s">
        <v>1671</v>
      </c>
      <c r="F1180" t="s">
        <v>2583</v>
      </c>
      <c r="G1180" t="s">
        <v>31</v>
      </c>
      <c r="H1180" t="s">
        <v>18</v>
      </c>
      <c r="J1180">
        <v>607</v>
      </c>
      <c r="K1180" t="s">
        <v>37</v>
      </c>
      <c r="L1180" t="s">
        <v>2582</v>
      </c>
    </row>
    <row r="1181" spans="1:12" x14ac:dyDescent="0.25">
      <c r="A1181">
        <v>101317</v>
      </c>
      <c r="B1181" t="s">
        <v>825</v>
      </c>
      <c r="C1181" t="s">
        <v>58</v>
      </c>
      <c r="D1181" t="s">
        <v>1672</v>
      </c>
      <c r="E1181" t="s">
        <v>3286</v>
      </c>
      <c r="F1181" t="s">
        <v>2598</v>
      </c>
      <c r="G1181" t="s">
        <v>2658</v>
      </c>
      <c r="H1181" t="s">
        <v>2620</v>
      </c>
      <c r="I1181">
        <v>0</v>
      </c>
      <c r="J1181">
        <v>636</v>
      </c>
      <c r="K1181" t="s">
        <v>32</v>
      </c>
      <c r="L1181" t="s">
        <v>20</v>
      </c>
    </row>
    <row r="1182" spans="1:12" x14ac:dyDescent="0.25">
      <c r="A1182">
        <v>101853</v>
      </c>
      <c r="B1182" t="s">
        <v>493</v>
      </c>
      <c r="C1182" t="s">
        <v>152</v>
      </c>
      <c r="D1182" t="s">
        <v>507</v>
      </c>
      <c r="E1182" t="s">
        <v>3287</v>
      </c>
      <c r="F1182" t="s">
        <v>2579</v>
      </c>
      <c r="G1182" t="s">
        <v>2658</v>
      </c>
      <c r="H1182" t="s">
        <v>2618</v>
      </c>
      <c r="I1182">
        <v>0</v>
      </c>
      <c r="J1182">
        <v>737</v>
      </c>
      <c r="K1182" t="s">
        <v>56</v>
      </c>
      <c r="L1182" t="s">
        <v>20</v>
      </c>
    </row>
    <row r="1183" spans="1:12" x14ac:dyDescent="0.25">
      <c r="A1183">
        <v>100237</v>
      </c>
      <c r="B1183" t="s">
        <v>46</v>
      </c>
      <c r="C1183" t="s">
        <v>47</v>
      </c>
      <c r="D1183" t="s">
        <v>1673</v>
      </c>
      <c r="E1183" t="s">
        <v>3288</v>
      </c>
      <c r="F1183" t="s">
        <v>2613</v>
      </c>
      <c r="G1183" t="s">
        <v>2600</v>
      </c>
      <c r="H1183" t="s">
        <v>2587</v>
      </c>
      <c r="I1183">
        <v>0</v>
      </c>
      <c r="J1183">
        <v>615</v>
      </c>
      <c r="K1183" t="s">
        <v>37</v>
      </c>
      <c r="L1183" t="s">
        <v>2588</v>
      </c>
    </row>
    <row r="1184" spans="1:12" x14ac:dyDescent="0.25">
      <c r="A1184">
        <v>101208</v>
      </c>
      <c r="B1184" t="s">
        <v>409</v>
      </c>
      <c r="C1184" t="s">
        <v>187</v>
      </c>
      <c r="D1184" t="s">
        <v>1674</v>
      </c>
      <c r="E1184" t="s">
        <v>3289</v>
      </c>
      <c r="F1184" t="s">
        <v>2640</v>
      </c>
      <c r="G1184" t="s">
        <v>2602</v>
      </c>
      <c r="H1184" t="s">
        <v>2623</v>
      </c>
      <c r="I1184">
        <v>97</v>
      </c>
      <c r="J1184">
        <v>694</v>
      </c>
      <c r="K1184" t="s">
        <v>32</v>
      </c>
      <c r="L1184" t="s">
        <v>26</v>
      </c>
    </row>
    <row r="1185" spans="1:12" x14ac:dyDescent="0.25">
      <c r="A1185">
        <v>101538</v>
      </c>
      <c r="B1185" t="s">
        <v>1435</v>
      </c>
      <c r="C1185" t="s">
        <v>47</v>
      </c>
      <c r="D1185" t="s">
        <v>383</v>
      </c>
      <c r="E1185" t="s">
        <v>1675</v>
      </c>
      <c r="F1185" t="s">
        <v>2643</v>
      </c>
      <c r="G1185" t="s">
        <v>2599</v>
      </c>
      <c r="H1185" t="s">
        <v>2594</v>
      </c>
      <c r="I1185">
        <v>156</v>
      </c>
      <c r="J1185">
        <v>744</v>
      </c>
      <c r="K1185" t="s">
        <v>56</v>
      </c>
      <c r="L1185" t="s">
        <v>2588</v>
      </c>
    </row>
    <row r="1186" spans="1:12" x14ac:dyDescent="0.25">
      <c r="A1186">
        <v>101373</v>
      </c>
      <c r="B1186" t="s">
        <v>157</v>
      </c>
      <c r="C1186" t="s">
        <v>103</v>
      </c>
      <c r="D1186" t="s">
        <v>704</v>
      </c>
      <c r="E1186" t="s">
        <v>1676</v>
      </c>
      <c r="F1186" t="s">
        <v>2593</v>
      </c>
      <c r="G1186" t="s">
        <v>2602</v>
      </c>
      <c r="H1186" t="s">
        <v>2644</v>
      </c>
      <c r="I1186">
        <v>0</v>
      </c>
      <c r="J1186">
        <v>897</v>
      </c>
      <c r="K1186" t="s">
        <v>32</v>
      </c>
      <c r="L1186" t="s">
        <v>26</v>
      </c>
    </row>
    <row r="1187" spans="1:12" x14ac:dyDescent="0.25">
      <c r="A1187">
        <v>100407</v>
      </c>
      <c r="B1187" t="s">
        <v>1155</v>
      </c>
      <c r="C1187" t="s">
        <v>218</v>
      </c>
      <c r="D1187" t="s">
        <v>559</v>
      </c>
      <c r="E1187" t="s">
        <v>1677</v>
      </c>
      <c r="F1187" t="s">
        <v>2616</v>
      </c>
      <c r="G1187" t="s">
        <v>2614</v>
      </c>
      <c r="H1187" t="s">
        <v>18</v>
      </c>
      <c r="I1187">
        <v>0</v>
      </c>
      <c r="J1187">
        <v>557</v>
      </c>
      <c r="K1187" t="s">
        <v>37</v>
      </c>
      <c r="L1187" t="s">
        <v>20</v>
      </c>
    </row>
    <row r="1188" spans="1:12" x14ac:dyDescent="0.25">
      <c r="A1188">
        <v>101236</v>
      </c>
      <c r="B1188" t="s">
        <v>576</v>
      </c>
      <c r="C1188" t="s">
        <v>22</v>
      </c>
      <c r="D1188" t="s">
        <v>766</v>
      </c>
      <c r="E1188" t="s">
        <v>3290</v>
      </c>
      <c r="F1188" t="s">
        <v>64</v>
      </c>
      <c r="G1188" t="s">
        <v>2600</v>
      </c>
      <c r="H1188" t="s">
        <v>18</v>
      </c>
      <c r="I1188">
        <v>0</v>
      </c>
      <c r="J1188">
        <v>418</v>
      </c>
      <c r="K1188" t="s">
        <v>56</v>
      </c>
      <c r="L1188" t="s">
        <v>2582</v>
      </c>
    </row>
    <row r="1189" spans="1:12" x14ac:dyDescent="0.25">
      <c r="A1189">
        <v>102006</v>
      </c>
      <c r="B1189" t="s">
        <v>286</v>
      </c>
      <c r="C1189" t="s">
        <v>168</v>
      </c>
      <c r="D1189" t="s">
        <v>479</v>
      </c>
      <c r="E1189" t="s">
        <v>3291</v>
      </c>
      <c r="F1189" t="s">
        <v>2593</v>
      </c>
      <c r="G1189" t="s">
        <v>55</v>
      </c>
      <c r="H1189" t="s">
        <v>18</v>
      </c>
      <c r="I1189">
        <v>0</v>
      </c>
      <c r="J1189">
        <v>434</v>
      </c>
      <c r="K1189" t="s">
        <v>32</v>
      </c>
      <c r="L1189" t="s">
        <v>2582</v>
      </c>
    </row>
    <row r="1190" spans="1:12" x14ac:dyDescent="0.25">
      <c r="A1190">
        <v>100579</v>
      </c>
      <c r="B1190" t="s">
        <v>563</v>
      </c>
      <c r="C1190" t="s">
        <v>58</v>
      </c>
      <c r="D1190" t="s">
        <v>1678</v>
      </c>
      <c r="E1190" t="s">
        <v>3292</v>
      </c>
      <c r="F1190" t="s">
        <v>2643</v>
      </c>
      <c r="G1190" t="s">
        <v>2599</v>
      </c>
      <c r="H1190" t="s">
        <v>2644</v>
      </c>
      <c r="I1190">
        <v>0</v>
      </c>
      <c r="J1190">
        <v>893</v>
      </c>
      <c r="K1190" t="s">
        <v>19</v>
      </c>
      <c r="L1190" t="s">
        <v>2588</v>
      </c>
    </row>
    <row r="1191" spans="1:12" x14ac:dyDescent="0.25">
      <c r="A1191">
        <v>101133</v>
      </c>
      <c r="B1191" t="s">
        <v>890</v>
      </c>
      <c r="C1191" t="s">
        <v>149</v>
      </c>
      <c r="D1191" t="s">
        <v>1679</v>
      </c>
      <c r="E1191" t="s">
        <v>3293</v>
      </c>
      <c r="F1191" t="s">
        <v>2616</v>
      </c>
      <c r="G1191" t="s">
        <v>31</v>
      </c>
      <c r="H1191" t="s">
        <v>2630</v>
      </c>
      <c r="I1191">
        <v>16</v>
      </c>
      <c r="J1191">
        <v>733</v>
      </c>
      <c r="K1191" t="s">
        <v>45</v>
      </c>
      <c r="L1191" t="s">
        <v>2588</v>
      </c>
    </row>
    <row r="1192" spans="1:12" x14ac:dyDescent="0.25">
      <c r="A1192">
        <v>100819</v>
      </c>
      <c r="B1192" t="s">
        <v>75</v>
      </c>
      <c r="C1192" t="s">
        <v>39</v>
      </c>
      <c r="D1192" t="s">
        <v>1680</v>
      </c>
      <c r="E1192" t="s">
        <v>3294</v>
      </c>
      <c r="F1192" t="s">
        <v>2641</v>
      </c>
      <c r="G1192" t="s">
        <v>2596</v>
      </c>
      <c r="H1192" t="s">
        <v>2581</v>
      </c>
      <c r="I1192">
        <v>0</v>
      </c>
      <c r="J1192">
        <v>554</v>
      </c>
      <c r="K1192" t="s">
        <v>37</v>
      </c>
      <c r="L1192" t="s">
        <v>2582</v>
      </c>
    </row>
    <row r="1193" spans="1:12" x14ac:dyDescent="0.25">
      <c r="A1193">
        <v>101056</v>
      </c>
      <c r="B1193" t="s">
        <v>299</v>
      </c>
      <c r="C1193" t="s">
        <v>22</v>
      </c>
      <c r="D1193" t="s">
        <v>1681</v>
      </c>
      <c r="E1193" t="s">
        <v>3295</v>
      </c>
      <c r="F1193" t="s">
        <v>2604</v>
      </c>
      <c r="G1193" t="s">
        <v>2617</v>
      </c>
      <c r="H1193" t="s">
        <v>2623</v>
      </c>
      <c r="I1193">
        <v>161</v>
      </c>
      <c r="J1193">
        <v>855</v>
      </c>
      <c r="K1193" t="s">
        <v>45</v>
      </c>
      <c r="L1193" t="s">
        <v>2582</v>
      </c>
    </row>
    <row r="1194" spans="1:12" x14ac:dyDescent="0.25">
      <c r="A1194">
        <v>100830</v>
      </c>
      <c r="B1194" t="s">
        <v>327</v>
      </c>
      <c r="C1194" t="s">
        <v>100</v>
      </c>
      <c r="D1194" t="s">
        <v>1682</v>
      </c>
      <c r="E1194" t="s">
        <v>1683</v>
      </c>
      <c r="F1194" t="s">
        <v>2629</v>
      </c>
      <c r="G1194" t="s">
        <v>2591</v>
      </c>
      <c r="H1194" t="s">
        <v>18</v>
      </c>
      <c r="I1194">
        <v>0</v>
      </c>
      <c r="J1194">
        <v>721</v>
      </c>
      <c r="K1194" t="s">
        <v>19</v>
      </c>
      <c r="L1194" t="s">
        <v>20</v>
      </c>
    </row>
    <row r="1195" spans="1:12" x14ac:dyDescent="0.25">
      <c r="A1195">
        <v>101606</v>
      </c>
      <c r="B1195" t="s">
        <v>786</v>
      </c>
      <c r="C1195" t="s">
        <v>95</v>
      </c>
      <c r="D1195" t="s">
        <v>1684</v>
      </c>
      <c r="E1195" t="s">
        <v>1685</v>
      </c>
      <c r="F1195" t="s">
        <v>50</v>
      </c>
      <c r="G1195" t="s">
        <v>2584</v>
      </c>
      <c r="H1195" t="s">
        <v>25</v>
      </c>
      <c r="I1195">
        <v>3</v>
      </c>
      <c r="J1195">
        <v>835</v>
      </c>
      <c r="K1195" t="s">
        <v>19</v>
      </c>
      <c r="L1195" t="s">
        <v>2582</v>
      </c>
    </row>
    <row r="1196" spans="1:12" x14ac:dyDescent="0.25">
      <c r="A1196">
        <v>100368</v>
      </c>
      <c r="B1196" t="s">
        <v>610</v>
      </c>
      <c r="C1196" t="s">
        <v>2634</v>
      </c>
      <c r="D1196" t="s">
        <v>1131</v>
      </c>
      <c r="E1196" t="s">
        <v>1686</v>
      </c>
      <c r="F1196" t="s">
        <v>30</v>
      </c>
      <c r="G1196" t="s">
        <v>2580</v>
      </c>
      <c r="H1196" t="s">
        <v>2618</v>
      </c>
      <c r="I1196">
        <v>0</v>
      </c>
      <c r="J1196">
        <v>315</v>
      </c>
      <c r="K1196" t="s">
        <v>45</v>
      </c>
      <c r="L1196" t="s">
        <v>2582</v>
      </c>
    </row>
    <row r="1197" spans="1:12" x14ac:dyDescent="0.25">
      <c r="A1197">
        <v>101423</v>
      </c>
      <c r="B1197" t="s">
        <v>243</v>
      </c>
      <c r="C1197" t="s">
        <v>244</v>
      </c>
      <c r="D1197" t="s">
        <v>1632</v>
      </c>
      <c r="E1197" t="s">
        <v>3296</v>
      </c>
      <c r="F1197" t="s">
        <v>2593</v>
      </c>
      <c r="G1197" t="s">
        <v>81</v>
      </c>
      <c r="H1197" t="s">
        <v>2581</v>
      </c>
      <c r="I1197">
        <v>0</v>
      </c>
      <c r="J1197">
        <v>729</v>
      </c>
      <c r="K1197" t="s">
        <v>32</v>
      </c>
      <c r="L1197" t="s">
        <v>2582</v>
      </c>
    </row>
    <row r="1198" spans="1:12" x14ac:dyDescent="0.25">
      <c r="A1198">
        <v>100300</v>
      </c>
      <c r="B1198" t="s">
        <v>610</v>
      </c>
      <c r="C1198" t="s">
        <v>126</v>
      </c>
      <c r="D1198" t="s">
        <v>611</v>
      </c>
      <c r="E1198" t="s">
        <v>2813</v>
      </c>
      <c r="F1198" t="s">
        <v>2579</v>
      </c>
      <c r="G1198" t="s">
        <v>2617</v>
      </c>
      <c r="H1198" t="s">
        <v>18</v>
      </c>
      <c r="I1198">
        <v>0</v>
      </c>
      <c r="J1198">
        <v>315</v>
      </c>
      <c r="K1198" t="s">
        <v>45</v>
      </c>
      <c r="L1198" t="s">
        <v>2588</v>
      </c>
    </row>
    <row r="1199" spans="1:12" x14ac:dyDescent="0.25">
      <c r="A1199">
        <v>101780</v>
      </c>
      <c r="B1199" t="s">
        <v>329</v>
      </c>
      <c r="C1199" t="s">
        <v>270</v>
      </c>
      <c r="D1199" t="s">
        <v>1142</v>
      </c>
      <c r="E1199" t="s">
        <v>3297</v>
      </c>
      <c r="F1199" t="s">
        <v>2646</v>
      </c>
      <c r="G1199" t="s">
        <v>2625</v>
      </c>
      <c r="H1199" t="s">
        <v>2585</v>
      </c>
      <c r="I1199">
        <v>14</v>
      </c>
      <c r="J1199">
        <v>328</v>
      </c>
      <c r="K1199" t="s">
        <v>37</v>
      </c>
      <c r="L1199" t="s">
        <v>20</v>
      </c>
    </row>
    <row r="1200" spans="1:12" x14ac:dyDescent="0.25">
      <c r="A1200">
        <v>101073</v>
      </c>
      <c r="B1200" t="s">
        <v>141</v>
      </c>
      <c r="C1200" t="s">
        <v>142</v>
      </c>
      <c r="D1200" t="s">
        <v>1687</v>
      </c>
      <c r="E1200" t="s">
        <v>3298</v>
      </c>
      <c r="F1200" t="s">
        <v>64</v>
      </c>
      <c r="G1200" t="s">
        <v>2652</v>
      </c>
      <c r="H1200" t="s">
        <v>2630</v>
      </c>
      <c r="I1200">
        <v>4</v>
      </c>
      <c r="J1200">
        <v>430</v>
      </c>
      <c r="K1200" t="s">
        <v>32</v>
      </c>
      <c r="L1200" t="s">
        <v>2588</v>
      </c>
    </row>
    <row r="1201" spans="1:12" x14ac:dyDescent="0.25">
      <c r="A1201">
        <v>100537</v>
      </c>
      <c r="B1201" t="s">
        <v>303</v>
      </c>
      <c r="C1201" t="s">
        <v>187</v>
      </c>
      <c r="D1201" t="s">
        <v>1688</v>
      </c>
      <c r="E1201" t="s">
        <v>3299</v>
      </c>
      <c r="F1201" t="s">
        <v>2593</v>
      </c>
      <c r="G1201" t="s">
        <v>2607</v>
      </c>
      <c r="H1201" t="s">
        <v>2581</v>
      </c>
      <c r="I1201">
        <v>0</v>
      </c>
      <c r="J1201">
        <v>800</v>
      </c>
      <c r="K1201" t="s">
        <v>32</v>
      </c>
      <c r="L1201" t="s">
        <v>20</v>
      </c>
    </row>
    <row r="1202" spans="1:12" x14ac:dyDescent="0.25">
      <c r="A1202">
        <v>100148</v>
      </c>
      <c r="B1202" t="s">
        <v>1059</v>
      </c>
      <c r="C1202" t="s">
        <v>149</v>
      </c>
      <c r="D1202" t="s">
        <v>1411</v>
      </c>
      <c r="E1202" t="s">
        <v>1689</v>
      </c>
      <c r="F1202" t="s">
        <v>2648</v>
      </c>
      <c r="G1202" t="s">
        <v>2652</v>
      </c>
      <c r="H1202" t="s">
        <v>2597</v>
      </c>
      <c r="I1202">
        <v>26</v>
      </c>
      <c r="J1202">
        <v>571</v>
      </c>
      <c r="K1202" t="s">
        <v>37</v>
      </c>
      <c r="L1202" t="s">
        <v>26</v>
      </c>
    </row>
    <row r="1203" spans="1:12" x14ac:dyDescent="0.25">
      <c r="A1203">
        <v>101471</v>
      </c>
      <c r="B1203" t="s">
        <v>79</v>
      </c>
      <c r="C1203" t="s">
        <v>47</v>
      </c>
      <c r="D1203" t="s">
        <v>1690</v>
      </c>
      <c r="E1203" t="s">
        <v>1691</v>
      </c>
      <c r="F1203" t="s">
        <v>2604</v>
      </c>
      <c r="H1203" t="s">
        <v>2597</v>
      </c>
      <c r="I1203">
        <v>2</v>
      </c>
      <c r="J1203">
        <v>585</v>
      </c>
      <c r="K1203" t="s">
        <v>37</v>
      </c>
      <c r="L1203" t="s">
        <v>2588</v>
      </c>
    </row>
    <row r="1204" spans="1:12" x14ac:dyDescent="0.25">
      <c r="A1204">
        <v>100743</v>
      </c>
      <c r="B1204" t="s">
        <v>329</v>
      </c>
      <c r="C1204" t="s">
        <v>2691</v>
      </c>
      <c r="D1204" t="s">
        <v>1692</v>
      </c>
      <c r="E1204" t="s">
        <v>1693</v>
      </c>
      <c r="F1204" t="s">
        <v>41</v>
      </c>
      <c r="H1204" t="s">
        <v>18</v>
      </c>
      <c r="I1204">
        <v>0</v>
      </c>
      <c r="J1204">
        <v>328</v>
      </c>
      <c r="K1204" t="s">
        <v>37</v>
      </c>
      <c r="L1204" t="s">
        <v>2588</v>
      </c>
    </row>
    <row r="1205" spans="1:12" x14ac:dyDescent="0.25">
      <c r="A1205">
        <v>102199</v>
      </c>
      <c r="B1205" t="s">
        <v>313</v>
      </c>
      <c r="C1205" t="s">
        <v>58</v>
      </c>
      <c r="D1205" t="s">
        <v>1694</v>
      </c>
      <c r="E1205" t="s">
        <v>1695</v>
      </c>
      <c r="F1205" t="s">
        <v>2627</v>
      </c>
      <c r="G1205" t="s">
        <v>2635</v>
      </c>
      <c r="H1205" t="s">
        <v>83</v>
      </c>
      <c r="I1205">
        <v>0</v>
      </c>
      <c r="J1205">
        <v>716</v>
      </c>
      <c r="K1205" t="s">
        <v>19</v>
      </c>
      <c r="L1205" t="s">
        <v>2582</v>
      </c>
    </row>
    <row r="1206" spans="1:12" x14ac:dyDescent="0.25">
      <c r="A1206">
        <v>100379</v>
      </c>
      <c r="B1206" t="s">
        <v>563</v>
      </c>
      <c r="C1206" t="s">
        <v>58</v>
      </c>
      <c r="D1206" t="s">
        <v>407</v>
      </c>
      <c r="E1206" t="s">
        <v>3300</v>
      </c>
      <c r="F1206" t="s">
        <v>2608</v>
      </c>
      <c r="G1206" t="s">
        <v>2591</v>
      </c>
      <c r="H1206" t="s">
        <v>2581</v>
      </c>
      <c r="I1206">
        <v>0</v>
      </c>
      <c r="J1206">
        <v>893</v>
      </c>
      <c r="K1206" t="s">
        <v>56</v>
      </c>
      <c r="L1206" t="s">
        <v>20</v>
      </c>
    </row>
    <row r="1207" spans="1:12" x14ac:dyDescent="0.25">
      <c r="A1207">
        <v>100651</v>
      </c>
      <c r="B1207" t="s">
        <v>230</v>
      </c>
      <c r="D1207" t="s">
        <v>1696</v>
      </c>
      <c r="E1207" t="s">
        <v>1697</v>
      </c>
      <c r="F1207" t="s">
        <v>2613</v>
      </c>
      <c r="G1207" t="s">
        <v>2635</v>
      </c>
      <c r="H1207" t="s">
        <v>2581</v>
      </c>
      <c r="I1207">
        <v>0</v>
      </c>
      <c r="J1207">
        <v>818</v>
      </c>
      <c r="K1207" t="s">
        <v>32</v>
      </c>
      <c r="L1207" t="s">
        <v>26</v>
      </c>
    </row>
    <row r="1208" spans="1:12" x14ac:dyDescent="0.25">
      <c r="A1208">
        <v>100194</v>
      </c>
      <c r="B1208" t="s">
        <v>347</v>
      </c>
      <c r="C1208" t="s">
        <v>95</v>
      </c>
      <c r="D1208" t="s">
        <v>1400</v>
      </c>
      <c r="E1208" t="s">
        <v>3301</v>
      </c>
      <c r="F1208" t="s">
        <v>50</v>
      </c>
      <c r="G1208" t="s">
        <v>31</v>
      </c>
      <c r="H1208" t="s">
        <v>2618</v>
      </c>
      <c r="I1208">
        <v>0</v>
      </c>
      <c r="J1208">
        <v>699</v>
      </c>
      <c r="K1208" t="s">
        <v>32</v>
      </c>
      <c r="L1208" t="s">
        <v>2582</v>
      </c>
    </row>
    <row r="1209" spans="1:12" x14ac:dyDescent="0.25">
      <c r="A1209">
        <v>100939</v>
      </c>
      <c r="B1209" t="s">
        <v>238</v>
      </c>
      <c r="C1209" t="s">
        <v>47</v>
      </c>
      <c r="D1209" t="s">
        <v>1698</v>
      </c>
      <c r="E1209" t="s">
        <v>3302</v>
      </c>
      <c r="F1209" t="s">
        <v>2590</v>
      </c>
      <c r="G1209" t="s">
        <v>2617</v>
      </c>
      <c r="H1209" t="s">
        <v>18</v>
      </c>
      <c r="I1209">
        <v>0</v>
      </c>
      <c r="J1209">
        <v>497</v>
      </c>
      <c r="K1209" t="s">
        <v>19</v>
      </c>
      <c r="L1209" t="s">
        <v>20</v>
      </c>
    </row>
    <row r="1210" spans="1:12" x14ac:dyDescent="0.25">
      <c r="A1210">
        <v>101296</v>
      </c>
      <c r="B1210" t="s">
        <v>138</v>
      </c>
      <c r="C1210" t="s">
        <v>85</v>
      </c>
      <c r="D1210" t="s">
        <v>804</v>
      </c>
      <c r="E1210" t="s">
        <v>3303</v>
      </c>
      <c r="F1210" t="s">
        <v>2608</v>
      </c>
      <c r="G1210" t="s">
        <v>2652</v>
      </c>
      <c r="H1210" t="s">
        <v>83</v>
      </c>
      <c r="I1210">
        <v>0</v>
      </c>
      <c r="J1210">
        <v>623</v>
      </c>
      <c r="K1210" t="s">
        <v>19</v>
      </c>
      <c r="L1210" t="s">
        <v>2588</v>
      </c>
    </row>
    <row r="1211" spans="1:12" x14ac:dyDescent="0.25">
      <c r="A1211">
        <v>100543</v>
      </c>
      <c r="B1211" t="s">
        <v>525</v>
      </c>
      <c r="C1211" t="s">
        <v>58</v>
      </c>
      <c r="D1211" t="s">
        <v>1699</v>
      </c>
      <c r="E1211" t="s">
        <v>3304</v>
      </c>
      <c r="F1211" t="s">
        <v>2646</v>
      </c>
      <c r="G1211" t="s">
        <v>2602</v>
      </c>
      <c r="H1211" t="s">
        <v>2594</v>
      </c>
      <c r="I1211">
        <v>62</v>
      </c>
      <c r="J1211">
        <v>501</v>
      </c>
      <c r="K1211" t="s">
        <v>19</v>
      </c>
      <c r="L1211" t="s">
        <v>20</v>
      </c>
    </row>
    <row r="1212" spans="1:12" x14ac:dyDescent="0.25">
      <c r="A1212">
        <v>100649</v>
      </c>
      <c r="B1212" t="s">
        <v>592</v>
      </c>
      <c r="C1212" t="s">
        <v>2696</v>
      </c>
      <c r="D1212" t="s">
        <v>1700</v>
      </c>
      <c r="E1212" t="s">
        <v>3305</v>
      </c>
      <c r="F1212" t="s">
        <v>2627</v>
      </c>
      <c r="G1212" t="s">
        <v>2600</v>
      </c>
      <c r="H1212" t="s">
        <v>2587</v>
      </c>
      <c r="I1212">
        <v>0</v>
      </c>
      <c r="J1212">
        <v>332</v>
      </c>
      <c r="L1212" t="s">
        <v>26</v>
      </c>
    </row>
    <row r="1213" spans="1:12" x14ac:dyDescent="0.25">
      <c r="A1213">
        <v>100769</v>
      </c>
      <c r="B1213" t="s">
        <v>607</v>
      </c>
      <c r="C1213" t="s">
        <v>134</v>
      </c>
      <c r="D1213" t="s">
        <v>1701</v>
      </c>
      <c r="E1213" t="s">
        <v>1702</v>
      </c>
      <c r="F1213" t="s">
        <v>2646</v>
      </c>
      <c r="G1213" t="s">
        <v>2609</v>
      </c>
      <c r="H1213" t="s">
        <v>2620</v>
      </c>
      <c r="I1213">
        <v>0</v>
      </c>
      <c r="J1213">
        <v>458</v>
      </c>
      <c r="K1213" t="s">
        <v>56</v>
      </c>
      <c r="L1213" t="s">
        <v>20</v>
      </c>
    </row>
    <row r="1214" spans="1:12" x14ac:dyDescent="0.25">
      <c r="A1214">
        <v>100905</v>
      </c>
      <c r="B1214" t="s">
        <v>525</v>
      </c>
      <c r="C1214" t="s">
        <v>58</v>
      </c>
      <c r="E1214" t="s">
        <v>3306</v>
      </c>
      <c r="F1214" t="s">
        <v>64</v>
      </c>
      <c r="G1214" t="s">
        <v>81</v>
      </c>
      <c r="H1214" t="s">
        <v>2587</v>
      </c>
      <c r="I1214">
        <v>0</v>
      </c>
      <c r="J1214">
        <v>501</v>
      </c>
      <c r="K1214" t="s">
        <v>19</v>
      </c>
      <c r="L1214" t="s">
        <v>2588</v>
      </c>
    </row>
    <row r="1215" spans="1:12" x14ac:dyDescent="0.25">
      <c r="A1215">
        <v>102074</v>
      </c>
      <c r="B1215" t="s">
        <v>255</v>
      </c>
      <c r="C1215" t="s">
        <v>2680</v>
      </c>
      <c r="D1215" t="s">
        <v>1703</v>
      </c>
      <c r="E1215" t="s">
        <v>3307</v>
      </c>
      <c r="F1215" t="s">
        <v>2598</v>
      </c>
      <c r="G1215" t="s">
        <v>2591</v>
      </c>
      <c r="H1215" t="s">
        <v>25</v>
      </c>
      <c r="I1215">
        <v>23</v>
      </c>
      <c r="J1215">
        <v>639</v>
      </c>
      <c r="K1215" t="s">
        <v>45</v>
      </c>
      <c r="L1215" t="s">
        <v>2588</v>
      </c>
    </row>
    <row r="1216" spans="1:12" x14ac:dyDescent="0.25">
      <c r="A1216">
        <v>101376</v>
      </c>
      <c r="B1216" t="s">
        <v>278</v>
      </c>
      <c r="C1216" t="s">
        <v>62</v>
      </c>
      <c r="D1216" t="s">
        <v>1704</v>
      </c>
      <c r="E1216" t="s">
        <v>1705</v>
      </c>
      <c r="F1216" t="s">
        <v>2583</v>
      </c>
      <c r="G1216" t="s">
        <v>2602</v>
      </c>
      <c r="H1216" t="s">
        <v>2620</v>
      </c>
      <c r="I1216">
        <v>0</v>
      </c>
      <c r="J1216">
        <v>713</v>
      </c>
      <c r="K1216" t="s">
        <v>56</v>
      </c>
      <c r="L1216" t="s">
        <v>20</v>
      </c>
    </row>
    <row r="1217" spans="1:12" x14ac:dyDescent="0.25">
      <c r="A1217">
        <v>102170</v>
      </c>
      <c r="B1217" t="s">
        <v>487</v>
      </c>
      <c r="C1217" t="s">
        <v>22</v>
      </c>
      <c r="D1217" t="s">
        <v>1706</v>
      </c>
      <c r="E1217" t="s">
        <v>3308</v>
      </c>
      <c r="F1217" t="s">
        <v>2616</v>
      </c>
      <c r="G1217" t="s">
        <v>2633</v>
      </c>
      <c r="H1217" t="s">
        <v>2581</v>
      </c>
      <c r="I1217">
        <v>0</v>
      </c>
      <c r="J1217">
        <v>647</v>
      </c>
      <c r="K1217" t="s">
        <v>45</v>
      </c>
      <c r="L1217" t="s">
        <v>2588</v>
      </c>
    </row>
    <row r="1218" spans="1:12" x14ac:dyDescent="0.25">
      <c r="A1218">
        <v>100440</v>
      </c>
      <c r="B1218" t="s">
        <v>329</v>
      </c>
      <c r="C1218" t="s">
        <v>270</v>
      </c>
      <c r="D1218" t="s">
        <v>554</v>
      </c>
      <c r="E1218" t="s">
        <v>3309</v>
      </c>
      <c r="F1218" t="s">
        <v>30</v>
      </c>
      <c r="G1218" t="s">
        <v>2625</v>
      </c>
      <c r="H1218" t="s">
        <v>2618</v>
      </c>
      <c r="I1218">
        <v>0</v>
      </c>
      <c r="J1218">
        <v>328</v>
      </c>
      <c r="K1218" t="s">
        <v>19</v>
      </c>
      <c r="L1218" t="s">
        <v>26</v>
      </c>
    </row>
    <row r="1219" spans="1:12" x14ac:dyDescent="0.25">
      <c r="A1219">
        <v>101102</v>
      </c>
      <c r="B1219" t="s">
        <v>1009</v>
      </c>
      <c r="C1219" t="s">
        <v>58</v>
      </c>
      <c r="D1219" t="s">
        <v>1707</v>
      </c>
      <c r="E1219" t="s">
        <v>3310</v>
      </c>
      <c r="F1219" t="s">
        <v>2590</v>
      </c>
      <c r="G1219" t="s">
        <v>60</v>
      </c>
      <c r="H1219" t="s">
        <v>2581</v>
      </c>
      <c r="I1219">
        <v>0</v>
      </c>
      <c r="J1219">
        <v>400</v>
      </c>
      <c r="K1219" t="s">
        <v>56</v>
      </c>
      <c r="L1219" t="s">
        <v>26</v>
      </c>
    </row>
    <row r="1220" spans="1:12" x14ac:dyDescent="0.25">
      <c r="A1220">
        <v>101679</v>
      </c>
      <c r="B1220" t="s">
        <v>399</v>
      </c>
      <c r="C1220" t="s">
        <v>187</v>
      </c>
      <c r="D1220" t="s">
        <v>1277</v>
      </c>
      <c r="E1220" t="s">
        <v>3078</v>
      </c>
      <c r="F1220" t="s">
        <v>2627</v>
      </c>
      <c r="G1220" t="s">
        <v>2584</v>
      </c>
      <c r="H1220" t="s">
        <v>2581</v>
      </c>
      <c r="I1220">
        <v>0</v>
      </c>
      <c r="J1220">
        <v>370</v>
      </c>
      <c r="K1220" t="s">
        <v>37</v>
      </c>
      <c r="L1220" t="s">
        <v>2588</v>
      </c>
    </row>
    <row r="1221" spans="1:12" x14ac:dyDescent="0.25">
      <c r="A1221">
        <v>100332</v>
      </c>
      <c r="B1221" t="s">
        <v>259</v>
      </c>
      <c r="C1221" t="s">
        <v>218</v>
      </c>
      <c r="D1221" t="s">
        <v>412</v>
      </c>
      <c r="E1221" t="s">
        <v>3311</v>
      </c>
      <c r="F1221" t="s">
        <v>2608</v>
      </c>
      <c r="G1221" t="s">
        <v>2625</v>
      </c>
      <c r="H1221" t="s">
        <v>2587</v>
      </c>
      <c r="I1221">
        <v>0</v>
      </c>
      <c r="J1221">
        <v>732</v>
      </c>
      <c r="K1221" t="s">
        <v>37</v>
      </c>
      <c r="L1221" t="s">
        <v>26</v>
      </c>
    </row>
    <row r="1222" spans="1:12" x14ac:dyDescent="0.25">
      <c r="A1222">
        <v>102135</v>
      </c>
      <c r="B1222" t="s">
        <v>196</v>
      </c>
      <c r="C1222" t="s">
        <v>2949</v>
      </c>
      <c r="D1222" t="s">
        <v>1708</v>
      </c>
      <c r="E1222" t="s">
        <v>1709</v>
      </c>
      <c r="F1222" t="s">
        <v>2641</v>
      </c>
      <c r="G1222" t="s">
        <v>2614</v>
      </c>
      <c r="H1222" t="s">
        <v>2597</v>
      </c>
      <c r="I1222">
        <v>8</v>
      </c>
      <c r="J1222">
        <v>405</v>
      </c>
      <c r="K1222" t="s">
        <v>56</v>
      </c>
      <c r="L1222" t="s">
        <v>26</v>
      </c>
    </row>
    <row r="1223" spans="1:12" x14ac:dyDescent="0.25">
      <c r="A1223">
        <v>101823</v>
      </c>
      <c r="B1223" t="s">
        <v>34</v>
      </c>
      <c r="C1223" t="s">
        <v>13</v>
      </c>
      <c r="D1223" t="s">
        <v>1710</v>
      </c>
      <c r="E1223" t="s">
        <v>1711</v>
      </c>
      <c r="F1223" t="s">
        <v>2646</v>
      </c>
      <c r="G1223" t="s">
        <v>81</v>
      </c>
      <c r="H1223" t="s">
        <v>2587</v>
      </c>
      <c r="I1223">
        <v>0</v>
      </c>
      <c r="J1223">
        <v>672</v>
      </c>
      <c r="K1223" t="s">
        <v>32</v>
      </c>
      <c r="L1223" t="s">
        <v>20</v>
      </c>
    </row>
    <row r="1224" spans="1:12" x14ac:dyDescent="0.25">
      <c r="A1224">
        <v>101115</v>
      </c>
      <c r="B1224" t="s">
        <v>706</v>
      </c>
      <c r="C1224" t="s">
        <v>72</v>
      </c>
      <c r="D1224" t="s">
        <v>1712</v>
      </c>
      <c r="E1224" t="s">
        <v>3312</v>
      </c>
      <c r="F1224" t="s">
        <v>64</v>
      </c>
      <c r="G1224" t="s">
        <v>2635</v>
      </c>
      <c r="H1224" t="s">
        <v>2618</v>
      </c>
      <c r="J1224">
        <v>382</v>
      </c>
      <c r="K1224" t="s">
        <v>45</v>
      </c>
      <c r="L1224" t="s">
        <v>20</v>
      </c>
    </row>
    <row r="1225" spans="1:12" x14ac:dyDescent="0.25">
      <c r="A1225">
        <v>100586</v>
      </c>
      <c r="B1225" t="s">
        <v>540</v>
      </c>
      <c r="C1225" t="s">
        <v>13</v>
      </c>
      <c r="D1225" t="s">
        <v>293</v>
      </c>
      <c r="E1225" t="s">
        <v>1713</v>
      </c>
      <c r="F1225" t="s">
        <v>2593</v>
      </c>
      <c r="G1225" t="s">
        <v>2625</v>
      </c>
      <c r="H1225" t="s">
        <v>18</v>
      </c>
      <c r="I1225">
        <v>0</v>
      </c>
      <c r="J1225">
        <v>487</v>
      </c>
      <c r="K1225" t="s">
        <v>56</v>
      </c>
      <c r="L1225" t="s">
        <v>2588</v>
      </c>
    </row>
    <row r="1226" spans="1:12" x14ac:dyDescent="0.25">
      <c r="A1226">
        <v>100718</v>
      </c>
      <c r="B1226" t="s">
        <v>444</v>
      </c>
      <c r="C1226" t="s">
        <v>52</v>
      </c>
      <c r="D1226" t="s">
        <v>1714</v>
      </c>
      <c r="E1226" t="s">
        <v>3313</v>
      </c>
      <c r="F1226" t="s">
        <v>2640</v>
      </c>
      <c r="G1226" t="s">
        <v>2635</v>
      </c>
      <c r="H1226" t="s">
        <v>2587</v>
      </c>
      <c r="I1226">
        <v>0</v>
      </c>
      <c r="J1226">
        <v>688</v>
      </c>
      <c r="K1226" t="s">
        <v>32</v>
      </c>
      <c r="L1226" t="s">
        <v>20</v>
      </c>
    </row>
    <row r="1227" spans="1:12" x14ac:dyDescent="0.25">
      <c r="A1227">
        <v>101528</v>
      </c>
      <c r="B1227" t="s">
        <v>396</v>
      </c>
      <c r="C1227" t="s">
        <v>103</v>
      </c>
      <c r="D1227" t="s">
        <v>1715</v>
      </c>
      <c r="E1227" t="s">
        <v>1716</v>
      </c>
      <c r="F1227" t="s">
        <v>2604</v>
      </c>
      <c r="G1227" t="s">
        <v>2658</v>
      </c>
      <c r="H1227" t="s">
        <v>42</v>
      </c>
      <c r="I1227">
        <v>78</v>
      </c>
      <c r="J1227">
        <v>437</v>
      </c>
      <c r="K1227" t="s">
        <v>32</v>
      </c>
      <c r="L1227" t="s">
        <v>2588</v>
      </c>
    </row>
    <row r="1228" spans="1:12" x14ac:dyDescent="0.25">
      <c r="A1228">
        <v>100971</v>
      </c>
      <c r="B1228" t="s">
        <v>489</v>
      </c>
      <c r="C1228" t="s">
        <v>126</v>
      </c>
      <c r="D1228" t="s">
        <v>1632</v>
      </c>
      <c r="E1228" t="s">
        <v>3263</v>
      </c>
      <c r="F1228" t="s">
        <v>2646</v>
      </c>
      <c r="H1228" t="s">
        <v>2620</v>
      </c>
      <c r="I1228">
        <v>0</v>
      </c>
      <c r="J1228">
        <v>843</v>
      </c>
      <c r="K1228" t="s">
        <v>45</v>
      </c>
      <c r="L1228" t="s">
        <v>20</v>
      </c>
    </row>
    <row r="1229" spans="1:12" x14ac:dyDescent="0.25">
      <c r="A1229">
        <v>101402</v>
      </c>
      <c r="B1229" t="s">
        <v>1378</v>
      </c>
      <c r="C1229" t="s">
        <v>142</v>
      </c>
      <c r="D1229" t="s">
        <v>1717</v>
      </c>
      <c r="F1229" t="s">
        <v>30</v>
      </c>
      <c r="G1229" t="s">
        <v>55</v>
      </c>
      <c r="H1229" t="s">
        <v>2644</v>
      </c>
      <c r="I1229">
        <v>0</v>
      </c>
      <c r="J1229">
        <v>369</v>
      </c>
      <c r="K1229" t="s">
        <v>56</v>
      </c>
      <c r="L1229" t="s">
        <v>2588</v>
      </c>
    </row>
    <row r="1230" spans="1:12" x14ac:dyDescent="0.25">
      <c r="A1230">
        <v>101487</v>
      </c>
      <c r="B1230" t="s">
        <v>610</v>
      </c>
      <c r="C1230" t="s">
        <v>126</v>
      </c>
      <c r="D1230" t="s">
        <v>1718</v>
      </c>
      <c r="E1230" t="s">
        <v>3314</v>
      </c>
      <c r="F1230" t="s">
        <v>2604</v>
      </c>
      <c r="G1230" t="s">
        <v>2602</v>
      </c>
      <c r="H1230" t="s">
        <v>83</v>
      </c>
      <c r="I1230">
        <v>0</v>
      </c>
      <c r="J1230">
        <v>315</v>
      </c>
      <c r="K1230" t="s">
        <v>19</v>
      </c>
      <c r="L1230" t="s">
        <v>26</v>
      </c>
    </row>
    <row r="1231" spans="1:12" x14ac:dyDescent="0.25">
      <c r="A1231">
        <v>101165</v>
      </c>
      <c r="B1231" t="s">
        <v>599</v>
      </c>
      <c r="C1231" t="s">
        <v>2680</v>
      </c>
      <c r="D1231" t="s">
        <v>1668</v>
      </c>
      <c r="E1231" t="s">
        <v>3315</v>
      </c>
      <c r="F1231" t="s">
        <v>2613</v>
      </c>
      <c r="G1231" t="s">
        <v>81</v>
      </c>
      <c r="H1231" t="s">
        <v>2581</v>
      </c>
      <c r="I1231">
        <v>0</v>
      </c>
      <c r="J1231">
        <v>552</v>
      </c>
      <c r="L1231" t="s">
        <v>2582</v>
      </c>
    </row>
    <row r="1232" spans="1:12" x14ac:dyDescent="0.25">
      <c r="A1232">
        <v>101300</v>
      </c>
      <c r="B1232" t="s">
        <v>534</v>
      </c>
      <c r="C1232" t="s">
        <v>39</v>
      </c>
      <c r="D1232" t="s">
        <v>1008</v>
      </c>
      <c r="E1232" t="s">
        <v>1719</v>
      </c>
      <c r="F1232" t="s">
        <v>30</v>
      </c>
      <c r="G1232" t="s">
        <v>2625</v>
      </c>
      <c r="H1232" t="s">
        <v>83</v>
      </c>
      <c r="I1232">
        <v>0</v>
      </c>
      <c r="J1232">
        <v>592</v>
      </c>
      <c r="K1232" t="s">
        <v>32</v>
      </c>
      <c r="L1232" t="s">
        <v>2588</v>
      </c>
    </row>
    <row r="1233" spans="1:12" x14ac:dyDescent="0.25">
      <c r="A1233">
        <v>101643</v>
      </c>
      <c r="B1233" t="s">
        <v>282</v>
      </c>
      <c r="C1233" t="s">
        <v>2949</v>
      </c>
      <c r="D1233" t="s">
        <v>1720</v>
      </c>
      <c r="E1233" t="s">
        <v>3316</v>
      </c>
      <c r="F1233" t="s">
        <v>2646</v>
      </c>
      <c r="G1233" t="s">
        <v>2596</v>
      </c>
      <c r="H1233" t="s">
        <v>2644</v>
      </c>
      <c r="I1233">
        <v>0</v>
      </c>
      <c r="J1233">
        <v>301</v>
      </c>
      <c r="K1233" t="s">
        <v>32</v>
      </c>
      <c r="L1233" t="s">
        <v>20</v>
      </c>
    </row>
    <row r="1234" spans="1:12" x14ac:dyDescent="0.25">
      <c r="A1234">
        <v>101127</v>
      </c>
      <c r="B1234" t="s">
        <v>936</v>
      </c>
      <c r="C1234" t="s">
        <v>110</v>
      </c>
      <c r="D1234" t="s">
        <v>1721</v>
      </c>
      <c r="E1234" t="s">
        <v>3317</v>
      </c>
      <c r="F1234" t="s">
        <v>2579</v>
      </c>
      <c r="G1234" t="s">
        <v>2602</v>
      </c>
      <c r="H1234" t="s">
        <v>18</v>
      </c>
      <c r="J1234">
        <v>508</v>
      </c>
      <c r="K1234" t="s">
        <v>19</v>
      </c>
      <c r="L1234" t="s">
        <v>2582</v>
      </c>
    </row>
    <row r="1235" spans="1:12" x14ac:dyDescent="0.25">
      <c r="A1235">
        <v>100466</v>
      </c>
      <c r="B1235" t="s">
        <v>392</v>
      </c>
      <c r="C1235" t="s">
        <v>72</v>
      </c>
      <c r="D1235" t="s">
        <v>1722</v>
      </c>
      <c r="E1235" t="s">
        <v>1723</v>
      </c>
      <c r="F1235" t="s">
        <v>2627</v>
      </c>
      <c r="G1235" t="s">
        <v>2611</v>
      </c>
      <c r="H1235" t="s">
        <v>2581</v>
      </c>
      <c r="I1235">
        <v>0</v>
      </c>
      <c r="J1235">
        <v>433</v>
      </c>
      <c r="L1235" t="s">
        <v>20</v>
      </c>
    </row>
    <row r="1236" spans="1:12" x14ac:dyDescent="0.25">
      <c r="A1236">
        <v>101289</v>
      </c>
      <c r="B1236" t="s">
        <v>71</v>
      </c>
      <c r="C1236" t="s">
        <v>72</v>
      </c>
      <c r="D1236" t="s">
        <v>1457</v>
      </c>
      <c r="E1236" t="s">
        <v>3318</v>
      </c>
      <c r="F1236" t="s">
        <v>2593</v>
      </c>
      <c r="G1236" t="s">
        <v>2596</v>
      </c>
      <c r="H1236" t="s">
        <v>2618</v>
      </c>
      <c r="I1236">
        <v>0</v>
      </c>
      <c r="J1236">
        <v>841</v>
      </c>
      <c r="K1236" t="s">
        <v>56</v>
      </c>
      <c r="L1236" t="s">
        <v>26</v>
      </c>
    </row>
    <row r="1237" spans="1:12" x14ac:dyDescent="0.25">
      <c r="A1237">
        <v>100613</v>
      </c>
      <c r="B1237" t="s">
        <v>61</v>
      </c>
      <c r="C1237" t="s">
        <v>62</v>
      </c>
      <c r="D1237" t="s">
        <v>1724</v>
      </c>
      <c r="E1237" t="s">
        <v>3319</v>
      </c>
      <c r="F1237" t="s">
        <v>2583</v>
      </c>
      <c r="G1237" t="s">
        <v>2596</v>
      </c>
      <c r="H1237" t="s">
        <v>2623</v>
      </c>
      <c r="I1237">
        <v>62</v>
      </c>
      <c r="J1237">
        <v>542</v>
      </c>
      <c r="K1237" t="s">
        <v>19</v>
      </c>
      <c r="L1237" t="s">
        <v>20</v>
      </c>
    </row>
    <row r="1238" spans="1:12" x14ac:dyDescent="0.25">
      <c r="A1238">
        <v>100163</v>
      </c>
      <c r="B1238" t="s">
        <v>352</v>
      </c>
      <c r="C1238" t="s">
        <v>2699</v>
      </c>
      <c r="D1238" t="s">
        <v>1725</v>
      </c>
      <c r="E1238" t="s">
        <v>3320</v>
      </c>
      <c r="F1238" t="s">
        <v>2593</v>
      </c>
      <c r="G1238" t="s">
        <v>2617</v>
      </c>
      <c r="H1238" t="s">
        <v>42</v>
      </c>
      <c r="I1238">
        <v>53</v>
      </c>
      <c r="J1238">
        <v>778</v>
      </c>
      <c r="K1238" t="s">
        <v>37</v>
      </c>
      <c r="L1238" t="s">
        <v>26</v>
      </c>
    </row>
    <row r="1239" spans="1:12" x14ac:dyDescent="0.25">
      <c r="A1239">
        <v>101138</v>
      </c>
      <c r="B1239" t="s">
        <v>1053</v>
      </c>
      <c r="C1239" t="s">
        <v>47</v>
      </c>
      <c r="D1239" t="s">
        <v>1726</v>
      </c>
      <c r="E1239" t="s">
        <v>3321</v>
      </c>
      <c r="F1239" t="s">
        <v>2646</v>
      </c>
      <c r="G1239" t="s">
        <v>2614</v>
      </c>
      <c r="H1239" t="s">
        <v>2644</v>
      </c>
      <c r="I1239">
        <v>0</v>
      </c>
      <c r="J1239">
        <v>864</v>
      </c>
      <c r="K1239" t="s">
        <v>19</v>
      </c>
    </row>
    <row r="1240" spans="1:12" x14ac:dyDescent="0.25">
      <c r="A1240">
        <v>100889</v>
      </c>
      <c r="B1240" t="s">
        <v>217</v>
      </c>
      <c r="C1240" t="s">
        <v>218</v>
      </c>
      <c r="D1240" t="s">
        <v>163</v>
      </c>
      <c r="E1240" t="s">
        <v>1727</v>
      </c>
      <c r="F1240" t="s">
        <v>2613</v>
      </c>
      <c r="G1240" t="s">
        <v>2611</v>
      </c>
      <c r="H1240" t="s">
        <v>18</v>
      </c>
      <c r="I1240">
        <v>0</v>
      </c>
      <c r="J1240">
        <v>894</v>
      </c>
      <c r="K1240" t="s">
        <v>19</v>
      </c>
      <c r="L1240" t="s">
        <v>20</v>
      </c>
    </row>
    <row r="1241" spans="1:12" x14ac:dyDescent="0.25">
      <c r="A1241">
        <v>100720</v>
      </c>
      <c r="B1241" t="s">
        <v>530</v>
      </c>
      <c r="C1241" t="s">
        <v>142</v>
      </c>
      <c r="D1241" t="s">
        <v>1728</v>
      </c>
      <c r="E1241" t="s">
        <v>3322</v>
      </c>
      <c r="F1241" t="s">
        <v>2629</v>
      </c>
      <c r="G1241" t="s">
        <v>2635</v>
      </c>
      <c r="H1241" t="s">
        <v>2597</v>
      </c>
      <c r="I1241">
        <v>19</v>
      </c>
      <c r="J1241">
        <v>819</v>
      </c>
      <c r="K1241" t="s">
        <v>56</v>
      </c>
      <c r="L1241" t="s">
        <v>2582</v>
      </c>
    </row>
    <row r="1242" spans="1:12" x14ac:dyDescent="0.25">
      <c r="A1242">
        <v>100904</v>
      </c>
      <c r="B1242" t="s">
        <v>174</v>
      </c>
      <c r="C1242" t="s">
        <v>134</v>
      </c>
      <c r="D1242" t="s">
        <v>1729</v>
      </c>
      <c r="E1242" t="s">
        <v>3323</v>
      </c>
      <c r="F1242" t="s">
        <v>2646</v>
      </c>
      <c r="G1242" t="s">
        <v>2584</v>
      </c>
      <c r="H1242" t="s">
        <v>42</v>
      </c>
      <c r="I1242">
        <v>81</v>
      </c>
      <c r="J1242">
        <v>554</v>
      </c>
      <c r="K1242" t="s">
        <v>32</v>
      </c>
      <c r="L1242" t="s">
        <v>2582</v>
      </c>
    </row>
    <row r="1243" spans="1:12" x14ac:dyDescent="0.25">
      <c r="A1243">
        <v>101382</v>
      </c>
      <c r="B1243" t="s">
        <v>443</v>
      </c>
      <c r="C1243" t="s">
        <v>72</v>
      </c>
      <c r="D1243" t="s">
        <v>524</v>
      </c>
      <c r="E1243" t="s">
        <v>3324</v>
      </c>
      <c r="F1243" t="s">
        <v>2629</v>
      </c>
      <c r="G1243" t="s">
        <v>2584</v>
      </c>
      <c r="H1243" t="s">
        <v>2581</v>
      </c>
      <c r="I1243">
        <v>0</v>
      </c>
      <c r="J1243">
        <v>309</v>
      </c>
      <c r="K1243" t="s">
        <v>45</v>
      </c>
      <c r="L1243" t="s">
        <v>26</v>
      </c>
    </row>
    <row r="1244" spans="1:12" x14ac:dyDescent="0.25">
      <c r="A1244">
        <v>102081</v>
      </c>
      <c r="B1244" t="s">
        <v>965</v>
      </c>
      <c r="C1244" t="s">
        <v>110</v>
      </c>
      <c r="D1244" t="s">
        <v>1730</v>
      </c>
      <c r="E1244" t="s">
        <v>3325</v>
      </c>
      <c r="F1244" t="s">
        <v>2640</v>
      </c>
      <c r="G1244" t="s">
        <v>2617</v>
      </c>
      <c r="H1244" t="s">
        <v>2620</v>
      </c>
      <c r="I1244">
        <v>0</v>
      </c>
      <c r="J1244">
        <v>821</v>
      </c>
      <c r="K1244" t="s">
        <v>37</v>
      </c>
      <c r="L1244" t="s">
        <v>26</v>
      </c>
    </row>
    <row r="1245" spans="1:12" x14ac:dyDescent="0.25">
      <c r="A1245">
        <v>101642</v>
      </c>
      <c r="B1245" t="s">
        <v>1206</v>
      </c>
      <c r="C1245" t="s">
        <v>22</v>
      </c>
      <c r="D1245" t="s">
        <v>1731</v>
      </c>
      <c r="E1245" t="s">
        <v>1732</v>
      </c>
      <c r="F1245" t="s">
        <v>2629</v>
      </c>
      <c r="G1245" t="s">
        <v>2617</v>
      </c>
      <c r="H1245" t="s">
        <v>2587</v>
      </c>
      <c r="I1245">
        <v>0</v>
      </c>
      <c r="J1245">
        <v>607</v>
      </c>
      <c r="K1245" t="s">
        <v>56</v>
      </c>
      <c r="L1245" t="s">
        <v>20</v>
      </c>
    </row>
    <row r="1246" spans="1:12" x14ac:dyDescent="0.25">
      <c r="A1246">
        <v>101830</v>
      </c>
      <c r="B1246" t="s">
        <v>155</v>
      </c>
      <c r="C1246" t="s">
        <v>142</v>
      </c>
      <c r="D1246" t="s">
        <v>1015</v>
      </c>
      <c r="E1246" t="s">
        <v>3326</v>
      </c>
      <c r="F1246" t="s">
        <v>2646</v>
      </c>
      <c r="G1246" t="s">
        <v>2633</v>
      </c>
      <c r="H1246" t="s">
        <v>18</v>
      </c>
      <c r="I1246">
        <v>0</v>
      </c>
      <c r="J1246">
        <v>339</v>
      </c>
      <c r="K1246" t="s">
        <v>56</v>
      </c>
      <c r="L1246" t="s">
        <v>2582</v>
      </c>
    </row>
    <row r="1247" spans="1:12" x14ac:dyDescent="0.25">
      <c r="A1247">
        <v>100804</v>
      </c>
      <c r="B1247" t="s">
        <v>358</v>
      </c>
      <c r="C1247" t="s">
        <v>110</v>
      </c>
      <c r="D1247" t="s">
        <v>1704</v>
      </c>
      <c r="E1247" t="s">
        <v>3327</v>
      </c>
      <c r="F1247" t="s">
        <v>41</v>
      </c>
      <c r="G1247" t="s">
        <v>2617</v>
      </c>
      <c r="H1247" t="s">
        <v>2620</v>
      </c>
      <c r="I1247">
        <v>0</v>
      </c>
      <c r="J1247">
        <v>481</v>
      </c>
      <c r="K1247" t="s">
        <v>19</v>
      </c>
      <c r="L1247" t="s">
        <v>2582</v>
      </c>
    </row>
    <row r="1248" spans="1:12" x14ac:dyDescent="0.25">
      <c r="A1248">
        <v>100431</v>
      </c>
      <c r="B1248" t="s">
        <v>601</v>
      </c>
      <c r="C1248" t="s">
        <v>100</v>
      </c>
      <c r="D1248" t="s">
        <v>1733</v>
      </c>
      <c r="E1248" t="s">
        <v>3328</v>
      </c>
      <c r="F1248" t="s">
        <v>2608</v>
      </c>
      <c r="G1248" t="s">
        <v>2625</v>
      </c>
      <c r="H1248" t="s">
        <v>18</v>
      </c>
      <c r="I1248">
        <v>0</v>
      </c>
      <c r="J1248">
        <v>849</v>
      </c>
      <c r="K1248" t="s">
        <v>56</v>
      </c>
      <c r="L1248" t="s">
        <v>26</v>
      </c>
    </row>
    <row r="1249" spans="1:12" x14ac:dyDescent="0.25">
      <c r="A1249">
        <v>101573</v>
      </c>
      <c r="B1249" t="s">
        <v>129</v>
      </c>
      <c r="C1249" t="s">
        <v>13</v>
      </c>
      <c r="D1249" t="s">
        <v>1734</v>
      </c>
      <c r="E1249" t="s">
        <v>1735</v>
      </c>
      <c r="F1249" t="s">
        <v>2613</v>
      </c>
      <c r="G1249" t="s">
        <v>2580</v>
      </c>
      <c r="H1249" t="s">
        <v>2620</v>
      </c>
      <c r="I1249">
        <v>0</v>
      </c>
      <c r="J1249">
        <v>336</v>
      </c>
      <c r="K1249" t="s">
        <v>56</v>
      </c>
      <c r="L1249" t="s">
        <v>26</v>
      </c>
    </row>
    <row r="1250" spans="1:12" x14ac:dyDescent="0.25">
      <c r="A1250">
        <v>101461</v>
      </c>
      <c r="B1250" t="s">
        <v>832</v>
      </c>
      <c r="C1250" t="s">
        <v>134</v>
      </c>
      <c r="D1250" t="s">
        <v>1736</v>
      </c>
      <c r="E1250" t="s">
        <v>3329</v>
      </c>
      <c r="F1250" t="s">
        <v>2583</v>
      </c>
      <c r="G1250" t="s">
        <v>60</v>
      </c>
      <c r="H1250" t="s">
        <v>2644</v>
      </c>
      <c r="I1250">
        <v>0</v>
      </c>
      <c r="J1250">
        <v>641</v>
      </c>
      <c r="K1250" t="s">
        <v>45</v>
      </c>
      <c r="L1250" t="s">
        <v>20</v>
      </c>
    </row>
    <row r="1251" spans="1:12" x14ac:dyDescent="0.25">
      <c r="A1251">
        <v>100284</v>
      </c>
      <c r="B1251" t="s">
        <v>474</v>
      </c>
      <c r="C1251" t="s">
        <v>270</v>
      </c>
      <c r="D1251" t="s">
        <v>641</v>
      </c>
      <c r="E1251" t="s">
        <v>1737</v>
      </c>
      <c r="F1251" t="s">
        <v>2613</v>
      </c>
      <c r="G1251" t="s">
        <v>55</v>
      </c>
      <c r="H1251" t="s">
        <v>25</v>
      </c>
      <c r="I1251">
        <v>17</v>
      </c>
      <c r="J1251">
        <v>483</v>
      </c>
      <c r="K1251" t="s">
        <v>19</v>
      </c>
      <c r="L1251" t="s">
        <v>2582</v>
      </c>
    </row>
    <row r="1252" spans="1:12" x14ac:dyDescent="0.25">
      <c r="A1252">
        <v>100006</v>
      </c>
      <c r="B1252" t="s">
        <v>325</v>
      </c>
      <c r="C1252" t="s">
        <v>126</v>
      </c>
      <c r="D1252" t="s">
        <v>1738</v>
      </c>
      <c r="E1252" t="s">
        <v>1739</v>
      </c>
      <c r="F1252" t="s">
        <v>2608</v>
      </c>
      <c r="G1252" t="s">
        <v>2600</v>
      </c>
      <c r="H1252" t="s">
        <v>2587</v>
      </c>
      <c r="I1252">
        <v>0</v>
      </c>
      <c r="J1252">
        <v>570</v>
      </c>
      <c r="K1252" t="s">
        <v>45</v>
      </c>
      <c r="L1252" t="s">
        <v>20</v>
      </c>
    </row>
    <row r="1253" spans="1:12" x14ac:dyDescent="0.25">
      <c r="A1253">
        <v>100326</v>
      </c>
      <c r="B1253" t="s">
        <v>27</v>
      </c>
      <c r="C1253" t="s">
        <v>28</v>
      </c>
      <c r="D1253" t="s">
        <v>646</v>
      </c>
      <c r="E1253" t="s">
        <v>3330</v>
      </c>
      <c r="F1253" t="s">
        <v>2598</v>
      </c>
      <c r="G1253" t="s">
        <v>2633</v>
      </c>
      <c r="H1253" t="s">
        <v>2587</v>
      </c>
      <c r="I1253">
        <v>0</v>
      </c>
      <c r="J1253">
        <v>849</v>
      </c>
      <c r="K1253" t="s">
        <v>32</v>
      </c>
      <c r="L1253" t="s">
        <v>20</v>
      </c>
    </row>
    <row r="1254" spans="1:12" x14ac:dyDescent="0.25">
      <c r="A1254">
        <v>100612</v>
      </c>
      <c r="B1254" t="s">
        <v>367</v>
      </c>
      <c r="C1254" t="s">
        <v>103</v>
      </c>
      <c r="D1254" t="s">
        <v>1740</v>
      </c>
      <c r="E1254" t="s">
        <v>3331</v>
      </c>
      <c r="F1254" t="s">
        <v>2646</v>
      </c>
      <c r="G1254" t="s">
        <v>2607</v>
      </c>
      <c r="H1254" t="s">
        <v>18</v>
      </c>
      <c r="I1254">
        <v>0</v>
      </c>
      <c r="J1254">
        <v>621</v>
      </c>
      <c r="K1254" t="s">
        <v>45</v>
      </c>
      <c r="L1254" t="s">
        <v>2588</v>
      </c>
    </row>
    <row r="1255" spans="1:12" x14ac:dyDescent="0.25">
      <c r="A1255">
        <v>100756</v>
      </c>
      <c r="B1255" t="s">
        <v>269</v>
      </c>
      <c r="C1255" t="s">
        <v>270</v>
      </c>
      <c r="D1255" t="s">
        <v>310</v>
      </c>
      <c r="E1255" t="s">
        <v>1741</v>
      </c>
      <c r="F1255" t="s">
        <v>2608</v>
      </c>
      <c r="G1255" t="s">
        <v>2614</v>
      </c>
      <c r="H1255" t="s">
        <v>42</v>
      </c>
      <c r="I1255">
        <v>127</v>
      </c>
      <c r="J1255">
        <v>515</v>
      </c>
      <c r="K1255" t="s">
        <v>56</v>
      </c>
      <c r="L1255" t="s">
        <v>20</v>
      </c>
    </row>
    <row r="1256" spans="1:12" x14ac:dyDescent="0.25">
      <c r="A1256">
        <v>100676</v>
      </c>
      <c r="B1256" t="s">
        <v>443</v>
      </c>
      <c r="C1256" t="s">
        <v>72</v>
      </c>
      <c r="D1256" t="s">
        <v>1742</v>
      </c>
      <c r="E1256" t="s">
        <v>1743</v>
      </c>
      <c r="F1256" t="s">
        <v>2598</v>
      </c>
      <c r="G1256" t="s">
        <v>2596</v>
      </c>
      <c r="H1256" t="s">
        <v>83</v>
      </c>
      <c r="I1256">
        <v>0</v>
      </c>
      <c r="J1256">
        <v>309</v>
      </c>
      <c r="K1256" t="s">
        <v>37</v>
      </c>
      <c r="L1256" t="s">
        <v>26</v>
      </c>
    </row>
    <row r="1257" spans="1:12" x14ac:dyDescent="0.25">
      <c r="A1257">
        <v>100103</v>
      </c>
      <c r="B1257" t="s">
        <v>68</v>
      </c>
      <c r="C1257" t="s">
        <v>52</v>
      </c>
      <c r="D1257" t="s">
        <v>304</v>
      </c>
      <c r="E1257" t="s">
        <v>3332</v>
      </c>
      <c r="F1257" t="s">
        <v>2613</v>
      </c>
      <c r="G1257" t="s">
        <v>2614</v>
      </c>
      <c r="H1257" t="s">
        <v>18</v>
      </c>
      <c r="I1257">
        <v>0</v>
      </c>
      <c r="J1257">
        <v>309</v>
      </c>
      <c r="K1257" t="s">
        <v>37</v>
      </c>
      <c r="L1257" t="s">
        <v>26</v>
      </c>
    </row>
    <row r="1258" spans="1:12" x14ac:dyDescent="0.25">
      <c r="A1258">
        <v>101326</v>
      </c>
      <c r="B1258" t="s">
        <v>210</v>
      </c>
      <c r="C1258" t="s">
        <v>2743</v>
      </c>
      <c r="D1258" t="s">
        <v>1744</v>
      </c>
      <c r="E1258" t="s">
        <v>1745</v>
      </c>
      <c r="F1258" t="s">
        <v>2598</v>
      </c>
      <c r="G1258" t="s">
        <v>2607</v>
      </c>
      <c r="H1258" t="s">
        <v>2581</v>
      </c>
      <c r="I1258">
        <v>0</v>
      </c>
      <c r="J1258">
        <v>369</v>
      </c>
      <c r="K1258" t="s">
        <v>19</v>
      </c>
      <c r="L1258" t="s">
        <v>20</v>
      </c>
    </row>
    <row r="1259" spans="1:12" x14ac:dyDescent="0.25">
      <c r="A1259">
        <v>101746</v>
      </c>
      <c r="B1259" t="s">
        <v>272</v>
      </c>
      <c r="C1259" t="s">
        <v>100</v>
      </c>
      <c r="D1259" t="s">
        <v>1746</v>
      </c>
      <c r="E1259" t="s">
        <v>1747</v>
      </c>
      <c r="F1259" t="s">
        <v>64</v>
      </c>
      <c r="G1259" t="s">
        <v>55</v>
      </c>
      <c r="H1259" t="s">
        <v>18</v>
      </c>
      <c r="I1259">
        <v>0</v>
      </c>
      <c r="J1259">
        <v>666</v>
      </c>
      <c r="K1259" t="s">
        <v>45</v>
      </c>
      <c r="L1259" t="s">
        <v>26</v>
      </c>
    </row>
    <row r="1260" spans="1:12" x14ac:dyDescent="0.25">
      <c r="A1260">
        <v>100843</v>
      </c>
      <c r="B1260" t="s">
        <v>570</v>
      </c>
      <c r="C1260" t="s">
        <v>39</v>
      </c>
      <c r="D1260" t="s">
        <v>1748</v>
      </c>
      <c r="E1260" t="s">
        <v>1749</v>
      </c>
      <c r="F1260" t="s">
        <v>2640</v>
      </c>
      <c r="G1260" t="s">
        <v>2584</v>
      </c>
      <c r="H1260" t="s">
        <v>25</v>
      </c>
      <c r="I1260">
        <v>11</v>
      </c>
      <c r="J1260">
        <v>371</v>
      </c>
      <c r="K1260" t="s">
        <v>45</v>
      </c>
      <c r="L1260" t="s">
        <v>2582</v>
      </c>
    </row>
    <row r="1261" spans="1:12" x14ac:dyDescent="0.25">
      <c r="A1261">
        <v>100071</v>
      </c>
      <c r="B1261" t="s">
        <v>451</v>
      </c>
      <c r="C1261" t="s">
        <v>103</v>
      </c>
      <c r="D1261" t="s">
        <v>309</v>
      </c>
      <c r="E1261" t="s">
        <v>3333</v>
      </c>
      <c r="F1261" t="s">
        <v>2627</v>
      </c>
      <c r="G1261" t="s">
        <v>2682</v>
      </c>
      <c r="H1261" t="s">
        <v>18</v>
      </c>
      <c r="I1261">
        <v>0</v>
      </c>
      <c r="J1261">
        <v>418</v>
      </c>
      <c r="K1261" t="s">
        <v>19</v>
      </c>
      <c r="L1261" t="s">
        <v>2588</v>
      </c>
    </row>
    <row r="1262" spans="1:12" x14ac:dyDescent="0.25">
      <c r="A1262">
        <v>100467</v>
      </c>
      <c r="B1262" t="s">
        <v>390</v>
      </c>
      <c r="C1262" t="s">
        <v>110</v>
      </c>
      <c r="D1262" t="s">
        <v>1514</v>
      </c>
      <c r="E1262" t="s">
        <v>1750</v>
      </c>
      <c r="F1262" t="s">
        <v>2604</v>
      </c>
      <c r="G1262" t="s">
        <v>2602</v>
      </c>
      <c r="H1262" t="s">
        <v>18</v>
      </c>
      <c r="I1262">
        <v>0</v>
      </c>
      <c r="J1262">
        <v>773</v>
      </c>
      <c r="K1262" t="s">
        <v>19</v>
      </c>
      <c r="L1262" t="s">
        <v>26</v>
      </c>
    </row>
    <row r="1263" spans="1:12" x14ac:dyDescent="0.25">
      <c r="A1263">
        <v>100047</v>
      </c>
      <c r="B1263" t="s">
        <v>1155</v>
      </c>
      <c r="C1263" t="s">
        <v>2683</v>
      </c>
      <c r="D1263" t="s">
        <v>1472</v>
      </c>
      <c r="E1263" t="s">
        <v>1751</v>
      </c>
      <c r="F1263" t="s">
        <v>2654</v>
      </c>
      <c r="G1263" t="s">
        <v>2625</v>
      </c>
      <c r="H1263" t="s">
        <v>2630</v>
      </c>
      <c r="I1263">
        <v>11</v>
      </c>
      <c r="J1263">
        <v>557</v>
      </c>
      <c r="K1263" t="s">
        <v>37</v>
      </c>
      <c r="L1263" t="s">
        <v>20</v>
      </c>
    </row>
    <row r="1264" spans="1:12" x14ac:dyDescent="0.25">
      <c r="A1264">
        <v>101164</v>
      </c>
      <c r="B1264" t="s">
        <v>367</v>
      </c>
      <c r="C1264" t="s">
        <v>103</v>
      </c>
      <c r="D1264" t="s">
        <v>14</v>
      </c>
      <c r="E1264" t="s">
        <v>1752</v>
      </c>
      <c r="F1264" t="s">
        <v>2640</v>
      </c>
      <c r="G1264" t="s">
        <v>31</v>
      </c>
      <c r="H1264" t="s">
        <v>2620</v>
      </c>
      <c r="I1264">
        <v>0</v>
      </c>
      <c r="J1264">
        <v>621</v>
      </c>
      <c r="K1264" t="s">
        <v>56</v>
      </c>
      <c r="L1264" t="s">
        <v>26</v>
      </c>
    </row>
    <row r="1265" spans="1:12" x14ac:dyDescent="0.25">
      <c r="A1265">
        <v>100398</v>
      </c>
      <c r="B1265" t="s">
        <v>232</v>
      </c>
      <c r="C1265" t="s">
        <v>152</v>
      </c>
      <c r="D1265" t="s">
        <v>1753</v>
      </c>
      <c r="E1265" t="s">
        <v>3334</v>
      </c>
      <c r="F1265" t="s">
        <v>2627</v>
      </c>
      <c r="G1265" t="s">
        <v>2596</v>
      </c>
      <c r="H1265" t="s">
        <v>2597</v>
      </c>
      <c r="I1265">
        <v>4</v>
      </c>
      <c r="J1265">
        <v>781</v>
      </c>
      <c r="K1265" t="s">
        <v>19</v>
      </c>
      <c r="L1265" t="s">
        <v>2582</v>
      </c>
    </row>
    <row r="1266" spans="1:12" x14ac:dyDescent="0.25">
      <c r="A1266">
        <v>100826</v>
      </c>
      <c r="B1266" t="s">
        <v>1175</v>
      </c>
      <c r="C1266" t="s">
        <v>142</v>
      </c>
      <c r="D1266" t="s">
        <v>1754</v>
      </c>
      <c r="E1266" t="s">
        <v>3335</v>
      </c>
      <c r="F1266" t="s">
        <v>2640</v>
      </c>
      <c r="G1266" t="s">
        <v>2633</v>
      </c>
      <c r="H1266" t="s">
        <v>2587</v>
      </c>
      <c r="I1266">
        <v>0</v>
      </c>
      <c r="J1266">
        <v>573</v>
      </c>
      <c r="K1266" t="s">
        <v>45</v>
      </c>
      <c r="L1266" t="s">
        <v>2588</v>
      </c>
    </row>
    <row r="1267" spans="1:12" x14ac:dyDescent="0.25">
      <c r="A1267">
        <v>101075</v>
      </c>
      <c r="B1267" t="s">
        <v>1168</v>
      </c>
      <c r="C1267" t="s">
        <v>218</v>
      </c>
      <c r="D1267" t="s">
        <v>1755</v>
      </c>
      <c r="E1267" t="s">
        <v>3336</v>
      </c>
      <c r="F1267" t="s">
        <v>64</v>
      </c>
      <c r="G1267" t="s">
        <v>2596</v>
      </c>
      <c r="H1267" t="s">
        <v>2644</v>
      </c>
      <c r="I1267">
        <v>0</v>
      </c>
      <c r="J1267">
        <v>606</v>
      </c>
      <c r="K1267" t="s">
        <v>37</v>
      </c>
      <c r="L1267" t="s">
        <v>2588</v>
      </c>
    </row>
    <row r="1268" spans="1:12" x14ac:dyDescent="0.25">
      <c r="A1268">
        <v>100884</v>
      </c>
      <c r="B1268" t="s">
        <v>462</v>
      </c>
      <c r="D1268" t="s">
        <v>1756</v>
      </c>
      <c r="E1268" t="s">
        <v>1757</v>
      </c>
      <c r="F1268" t="s">
        <v>2613</v>
      </c>
      <c r="H1268" t="s">
        <v>18</v>
      </c>
      <c r="I1268">
        <v>0</v>
      </c>
      <c r="J1268">
        <v>716</v>
      </c>
      <c r="K1268" t="s">
        <v>45</v>
      </c>
      <c r="L1268" t="s">
        <v>2582</v>
      </c>
    </row>
    <row r="1269" spans="1:12" x14ac:dyDescent="0.25">
      <c r="A1269">
        <v>100785</v>
      </c>
      <c r="B1269" t="s">
        <v>1203</v>
      </c>
      <c r="C1269" t="s">
        <v>187</v>
      </c>
      <c r="D1269" t="s">
        <v>1351</v>
      </c>
      <c r="E1269" t="s">
        <v>1758</v>
      </c>
      <c r="F1269" t="s">
        <v>2616</v>
      </c>
      <c r="H1269" t="s">
        <v>83</v>
      </c>
      <c r="I1269">
        <v>0</v>
      </c>
      <c r="J1269">
        <v>752</v>
      </c>
      <c r="K1269" t="s">
        <v>37</v>
      </c>
      <c r="L1269" t="s">
        <v>20</v>
      </c>
    </row>
    <row r="1270" spans="1:12" x14ac:dyDescent="0.25">
      <c r="A1270">
        <v>101797</v>
      </c>
      <c r="B1270" t="s">
        <v>21</v>
      </c>
      <c r="C1270" t="s">
        <v>22</v>
      </c>
      <c r="D1270" t="s">
        <v>1759</v>
      </c>
      <c r="F1270" t="s">
        <v>41</v>
      </c>
      <c r="H1270" t="s">
        <v>2644</v>
      </c>
      <c r="I1270">
        <v>0</v>
      </c>
      <c r="J1270">
        <v>771</v>
      </c>
      <c r="K1270" t="s">
        <v>56</v>
      </c>
      <c r="L1270" t="s">
        <v>20</v>
      </c>
    </row>
    <row r="1271" spans="1:12" x14ac:dyDescent="0.25">
      <c r="A1271">
        <v>100702</v>
      </c>
      <c r="B1271" t="s">
        <v>215</v>
      </c>
      <c r="D1271" t="s">
        <v>1760</v>
      </c>
      <c r="F1271" t="s">
        <v>2590</v>
      </c>
      <c r="G1271" t="s">
        <v>81</v>
      </c>
      <c r="H1271" t="s">
        <v>2587</v>
      </c>
      <c r="I1271">
        <v>0</v>
      </c>
      <c r="J1271">
        <v>395</v>
      </c>
      <c r="K1271" t="s">
        <v>56</v>
      </c>
      <c r="L1271" t="s">
        <v>2582</v>
      </c>
    </row>
    <row r="1272" spans="1:12" x14ac:dyDescent="0.25">
      <c r="A1272">
        <v>101188</v>
      </c>
      <c r="B1272" t="s">
        <v>34</v>
      </c>
      <c r="C1272" t="s">
        <v>13</v>
      </c>
      <c r="D1272" t="s">
        <v>1761</v>
      </c>
      <c r="E1272" t="s">
        <v>3337</v>
      </c>
      <c r="F1272" t="s">
        <v>2583</v>
      </c>
      <c r="G1272" t="s">
        <v>2602</v>
      </c>
      <c r="H1272" t="s">
        <v>2620</v>
      </c>
      <c r="I1272">
        <v>0</v>
      </c>
      <c r="J1272">
        <v>672</v>
      </c>
      <c r="K1272" t="s">
        <v>45</v>
      </c>
      <c r="L1272" t="s">
        <v>2582</v>
      </c>
    </row>
    <row r="1273" spans="1:12" x14ac:dyDescent="0.25">
      <c r="A1273">
        <v>101176</v>
      </c>
      <c r="B1273" t="s">
        <v>1009</v>
      </c>
      <c r="C1273" t="s">
        <v>58</v>
      </c>
      <c r="D1273" t="s">
        <v>1121</v>
      </c>
      <c r="E1273" t="s">
        <v>1762</v>
      </c>
      <c r="F1273" t="s">
        <v>2616</v>
      </c>
      <c r="G1273" t="s">
        <v>2596</v>
      </c>
      <c r="H1273" t="s">
        <v>2620</v>
      </c>
      <c r="I1273">
        <v>0</v>
      </c>
      <c r="J1273">
        <v>400</v>
      </c>
      <c r="K1273" t="s">
        <v>32</v>
      </c>
      <c r="L1273" t="s">
        <v>2588</v>
      </c>
    </row>
    <row r="1274" spans="1:12" x14ac:dyDescent="0.25">
      <c r="A1274">
        <v>100925</v>
      </c>
      <c r="B1274" t="s">
        <v>194</v>
      </c>
      <c r="C1274" t="s">
        <v>47</v>
      </c>
      <c r="D1274" t="s">
        <v>984</v>
      </c>
      <c r="E1274" t="s">
        <v>3338</v>
      </c>
      <c r="F1274" t="s">
        <v>2593</v>
      </c>
      <c r="G1274" t="s">
        <v>2602</v>
      </c>
      <c r="H1274" t="s">
        <v>2581</v>
      </c>
      <c r="I1274">
        <v>0</v>
      </c>
      <c r="J1274">
        <v>308</v>
      </c>
      <c r="K1274" t="s">
        <v>45</v>
      </c>
      <c r="L1274" t="s">
        <v>26</v>
      </c>
    </row>
    <row r="1275" spans="1:12" x14ac:dyDescent="0.25">
      <c r="A1275">
        <v>101883</v>
      </c>
      <c r="B1275" t="s">
        <v>322</v>
      </c>
      <c r="C1275" t="s">
        <v>13</v>
      </c>
      <c r="D1275" t="s">
        <v>1763</v>
      </c>
      <c r="E1275" t="s">
        <v>1764</v>
      </c>
      <c r="F1275" t="s">
        <v>2598</v>
      </c>
      <c r="G1275" t="s">
        <v>60</v>
      </c>
      <c r="H1275" t="s">
        <v>18</v>
      </c>
      <c r="I1275">
        <v>0</v>
      </c>
      <c r="J1275">
        <v>623</v>
      </c>
      <c r="K1275" t="s">
        <v>56</v>
      </c>
      <c r="L1275" t="s">
        <v>2582</v>
      </c>
    </row>
    <row r="1276" spans="1:12" x14ac:dyDescent="0.25">
      <c r="A1276">
        <v>100817</v>
      </c>
      <c r="B1276" t="s">
        <v>286</v>
      </c>
      <c r="C1276" t="s">
        <v>168</v>
      </c>
      <c r="D1276" t="s">
        <v>1765</v>
      </c>
      <c r="E1276" t="s">
        <v>1766</v>
      </c>
      <c r="F1276" t="s">
        <v>2583</v>
      </c>
      <c r="G1276" t="s">
        <v>2617</v>
      </c>
      <c r="H1276" t="s">
        <v>2623</v>
      </c>
      <c r="I1276">
        <v>144</v>
      </c>
      <c r="J1276">
        <v>434</v>
      </c>
      <c r="K1276" t="s">
        <v>19</v>
      </c>
      <c r="L1276" t="s">
        <v>2582</v>
      </c>
    </row>
    <row r="1277" spans="1:12" x14ac:dyDescent="0.25">
      <c r="A1277">
        <v>100518</v>
      </c>
      <c r="B1277" t="s">
        <v>385</v>
      </c>
      <c r="C1277" t="s">
        <v>2699</v>
      </c>
      <c r="D1277" t="s">
        <v>1767</v>
      </c>
      <c r="E1277" t="s">
        <v>1768</v>
      </c>
      <c r="F1277" t="s">
        <v>2579</v>
      </c>
      <c r="H1277" t="s">
        <v>2581</v>
      </c>
      <c r="I1277">
        <v>0</v>
      </c>
      <c r="J1277">
        <v>490</v>
      </c>
      <c r="K1277" t="s">
        <v>45</v>
      </c>
      <c r="L1277" t="s">
        <v>20</v>
      </c>
    </row>
    <row r="1278" spans="1:12" x14ac:dyDescent="0.25">
      <c r="A1278">
        <v>101799</v>
      </c>
      <c r="B1278" t="s">
        <v>232</v>
      </c>
      <c r="C1278" t="s">
        <v>152</v>
      </c>
      <c r="D1278" t="s">
        <v>699</v>
      </c>
      <c r="E1278" t="s">
        <v>1769</v>
      </c>
      <c r="F1278" t="s">
        <v>2641</v>
      </c>
      <c r="G1278" t="s">
        <v>2631</v>
      </c>
      <c r="H1278" t="s">
        <v>2618</v>
      </c>
      <c r="I1278">
        <v>0</v>
      </c>
      <c r="J1278">
        <v>781</v>
      </c>
      <c r="K1278" t="s">
        <v>37</v>
      </c>
      <c r="L1278" t="s">
        <v>2582</v>
      </c>
    </row>
    <row r="1279" spans="1:12" x14ac:dyDescent="0.25">
      <c r="A1279">
        <v>101302</v>
      </c>
      <c r="B1279" t="s">
        <v>167</v>
      </c>
      <c r="C1279" t="s">
        <v>2655</v>
      </c>
      <c r="D1279" t="s">
        <v>169</v>
      </c>
      <c r="E1279" t="s">
        <v>2656</v>
      </c>
      <c r="F1279" t="s">
        <v>2579</v>
      </c>
      <c r="G1279" t="s">
        <v>2607</v>
      </c>
      <c r="H1279" t="s">
        <v>2630</v>
      </c>
      <c r="I1279">
        <v>10</v>
      </c>
      <c r="J1279">
        <v>658</v>
      </c>
      <c r="K1279" t="s">
        <v>56</v>
      </c>
      <c r="L1279" t="s">
        <v>2588</v>
      </c>
    </row>
    <row r="1280" spans="1:12" x14ac:dyDescent="0.25">
      <c r="A1280">
        <v>101526</v>
      </c>
      <c r="B1280" t="s">
        <v>259</v>
      </c>
      <c r="C1280" t="s">
        <v>218</v>
      </c>
      <c r="D1280" t="s">
        <v>808</v>
      </c>
      <c r="E1280" t="s">
        <v>3339</v>
      </c>
      <c r="F1280" t="s">
        <v>2654</v>
      </c>
      <c r="G1280" t="s">
        <v>2596</v>
      </c>
      <c r="H1280" t="s">
        <v>2644</v>
      </c>
      <c r="I1280">
        <v>0</v>
      </c>
      <c r="J1280">
        <v>732</v>
      </c>
      <c r="K1280" t="s">
        <v>19</v>
      </c>
      <c r="L1280" t="s">
        <v>2582</v>
      </c>
    </row>
    <row r="1281" spans="1:12" x14ac:dyDescent="0.25">
      <c r="A1281">
        <v>101617</v>
      </c>
      <c r="B1281" t="s">
        <v>504</v>
      </c>
      <c r="C1281" t="s">
        <v>187</v>
      </c>
      <c r="D1281" t="s">
        <v>407</v>
      </c>
      <c r="E1281" t="s">
        <v>1770</v>
      </c>
      <c r="F1281" t="s">
        <v>2616</v>
      </c>
      <c r="G1281" t="s">
        <v>60</v>
      </c>
      <c r="H1281" t="s">
        <v>2587</v>
      </c>
      <c r="I1281">
        <v>0</v>
      </c>
      <c r="J1281">
        <v>494</v>
      </c>
      <c r="K1281" t="s">
        <v>19</v>
      </c>
      <c r="L1281" t="s">
        <v>2582</v>
      </c>
    </row>
    <row r="1282" spans="1:12" x14ac:dyDescent="0.25">
      <c r="A1282">
        <v>101579</v>
      </c>
      <c r="B1282" t="s">
        <v>360</v>
      </c>
      <c r="C1282" t="s">
        <v>149</v>
      </c>
      <c r="D1282" t="s">
        <v>1151</v>
      </c>
      <c r="E1282" t="s">
        <v>1771</v>
      </c>
      <c r="F1282" t="s">
        <v>41</v>
      </c>
      <c r="G1282" t="s">
        <v>2609</v>
      </c>
      <c r="H1282" t="s">
        <v>2618</v>
      </c>
      <c r="I1282">
        <v>0</v>
      </c>
      <c r="J1282">
        <v>621</v>
      </c>
      <c r="K1282" t="s">
        <v>19</v>
      </c>
      <c r="L1282" t="s">
        <v>2588</v>
      </c>
    </row>
    <row r="1283" spans="1:12" x14ac:dyDescent="0.25">
      <c r="A1283">
        <v>100073</v>
      </c>
      <c r="B1283" t="s">
        <v>38</v>
      </c>
      <c r="C1283" t="s">
        <v>2792</v>
      </c>
      <c r="D1283" t="s">
        <v>143</v>
      </c>
      <c r="E1283" t="s">
        <v>3340</v>
      </c>
      <c r="F1283" t="s">
        <v>2613</v>
      </c>
      <c r="G1283" t="s">
        <v>2600</v>
      </c>
      <c r="H1283" t="s">
        <v>2620</v>
      </c>
      <c r="I1283">
        <v>0</v>
      </c>
      <c r="J1283">
        <v>533</v>
      </c>
      <c r="K1283" t="s">
        <v>56</v>
      </c>
    </row>
    <row r="1284" spans="1:12" x14ac:dyDescent="0.25">
      <c r="A1284">
        <v>101019</v>
      </c>
      <c r="B1284" t="s">
        <v>807</v>
      </c>
      <c r="C1284" t="s">
        <v>85</v>
      </c>
      <c r="D1284" t="s">
        <v>1566</v>
      </c>
      <c r="E1284" t="s">
        <v>3341</v>
      </c>
      <c r="F1284" t="s">
        <v>50</v>
      </c>
      <c r="G1284" t="s">
        <v>2600</v>
      </c>
      <c r="H1284" t="s">
        <v>25</v>
      </c>
      <c r="I1284">
        <v>19</v>
      </c>
      <c r="J1284">
        <v>443</v>
      </c>
      <c r="K1284" t="s">
        <v>37</v>
      </c>
      <c r="L1284" t="s">
        <v>2588</v>
      </c>
    </row>
    <row r="1285" spans="1:12" x14ac:dyDescent="0.25">
      <c r="A1285">
        <v>100475</v>
      </c>
      <c r="B1285" t="s">
        <v>247</v>
      </c>
      <c r="C1285" t="s">
        <v>126</v>
      </c>
      <c r="D1285" t="s">
        <v>1772</v>
      </c>
      <c r="E1285" t="s">
        <v>1773</v>
      </c>
      <c r="F1285" t="s">
        <v>2583</v>
      </c>
      <c r="G1285" t="s">
        <v>2635</v>
      </c>
      <c r="H1285" t="s">
        <v>2620</v>
      </c>
      <c r="I1285">
        <v>0</v>
      </c>
      <c r="J1285">
        <v>527</v>
      </c>
      <c r="K1285" t="s">
        <v>56</v>
      </c>
      <c r="L1285" t="s">
        <v>26</v>
      </c>
    </row>
    <row r="1286" spans="1:12" x14ac:dyDescent="0.25">
      <c r="A1286">
        <v>101100</v>
      </c>
      <c r="B1286" t="s">
        <v>118</v>
      </c>
      <c r="C1286" t="s">
        <v>62</v>
      </c>
      <c r="D1286" t="s">
        <v>1142</v>
      </c>
      <c r="E1286" t="s">
        <v>3342</v>
      </c>
      <c r="F1286" t="s">
        <v>2590</v>
      </c>
      <c r="G1286" t="s">
        <v>2607</v>
      </c>
      <c r="H1286" t="s">
        <v>2587</v>
      </c>
      <c r="I1286">
        <v>0</v>
      </c>
      <c r="J1286">
        <v>463</v>
      </c>
      <c r="K1286" t="s">
        <v>45</v>
      </c>
      <c r="L1286" t="s">
        <v>20</v>
      </c>
    </row>
    <row r="1287" spans="1:12" x14ac:dyDescent="0.25">
      <c r="A1287">
        <v>101861</v>
      </c>
      <c r="B1287" t="s">
        <v>431</v>
      </c>
      <c r="C1287" t="s">
        <v>28</v>
      </c>
      <c r="D1287" t="s">
        <v>1774</v>
      </c>
      <c r="E1287" t="s">
        <v>1775</v>
      </c>
      <c r="F1287" t="s">
        <v>2654</v>
      </c>
      <c r="G1287" t="s">
        <v>2599</v>
      </c>
      <c r="H1287" t="s">
        <v>25</v>
      </c>
      <c r="I1287">
        <v>30</v>
      </c>
      <c r="J1287">
        <v>691</v>
      </c>
      <c r="K1287" t="s">
        <v>45</v>
      </c>
      <c r="L1287" t="s">
        <v>2588</v>
      </c>
    </row>
    <row r="1288" spans="1:12" x14ac:dyDescent="0.25">
      <c r="A1288">
        <v>100359</v>
      </c>
      <c r="B1288" t="s">
        <v>607</v>
      </c>
      <c r="C1288" t="s">
        <v>134</v>
      </c>
      <c r="D1288" t="s">
        <v>235</v>
      </c>
      <c r="E1288" t="s">
        <v>3343</v>
      </c>
      <c r="F1288" t="s">
        <v>2593</v>
      </c>
      <c r="G1288" t="s">
        <v>2611</v>
      </c>
      <c r="H1288" t="s">
        <v>18</v>
      </c>
      <c r="I1288">
        <v>0</v>
      </c>
      <c r="J1288">
        <v>458</v>
      </c>
      <c r="K1288" t="s">
        <v>56</v>
      </c>
      <c r="L1288" t="s">
        <v>20</v>
      </c>
    </row>
    <row r="1289" spans="1:12" x14ac:dyDescent="0.25">
      <c r="A1289">
        <v>101876</v>
      </c>
      <c r="B1289" t="s">
        <v>1402</v>
      </c>
      <c r="C1289" t="s">
        <v>100</v>
      </c>
      <c r="D1289" t="s">
        <v>1776</v>
      </c>
      <c r="E1289" t="s">
        <v>1777</v>
      </c>
      <c r="F1289" t="s">
        <v>2643</v>
      </c>
      <c r="G1289" t="s">
        <v>2652</v>
      </c>
      <c r="H1289" t="s">
        <v>2587</v>
      </c>
      <c r="I1289">
        <v>0</v>
      </c>
      <c r="J1289">
        <v>588</v>
      </c>
      <c r="L1289" t="s">
        <v>2582</v>
      </c>
    </row>
    <row r="1290" spans="1:12" x14ac:dyDescent="0.25">
      <c r="A1290">
        <v>100989</v>
      </c>
      <c r="B1290" t="s">
        <v>863</v>
      </c>
      <c r="C1290" t="s">
        <v>39</v>
      </c>
      <c r="D1290" t="s">
        <v>1778</v>
      </c>
      <c r="E1290" t="s">
        <v>1779</v>
      </c>
      <c r="F1290" t="s">
        <v>2604</v>
      </c>
      <c r="G1290" t="s">
        <v>60</v>
      </c>
      <c r="H1290" t="s">
        <v>18</v>
      </c>
      <c r="I1290">
        <v>0</v>
      </c>
      <c r="J1290">
        <v>427</v>
      </c>
      <c r="K1290" t="s">
        <v>32</v>
      </c>
      <c r="L1290" t="s">
        <v>2582</v>
      </c>
    </row>
    <row r="1291" spans="1:12" x14ac:dyDescent="0.25">
      <c r="A1291">
        <v>101544</v>
      </c>
      <c r="B1291" t="s">
        <v>155</v>
      </c>
      <c r="C1291" t="s">
        <v>142</v>
      </c>
      <c r="D1291" t="s">
        <v>590</v>
      </c>
      <c r="E1291" t="s">
        <v>3344</v>
      </c>
      <c r="F1291" t="s">
        <v>2613</v>
      </c>
      <c r="G1291" t="s">
        <v>31</v>
      </c>
      <c r="H1291" t="s">
        <v>2620</v>
      </c>
      <c r="I1291">
        <v>0</v>
      </c>
      <c r="J1291">
        <v>339</v>
      </c>
      <c r="K1291" t="s">
        <v>32</v>
      </c>
      <c r="L1291" t="s">
        <v>2588</v>
      </c>
    </row>
    <row r="1292" spans="1:12" x14ac:dyDescent="0.25">
      <c r="A1292">
        <v>101941</v>
      </c>
      <c r="B1292" t="s">
        <v>196</v>
      </c>
      <c r="C1292" t="s">
        <v>152</v>
      </c>
      <c r="D1292" t="s">
        <v>1718</v>
      </c>
      <c r="E1292" t="s">
        <v>3345</v>
      </c>
      <c r="F1292" t="s">
        <v>2629</v>
      </c>
      <c r="G1292" t="s">
        <v>31</v>
      </c>
      <c r="H1292" t="s">
        <v>18</v>
      </c>
      <c r="I1292">
        <v>0</v>
      </c>
      <c r="J1292">
        <v>405</v>
      </c>
      <c r="K1292" t="s">
        <v>32</v>
      </c>
      <c r="L1292" t="s">
        <v>2588</v>
      </c>
    </row>
    <row r="1293" spans="1:12" x14ac:dyDescent="0.25">
      <c r="A1293">
        <v>101635</v>
      </c>
      <c r="B1293" t="s">
        <v>349</v>
      </c>
      <c r="C1293" t="s">
        <v>2723</v>
      </c>
      <c r="D1293" t="s">
        <v>1780</v>
      </c>
      <c r="E1293" t="s">
        <v>1781</v>
      </c>
      <c r="F1293" t="s">
        <v>2598</v>
      </c>
      <c r="G1293" t="s">
        <v>2652</v>
      </c>
      <c r="H1293" t="s">
        <v>2581</v>
      </c>
      <c r="I1293">
        <v>0</v>
      </c>
      <c r="J1293">
        <v>708</v>
      </c>
      <c r="K1293" t="s">
        <v>37</v>
      </c>
      <c r="L1293" t="s">
        <v>20</v>
      </c>
    </row>
    <row r="1294" spans="1:12" x14ac:dyDescent="0.25">
      <c r="A1294">
        <v>101268</v>
      </c>
      <c r="B1294" t="s">
        <v>129</v>
      </c>
      <c r="D1294" t="s">
        <v>1012</v>
      </c>
      <c r="F1294" t="s">
        <v>2629</v>
      </c>
      <c r="G1294" t="s">
        <v>2652</v>
      </c>
      <c r="H1294" t="s">
        <v>18</v>
      </c>
      <c r="I1294">
        <v>0</v>
      </c>
      <c r="J1294">
        <v>336</v>
      </c>
      <c r="K1294" t="s">
        <v>37</v>
      </c>
      <c r="L1294" t="s">
        <v>26</v>
      </c>
    </row>
    <row r="1295" spans="1:12" x14ac:dyDescent="0.25">
      <c r="A1295">
        <v>101663</v>
      </c>
      <c r="B1295" t="s">
        <v>402</v>
      </c>
      <c r="C1295" t="s">
        <v>95</v>
      </c>
      <c r="D1295" t="s">
        <v>1782</v>
      </c>
      <c r="E1295" t="s">
        <v>1783</v>
      </c>
      <c r="F1295" t="s">
        <v>2627</v>
      </c>
      <c r="G1295" t="s">
        <v>2580</v>
      </c>
      <c r="H1295" t="s">
        <v>18</v>
      </c>
      <c r="I1295">
        <v>0</v>
      </c>
      <c r="J1295">
        <v>355</v>
      </c>
      <c r="K1295" t="s">
        <v>45</v>
      </c>
      <c r="L1295" t="s">
        <v>20</v>
      </c>
    </row>
    <row r="1296" spans="1:12" x14ac:dyDescent="0.25">
      <c r="A1296">
        <v>101625</v>
      </c>
      <c r="B1296" t="s">
        <v>303</v>
      </c>
      <c r="C1296" t="s">
        <v>187</v>
      </c>
      <c r="D1296" t="s">
        <v>1784</v>
      </c>
      <c r="E1296" t="s">
        <v>1785</v>
      </c>
      <c r="F1296" t="s">
        <v>2616</v>
      </c>
      <c r="G1296" t="s">
        <v>2633</v>
      </c>
      <c r="H1296" t="s">
        <v>2581</v>
      </c>
      <c r="I1296">
        <v>0</v>
      </c>
      <c r="J1296">
        <v>800</v>
      </c>
      <c r="K1296" t="s">
        <v>45</v>
      </c>
      <c r="L1296" t="s">
        <v>20</v>
      </c>
    </row>
    <row r="1297" spans="1:12" x14ac:dyDescent="0.25">
      <c r="A1297">
        <v>101623</v>
      </c>
      <c r="B1297" t="s">
        <v>225</v>
      </c>
      <c r="C1297" t="s">
        <v>142</v>
      </c>
      <c r="D1297" t="s">
        <v>1786</v>
      </c>
      <c r="E1297" t="s">
        <v>3346</v>
      </c>
      <c r="F1297" t="s">
        <v>41</v>
      </c>
      <c r="G1297" t="s">
        <v>55</v>
      </c>
      <c r="H1297" t="s">
        <v>2620</v>
      </c>
      <c r="I1297">
        <v>0</v>
      </c>
      <c r="J1297">
        <v>741</v>
      </c>
      <c r="K1297" t="s">
        <v>37</v>
      </c>
      <c r="L1297" t="s">
        <v>26</v>
      </c>
    </row>
    <row r="1298" spans="1:12" x14ac:dyDescent="0.25">
      <c r="A1298">
        <v>100189</v>
      </c>
      <c r="B1298" t="s">
        <v>1053</v>
      </c>
      <c r="C1298" t="s">
        <v>47</v>
      </c>
      <c r="D1298" t="s">
        <v>1787</v>
      </c>
      <c r="E1298" t="s">
        <v>3347</v>
      </c>
      <c r="F1298" t="s">
        <v>2590</v>
      </c>
      <c r="G1298" t="s">
        <v>2611</v>
      </c>
      <c r="H1298" t="s">
        <v>2630</v>
      </c>
      <c r="I1298">
        <v>19</v>
      </c>
      <c r="J1298">
        <v>864</v>
      </c>
      <c r="K1298" t="s">
        <v>19</v>
      </c>
      <c r="L1298" t="s">
        <v>2588</v>
      </c>
    </row>
    <row r="1299" spans="1:12" x14ac:dyDescent="0.25">
      <c r="A1299">
        <v>101271</v>
      </c>
      <c r="B1299" t="s">
        <v>599</v>
      </c>
      <c r="C1299" t="s">
        <v>52</v>
      </c>
      <c r="D1299" t="s">
        <v>1788</v>
      </c>
      <c r="E1299" t="s">
        <v>1789</v>
      </c>
      <c r="F1299" t="s">
        <v>2608</v>
      </c>
      <c r="G1299" t="s">
        <v>2625</v>
      </c>
      <c r="H1299" t="s">
        <v>2620</v>
      </c>
      <c r="I1299">
        <v>0</v>
      </c>
      <c r="J1299">
        <v>552</v>
      </c>
      <c r="K1299" t="s">
        <v>19</v>
      </c>
      <c r="L1299" t="s">
        <v>2588</v>
      </c>
    </row>
    <row r="1300" spans="1:12" x14ac:dyDescent="0.25">
      <c r="A1300">
        <v>101685</v>
      </c>
      <c r="B1300" t="s">
        <v>196</v>
      </c>
      <c r="C1300" t="s">
        <v>152</v>
      </c>
      <c r="D1300" t="s">
        <v>1191</v>
      </c>
      <c r="E1300" t="s">
        <v>3348</v>
      </c>
      <c r="F1300" t="s">
        <v>2608</v>
      </c>
      <c r="G1300" t="s">
        <v>2631</v>
      </c>
      <c r="H1300" t="s">
        <v>2620</v>
      </c>
      <c r="I1300">
        <v>0</v>
      </c>
      <c r="J1300">
        <v>405</v>
      </c>
      <c r="K1300" t="s">
        <v>37</v>
      </c>
      <c r="L1300" t="s">
        <v>20</v>
      </c>
    </row>
    <row r="1301" spans="1:12" x14ac:dyDescent="0.25">
      <c r="A1301">
        <v>102196</v>
      </c>
      <c r="B1301" t="s">
        <v>429</v>
      </c>
      <c r="C1301" t="s">
        <v>52</v>
      </c>
      <c r="D1301" t="s">
        <v>1790</v>
      </c>
      <c r="E1301" t="s">
        <v>1791</v>
      </c>
      <c r="F1301" t="s">
        <v>2616</v>
      </c>
      <c r="G1301" t="s">
        <v>2652</v>
      </c>
      <c r="H1301" t="s">
        <v>2594</v>
      </c>
      <c r="I1301">
        <v>39</v>
      </c>
      <c r="J1301">
        <v>568</v>
      </c>
      <c r="K1301" t="s">
        <v>32</v>
      </c>
      <c r="L1301" t="s">
        <v>2588</v>
      </c>
    </row>
    <row r="1302" spans="1:12" x14ac:dyDescent="0.25">
      <c r="A1302">
        <v>101755</v>
      </c>
      <c r="B1302" t="s">
        <v>385</v>
      </c>
      <c r="C1302" t="s">
        <v>85</v>
      </c>
      <c r="D1302" t="s">
        <v>1792</v>
      </c>
      <c r="E1302" t="s">
        <v>3349</v>
      </c>
      <c r="F1302" t="s">
        <v>2641</v>
      </c>
      <c r="G1302" t="s">
        <v>55</v>
      </c>
      <c r="H1302" t="s">
        <v>2581</v>
      </c>
      <c r="I1302">
        <v>0</v>
      </c>
      <c r="J1302">
        <v>490</v>
      </c>
      <c r="K1302" t="s">
        <v>37</v>
      </c>
      <c r="L1302" t="s">
        <v>26</v>
      </c>
    </row>
    <row r="1303" spans="1:12" x14ac:dyDescent="0.25">
      <c r="A1303">
        <v>100344</v>
      </c>
      <c r="B1303" t="s">
        <v>125</v>
      </c>
      <c r="C1303" t="s">
        <v>126</v>
      </c>
      <c r="D1303" t="s">
        <v>1793</v>
      </c>
      <c r="E1303" t="s">
        <v>1794</v>
      </c>
      <c r="F1303" t="s">
        <v>2613</v>
      </c>
      <c r="G1303" t="s">
        <v>55</v>
      </c>
      <c r="H1303" t="s">
        <v>2620</v>
      </c>
      <c r="I1303">
        <v>0</v>
      </c>
      <c r="J1303">
        <v>461</v>
      </c>
      <c r="K1303" t="s">
        <v>32</v>
      </c>
      <c r="L1303" t="s">
        <v>26</v>
      </c>
    </row>
    <row r="1304" spans="1:12" x14ac:dyDescent="0.25">
      <c r="A1304">
        <v>100008</v>
      </c>
      <c r="B1304" t="s">
        <v>940</v>
      </c>
      <c r="C1304" t="s">
        <v>52</v>
      </c>
      <c r="D1304" t="s">
        <v>1029</v>
      </c>
      <c r="E1304" t="s">
        <v>1030</v>
      </c>
      <c r="F1304" t="s">
        <v>2627</v>
      </c>
      <c r="G1304" t="s">
        <v>2635</v>
      </c>
      <c r="H1304" t="s">
        <v>18</v>
      </c>
      <c r="I1304">
        <v>0</v>
      </c>
      <c r="J1304">
        <v>640</v>
      </c>
      <c r="K1304" t="s">
        <v>56</v>
      </c>
      <c r="L1304" t="s">
        <v>20</v>
      </c>
    </row>
    <row r="1305" spans="1:12" x14ac:dyDescent="0.25">
      <c r="A1305">
        <v>100760</v>
      </c>
      <c r="B1305" t="s">
        <v>890</v>
      </c>
      <c r="C1305" t="s">
        <v>149</v>
      </c>
      <c r="D1305" t="s">
        <v>1795</v>
      </c>
      <c r="E1305" t="s">
        <v>1796</v>
      </c>
      <c r="F1305" t="s">
        <v>2616</v>
      </c>
      <c r="G1305" t="s">
        <v>2658</v>
      </c>
      <c r="H1305" t="s">
        <v>2581</v>
      </c>
      <c r="I1305">
        <v>0</v>
      </c>
      <c r="J1305">
        <v>733</v>
      </c>
      <c r="K1305" t="s">
        <v>45</v>
      </c>
      <c r="L1305" t="s">
        <v>26</v>
      </c>
    </row>
    <row r="1306" spans="1:12" x14ac:dyDescent="0.25">
      <c r="A1306">
        <v>102185</v>
      </c>
      <c r="B1306" t="s">
        <v>429</v>
      </c>
      <c r="C1306" t="s">
        <v>52</v>
      </c>
      <c r="D1306" t="s">
        <v>1797</v>
      </c>
      <c r="E1306" t="s">
        <v>3350</v>
      </c>
      <c r="F1306" t="s">
        <v>2593</v>
      </c>
      <c r="H1306" t="s">
        <v>2620</v>
      </c>
      <c r="I1306">
        <v>0</v>
      </c>
      <c r="J1306">
        <v>568</v>
      </c>
      <c r="K1306" t="s">
        <v>19</v>
      </c>
      <c r="L1306" t="s">
        <v>2582</v>
      </c>
    </row>
    <row r="1307" spans="1:12" x14ac:dyDescent="0.25">
      <c r="A1307">
        <v>101740</v>
      </c>
      <c r="B1307" t="s">
        <v>545</v>
      </c>
      <c r="C1307" t="s">
        <v>126</v>
      </c>
      <c r="D1307" t="s">
        <v>1798</v>
      </c>
      <c r="E1307" t="s">
        <v>1799</v>
      </c>
      <c r="F1307" t="s">
        <v>2579</v>
      </c>
      <c r="G1307" t="s">
        <v>81</v>
      </c>
      <c r="H1307" t="s">
        <v>2620</v>
      </c>
      <c r="I1307">
        <v>0</v>
      </c>
      <c r="J1307">
        <v>494</v>
      </c>
      <c r="K1307" t="s">
        <v>37</v>
      </c>
      <c r="L1307" t="s">
        <v>2588</v>
      </c>
    </row>
    <row r="1308" spans="1:12" x14ac:dyDescent="0.25">
      <c r="A1308">
        <v>100216</v>
      </c>
      <c r="B1308" t="s">
        <v>1435</v>
      </c>
      <c r="C1308" t="s">
        <v>47</v>
      </c>
      <c r="D1308" t="s">
        <v>1065</v>
      </c>
      <c r="F1308" t="s">
        <v>2627</v>
      </c>
      <c r="G1308" t="s">
        <v>2611</v>
      </c>
      <c r="H1308" t="s">
        <v>2630</v>
      </c>
      <c r="I1308">
        <v>13</v>
      </c>
      <c r="J1308">
        <v>744</v>
      </c>
      <c r="K1308" t="s">
        <v>56</v>
      </c>
      <c r="L1308" t="s">
        <v>2582</v>
      </c>
    </row>
    <row r="1309" spans="1:12" x14ac:dyDescent="0.25">
      <c r="A1309">
        <v>100110</v>
      </c>
      <c r="B1309" t="s">
        <v>607</v>
      </c>
      <c r="C1309" t="s">
        <v>134</v>
      </c>
      <c r="D1309" t="s">
        <v>416</v>
      </c>
      <c r="E1309" t="s">
        <v>1800</v>
      </c>
      <c r="F1309" t="s">
        <v>50</v>
      </c>
      <c r="G1309" t="s">
        <v>55</v>
      </c>
      <c r="H1309" t="s">
        <v>2581</v>
      </c>
      <c r="I1309">
        <v>0</v>
      </c>
      <c r="J1309">
        <v>458</v>
      </c>
      <c r="K1309" t="s">
        <v>32</v>
      </c>
      <c r="L1309" t="s">
        <v>26</v>
      </c>
    </row>
    <row r="1310" spans="1:12" x14ac:dyDescent="0.25">
      <c r="A1310">
        <v>101244</v>
      </c>
      <c r="B1310" t="s">
        <v>204</v>
      </c>
      <c r="C1310" t="s">
        <v>152</v>
      </c>
      <c r="D1310" t="s">
        <v>1801</v>
      </c>
      <c r="E1310" t="s">
        <v>1802</v>
      </c>
      <c r="F1310" t="s">
        <v>30</v>
      </c>
      <c r="G1310" t="s">
        <v>2591</v>
      </c>
      <c r="H1310" t="s">
        <v>42</v>
      </c>
      <c r="I1310">
        <v>66</v>
      </c>
      <c r="J1310">
        <v>362</v>
      </c>
      <c r="K1310" t="s">
        <v>32</v>
      </c>
      <c r="L1310" t="s">
        <v>26</v>
      </c>
    </row>
    <row r="1311" spans="1:12" x14ac:dyDescent="0.25">
      <c r="A1311">
        <v>101378</v>
      </c>
      <c r="B1311" t="s">
        <v>38</v>
      </c>
      <c r="C1311" t="s">
        <v>39</v>
      </c>
      <c r="D1311" t="s">
        <v>104</v>
      </c>
      <c r="E1311" t="s">
        <v>3351</v>
      </c>
      <c r="F1311" t="s">
        <v>2629</v>
      </c>
      <c r="G1311" t="s">
        <v>2617</v>
      </c>
      <c r="H1311" t="s">
        <v>18</v>
      </c>
      <c r="I1311">
        <v>0</v>
      </c>
      <c r="J1311">
        <v>533</v>
      </c>
      <c r="K1311" t="s">
        <v>37</v>
      </c>
      <c r="L1311" t="s">
        <v>2588</v>
      </c>
    </row>
    <row r="1312" spans="1:12" x14ac:dyDescent="0.25">
      <c r="A1312">
        <v>100055</v>
      </c>
      <c r="B1312" t="s">
        <v>102</v>
      </c>
      <c r="C1312" t="s">
        <v>2667</v>
      </c>
      <c r="D1312" t="s">
        <v>1003</v>
      </c>
      <c r="E1312" t="s">
        <v>3352</v>
      </c>
      <c r="F1312" t="s">
        <v>50</v>
      </c>
      <c r="G1312" t="s">
        <v>2614</v>
      </c>
      <c r="H1312" t="s">
        <v>18</v>
      </c>
      <c r="I1312">
        <v>0</v>
      </c>
      <c r="J1312">
        <v>733</v>
      </c>
      <c r="K1312" t="s">
        <v>32</v>
      </c>
      <c r="L1312" t="s">
        <v>2582</v>
      </c>
    </row>
    <row r="1313" spans="1:12" x14ac:dyDescent="0.25">
      <c r="A1313">
        <v>101374</v>
      </c>
      <c r="B1313" t="s">
        <v>222</v>
      </c>
      <c r="C1313" t="s">
        <v>100</v>
      </c>
      <c r="D1313" t="s">
        <v>1803</v>
      </c>
      <c r="E1313" t="s">
        <v>1804</v>
      </c>
      <c r="F1313" t="s">
        <v>2583</v>
      </c>
      <c r="G1313" t="s">
        <v>2607</v>
      </c>
      <c r="H1313" t="s">
        <v>83</v>
      </c>
      <c r="I1313">
        <v>0</v>
      </c>
      <c r="J1313">
        <v>585</v>
      </c>
      <c r="K1313" t="s">
        <v>56</v>
      </c>
      <c r="L1313" t="s">
        <v>26</v>
      </c>
    </row>
    <row r="1314" spans="1:12" x14ac:dyDescent="0.25">
      <c r="A1314">
        <v>101406</v>
      </c>
      <c r="B1314" t="s">
        <v>657</v>
      </c>
      <c r="C1314" t="s">
        <v>52</v>
      </c>
      <c r="D1314" t="s">
        <v>1805</v>
      </c>
      <c r="E1314" t="s">
        <v>1806</v>
      </c>
      <c r="F1314" t="s">
        <v>2608</v>
      </c>
      <c r="G1314" t="s">
        <v>2602</v>
      </c>
      <c r="H1314" t="s">
        <v>2581</v>
      </c>
      <c r="I1314">
        <v>0</v>
      </c>
      <c r="J1314">
        <v>518</v>
      </c>
      <c r="K1314" t="s">
        <v>19</v>
      </c>
      <c r="L1314" t="s">
        <v>20</v>
      </c>
    </row>
    <row r="1315" spans="1:12" x14ac:dyDescent="0.25">
      <c r="A1315">
        <v>100716</v>
      </c>
      <c r="B1315" t="s">
        <v>875</v>
      </c>
      <c r="C1315" t="s">
        <v>72</v>
      </c>
      <c r="D1315" t="s">
        <v>203</v>
      </c>
      <c r="E1315" t="s">
        <v>1807</v>
      </c>
      <c r="F1315" t="s">
        <v>64</v>
      </c>
      <c r="H1315" t="s">
        <v>2620</v>
      </c>
      <c r="I1315">
        <v>0</v>
      </c>
      <c r="J1315">
        <v>678</v>
      </c>
      <c r="K1315" t="s">
        <v>19</v>
      </c>
      <c r="L1315" t="s">
        <v>2582</v>
      </c>
    </row>
    <row r="1316" spans="1:12" x14ac:dyDescent="0.25">
      <c r="A1316">
        <v>101052</v>
      </c>
      <c r="B1316" t="s">
        <v>68</v>
      </c>
      <c r="C1316" t="s">
        <v>52</v>
      </c>
      <c r="D1316" t="s">
        <v>1808</v>
      </c>
      <c r="E1316" t="s">
        <v>1809</v>
      </c>
      <c r="F1316" t="s">
        <v>2613</v>
      </c>
      <c r="G1316" t="s">
        <v>2607</v>
      </c>
      <c r="H1316" t="s">
        <v>2630</v>
      </c>
      <c r="I1316">
        <v>19</v>
      </c>
      <c r="J1316">
        <v>309</v>
      </c>
      <c r="K1316" t="s">
        <v>37</v>
      </c>
      <c r="L1316" t="s">
        <v>20</v>
      </c>
    </row>
    <row r="1317" spans="1:12" x14ac:dyDescent="0.25">
      <c r="A1317">
        <v>100231</v>
      </c>
      <c r="B1317" t="s">
        <v>497</v>
      </c>
      <c r="C1317" t="s">
        <v>142</v>
      </c>
      <c r="D1317" t="s">
        <v>1810</v>
      </c>
      <c r="E1317" t="s">
        <v>1811</v>
      </c>
      <c r="F1317" t="s">
        <v>64</v>
      </c>
      <c r="G1317" t="s">
        <v>2658</v>
      </c>
      <c r="H1317" t="s">
        <v>2623</v>
      </c>
      <c r="I1317">
        <v>57</v>
      </c>
      <c r="J1317">
        <v>465</v>
      </c>
      <c r="K1317" t="s">
        <v>45</v>
      </c>
      <c r="L1317" t="s">
        <v>26</v>
      </c>
    </row>
    <row r="1318" spans="1:12" x14ac:dyDescent="0.25">
      <c r="A1318">
        <v>100607</v>
      </c>
      <c r="B1318" t="s">
        <v>610</v>
      </c>
      <c r="C1318" t="s">
        <v>126</v>
      </c>
      <c r="D1318" t="s">
        <v>1589</v>
      </c>
      <c r="E1318" t="s">
        <v>3353</v>
      </c>
      <c r="F1318" t="s">
        <v>2646</v>
      </c>
      <c r="G1318" t="s">
        <v>2682</v>
      </c>
      <c r="H1318" t="s">
        <v>83</v>
      </c>
      <c r="I1318">
        <v>0</v>
      </c>
      <c r="J1318">
        <v>315</v>
      </c>
      <c r="K1318" t="s">
        <v>37</v>
      </c>
      <c r="L1318" t="s">
        <v>2582</v>
      </c>
    </row>
    <row r="1319" spans="1:12" x14ac:dyDescent="0.25">
      <c r="A1319">
        <v>100507</v>
      </c>
      <c r="B1319" t="s">
        <v>65</v>
      </c>
      <c r="C1319" t="s">
        <v>2632</v>
      </c>
      <c r="D1319" t="s">
        <v>1812</v>
      </c>
      <c r="E1319" t="s">
        <v>1813</v>
      </c>
      <c r="F1319" t="s">
        <v>2648</v>
      </c>
      <c r="G1319" t="s">
        <v>2611</v>
      </c>
      <c r="H1319" t="s">
        <v>2618</v>
      </c>
      <c r="J1319">
        <v>542</v>
      </c>
      <c r="K1319" t="s">
        <v>45</v>
      </c>
      <c r="L1319" t="s">
        <v>2582</v>
      </c>
    </row>
    <row r="1320" spans="1:12" x14ac:dyDescent="0.25">
      <c r="A1320">
        <v>100416</v>
      </c>
      <c r="B1320" t="s">
        <v>34</v>
      </c>
      <c r="D1320" t="s">
        <v>1814</v>
      </c>
      <c r="E1320" t="s">
        <v>3354</v>
      </c>
      <c r="F1320" t="s">
        <v>30</v>
      </c>
      <c r="G1320" t="s">
        <v>60</v>
      </c>
      <c r="H1320" t="s">
        <v>2618</v>
      </c>
      <c r="J1320">
        <v>672</v>
      </c>
      <c r="K1320" t="s">
        <v>37</v>
      </c>
      <c r="L1320" t="s">
        <v>2588</v>
      </c>
    </row>
    <row r="1321" spans="1:12" x14ac:dyDescent="0.25">
      <c r="A1321">
        <v>102165</v>
      </c>
      <c r="B1321" t="s">
        <v>460</v>
      </c>
      <c r="C1321" t="s">
        <v>95</v>
      </c>
      <c r="D1321" t="s">
        <v>1815</v>
      </c>
      <c r="E1321" t="s">
        <v>1816</v>
      </c>
      <c r="F1321" t="s">
        <v>2627</v>
      </c>
      <c r="G1321" t="s">
        <v>2580</v>
      </c>
      <c r="H1321" t="s">
        <v>2618</v>
      </c>
      <c r="I1321">
        <v>0</v>
      </c>
      <c r="J1321">
        <v>716</v>
      </c>
      <c r="K1321" t="s">
        <v>19</v>
      </c>
      <c r="L1321" t="s">
        <v>2588</v>
      </c>
    </row>
    <row r="1322" spans="1:12" x14ac:dyDescent="0.25">
      <c r="A1322">
        <v>102089</v>
      </c>
      <c r="B1322" t="s">
        <v>1206</v>
      </c>
      <c r="C1322" t="s">
        <v>22</v>
      </c>
      <c r="D1322" t="s">
        <v>1817</v>
      </c>
      <c r="E1322" t="s">
        <v>1818</v>
      </c>
      <c r="F1322" t="s">
        <v>2643</v>
      </c>
      <c r="G1322" t="s">
        <v>2596</v>
      </c>
      <c r="H1322" t="s">
        <v>2644</v>
      </c>
      <c r="J1322">
        <v>607</v>
      </c>
      <c r="K1322" t="s">
        <v>45</v>
      </c>
      <c r="L1322" t="s">
        <v>20</v>
      </c>
    </row>
    <row r="1323" spans="1:12" x14ac:dyDescent="0.25">
      <c r="A1323">
        <v>100809</v>
      </c>
      <c r="B1323" t="s">
        <v>497</v>
      </c>
      <c r="C1323" t="s">
        <v>142</v>
      </c>
      <c r="D1323" t="s">
        <v>1819</v>
      </c>
      <c r="E1323" t="s">
        <v>1820</v>
      </c>
      <c r="F1323" t="s">
        <v>2613</v>
      </c>
      <c r="G1323" t="s">
        <v>2652</v>
      </c>
      <c r="H1323" t="s">
        <v>2581</v>
      </c>
      <c r="I1323">
        <v>0</v>
      </c>
      <c r="J1323">
        <v>465</v>
      </c>
      <c r="K1323" t="s">
        <v>37</v>
      </c>
      <c r="L1323" t="s">
        <v>20</v>
      </c>
    </row>
    <row r="1324" spans="1:12" x14ac:dyDescent="0.25">
      <c r="A1324">
        <v>101824</v>
      </c>
      <c r="B1324" t="s">
        <v>794</v>
      </c>
      <c r="C1324" t="s">
        <v>52</v>
      </c>
      <c r="D1324" t="s">
        <v>1821</v>
      </c>
      <c r="E1324" t="s">
        <v>3355</v>
      </c>
      <c r="F1324" t="s">
        <v>2629</v>
      </c>
      <c r="G1324" t="s">
        <v>2652</v>
      </c>
      <c r="H1324" t="s">
        <v>2587</v>
      </c>
      <c r="I1324">
        <v>0</v>
      </c>
      <c r="J1324">
        <v>733</v>
      </c>
      <c r="K1324" t="s">
        <v>45</v>
      </c>
      <c r="L1324" t="s">
        <v>20</v>
      </c>
    </row>
    <row r="1325" spans="1:12" x14ac:dyDescent="0.25">
      <c r="A1325">
        <v>100882</v>
      </c>
      <c r="B1325" t="s">
        <v>616</v>
      </c>
      <c r="C1325" t="s">
        <v>95</v>
      </c>
      <c r="D1325" t="s">
        <v>1755</v>
      </c>
      <c r="E1325" t="s">
        <v>3356</v>
      </c>
      <c r="F1325" t="s">
        <v>2604</v>
      </c>
      <c r="H1325" t="s">
        <v>2630</v>
      </c>
      <c r="I1325">
        <v>17</v>
      </c>
      <c r="J1325">
        <v>898</v>
      </c>
      <c r="K1325" t="s">
        <v>19</v>
      </c>
      <c r="L1325" t="s">
        <v>2582</v>
      </c>
    </row>
    <row r="1326" spans="1:12" x14ac:dyDescent="0.25">
      <c r="A1326">
        <v>101562</v>
      </c>
      <c r="B1326" t="s">
        <v>280</v>
      </c>
      <c r="C1326" t="s">
        <v>187</v>
      </c>
      <c r="D1326" t="s">
        <v>1822</v>
      </c>
      <c r="E1326" t="s">
        <v>1823</v>
      </c>
      <c r="F1326" t="s">
        <v>2654</v>
      </c>
      <c r="G1326" t="s">
        <v>2611</v>
      </c>
      <c r="H1326" t="s">
        <v>42</v>
      </c>
      <c r="I1326">
        <v>159</v>
      </c>
      <c r="J1326">
        <v>621</v>
      </c>
      <c r="K1326" t="s">
        <v>19</v>
      </c>
      <c r="L1326" t="s">
        <v>2588</v>
      </c>
    </row>
    <row r="1327" spans="1:12" x14ac:dyDescent="0.25">
      <c r="A1327">
        <v>100801</v>
      </c>
      <c r="B1327" t="s">
        <v>222</v>
      </c>
      <c r="C1327" t="s">
        <v>100</v>
      </c>
      <c r="D1327" t="s">
        <v>1824</v>
      </c>
      <c r="E1327" t="s">
        <v>3357</v>
      </c>
      <c r="F1327" t="s">
        <v>50</v>
      </c>
      <c r="G1327" t="s">
        <v>2652</v>
      </c>
      <c r="H1327" t="s">
        <v>2620</v>
      </c>
      <c r="I1327">
        <v>0</v>
      </c>
      <c r="J1327">
        <v>585</v>
      </c>
      <c r="L1327" t="s">
        <v>2588</v>
      </c>
    </row>
    <row r="1328" spans="1:12" x14ac:dyDescent="0.25">
      <c r="A1328">
        <v>100376</v>
      </c>
      <c r="B1328" t="s">
        <v>750</v>
      </c>
      <c r="C1328" t="s">
        <v>52</v>
      </c>
      <c r="D1328" t="s">
        <v>1825</v>
      </c>
      <c r="E1328" t="s">
        <v>3358</v>
      </c>
      <c r="F1328" t="s">
        <v>41</v>
      </c>
      <c r="G1328" t="s">
        <v>31</v>
      </c>
      <c r="H1328" t="s">
        <v>2597</v>
      </c>
      <c r="I1328">
        <v>6</v>
      </c>
      <c r="J1328">
        <v>856</v>
      </c>
      <c r="K1328" t="s">
        <v>45</v>
      </c>
      <c r="L1328" t="s">
        <v>20</v>
      </c>
    </row>
    <row r="1329" spans="1:12" x14ac:dyDescent="0.25">
      <c r="A1329">
        <v>100197</v>
      </c>
      <c r="B1329" t="s">
        <v>460</v>
      </c>
      <c r="C1329" t="s">
        <v>95</v>
      </c>
      <c r="D1329" t="s">
        <v>791</v>
      </c>
      <c r="E1329" t="s">
        <v>2636</v>
      </c>
      <c r="F1329" t="s">
        <v>2616</v>
      </c>
      <c r="G1329" t="s">
        <v>2591</v>
      </c>
      <c r="H1329" t="s">
        <v>2587</v>
      </c>
      <c r="I1329">
        <v>0</v>
      </c>
      <c r="J1329">
        <v>716</v>
      </c>
      <c r="K1329" t="s">
        <v>32</v>
      </c>
      <c r="L1329" t="s">
        <v>20</v>
      </c>
    </row>
    <row r="1330" spans="1:12" x14ac:dyDescent="0.25">
      <c r="A1330">
        <v>101970</v>
      </c>
      <c r="B1330" t="s">
        <v>51</v>
      </c>
      <c r="C1330" t="s">
        <v>52</v>
      </c>
      <c r="D1330" t="s">
        <v>1826</v>
      </c>
      <c r="E1330" t="s">
        <v>3359</v>
      </c>
      <c r="F1330" t="s">
        <v>2608</v>
      </c>
      <c r="G1330" t="s">
        <v>2599</v>
      </c>
      <c r="H1330" t="s">
        <v>25</v>
      </c>
      <c r="I1330">
        <v>14</v>
      </c>
      <c r="J1330">
        <v>567</v>
      </c>
      <c r="K1330" t="s">
        <v>32</v>
      </c>
      <c r="L1330" t="s">
        <v>26</v>
      </c>
    </row>
    <row r="1331" spans="1:12" x14ac:dyDescent="0.25">
      <c r="A1331">
        <v>102015</v>
      </c>
      <c r="B1331" t="s">
        <v>198</v>
      </c>
      <c r="C1331" t="s">
        <v>134</v>
      </c>
      <c r="D1331" t="s">
        <v>1827</v>
      </c>
      <c r="E1331" t="s">
        <v>3360</v>
      </c>
      <c r="F1331" t="s">
        <v>64</v>
      </c>
      <c r="G1331" t="s">
        <v>2609</v>
      </c>
      <c r="H1331" t="s">
        <v>2581</v>
      </c>
      <c r="I1331">
        <v>0</v>
      </c>
      <c r="J1331">
        <v>555</v>
      </c>
      <c r="K1331" t="s">
        <v>56</v>
      </c>
      <c r="L1331" t="s">
        <v>20</v>
      </c>
    </row>
    <row r="1332" spans="1:12" x14ac:dyDescent="0.25">
      <c r="A1332">
        <v>100065</v>
      </c>
      <c r="B1332" t="s">
        <v>463</v>
      </c>
      <c r="D1332" t="s">
        <v>1828</v>
      </c>
      <c r="E1332" t="s">
        <v>3361</v>
      </c>
      <c r="F1332" t="s">
        <v>64</v>
      </c>
      <c r="G1332" t="s">
        <v>2635</v>
      </c>
      <c r="H1332" t="s">
        <v>2620</v>
      </c>
      <c r="I1332">
        <v>0</v>
      </c>
      <c r="J1332">
        <v>765</v>
      </c>
      <c r="K1332" t="s">
        <v>45</v>
      </c>
      <c r="L1332" t="s">
        <v>20</v>
      </c>
    </row>
    <row r="1333" spans="1:12" x14ac:dyDescent="0.25">
      <c r="A1333">
        <v>101211</v>
      </c>
      <c r="B1333" t="s">
        <v>928</v>
      </c>
      <c r="C1333" t="s">
        <v>110</v>
      </c>
      <c r="D1333" t="s">
        <v>1829</v>
      </c>
      <c r="E1333" t="s">
        <v>1830</v>
      </c>
      <c r="F1333" t="s">
        <v>2627</v>
      </c>
      <c r="G1333" t="s">
        <v>2658</v>
      </c>
      <c r="H1333" t="s">
        <v>2597</v>
      </c>
      <c r="I1333">
        <v>15</v>
      </c>
      <c r="J1333">
        <v>409</v>
      </c>
      <c r="K1333" t="s">
        <v>32</v>
      </c>
      <c r="L1333" t="s">
        <v>20</v>
      </c>
    </row>
    <row r="1334" spans="1:12" x14ac:dyDescent="0.25">
      <c r="A1334">
        <v>102010</v>
      </c>
      <c r="B1334" t="s">
        <v>1402</v>
      </c>
      <c r="C1334" t="s">
        <v>2703</v>
      </c>
      <c r="D1334" t="s">
        <v>1652</v>
      </c>
      <c r="E1334" t="s">
        <v>1831</v>
      </c>
      <c r="F1334" t="s">
        <v>50</v>
      </c>
      <c r="G1334" t="s">
        <v>2631</v>
      </c>
      <c r="H1334" t="s">
        <v>2620</v>
      </c>
      <c r="I1334">
        <v>0</v>
      </c>
      <c r="J1334">
        <v>588</v>
      </c>
      <c r="K1334" t="s">
        <v>19</v>
      </c>
      <c r="L1334" t="s">
        <v>26</v>
      </c>
    </row>
    <row r="1335" spans="1:12" x14ac:dyDescent="0.25">
      <c r="A1335">
        <v>101184</v>
      </c>
      <c r="B1335" t="s">
        <v>276</v>
      </c>
      <c r="C1335" t="s">
        <v>52</v>
      </c>
      <c r="D1335" t="s">
        <v>1502</v>
      </c>
      <c r="E1335" t="s">
        <v>3362</v>
      </c>
      <c r="F1335" t="s">
        <v>50</v>
      </c>
      <c r="G1335" t="s">
        <v>2602</v>
      </c>
      <c r="H1335" t="s">
        <v>2587</v>
      </c>
      <c r="I1335">
        <v>0</v>
      </c>
      <c r="J1335">
        <v>638</v>
      </c>
      <c r="K1335" t="s">
        <v>37</v>
      </c>
      <c r="L1335" t="s">
        <v>20</v>
      </c>
    </row>
    <row r="1336" spans="1:12" x14ac:dyDescent="0.25">
      <c r="A1336">
        <v>102003</v>
      </c>
      <c r="B1336" t="s">
        <v>1535</v>
      </c>
      <c r="C1336" t="s">
        <v>122</v>
      </c>
      <c r="D1336" t="s">
        <v>1832</v>
      </c>
      <c r="E1336" t="s">
        <v>3363</v>
      </c>
      <c r="F1336" t="s">
        <v>2640</v>
      </c>
      <c r="G1336" t="s">
        <v>2614</v>
      </c>
      <c r="H1336" t="s">
        <v>2644</v>
      </c>
      <c r="I1336">
        <v>0</v>
      </c>
      <c r="J1336">
        <v>873</v>
      </c>
      <c r="K1336" t="s">
        <v>32</v>
      </c>
      <c r="L1336" t="s">
        <v>2588</v>
      </c>
    </row>
    <row r="1337" spans="1:12" x14ac:dyDescent="0.25">
      <c r="A1337">
        <v>100848</v>
      </c>
      <c r="B1337" t="s">
        <v>151</v>
      </c>
      <c r="C1337" t="s">
        <v>152</v>
      </c>
      <c r="D1337" t="s">
        <v>1833</v>
      </c>
      <c r="E1337" t="s">
        <v>3364</v>
      </c>
      <c r="F1337" t="s">
        <v>2629</v>
      </c>
      <c r="G1337" t="s">
        <v>2580</v>
      </c>
      <c r="H1337" t="s">
        <v>83</v>
      </c>
      <c r="I1337">
        <v>0</v>
      </c>
      <c r="J1337">
        <v>534</v>
      </c>
      <c r="K1337" t="s">
        <v>37</v>
      </c>
      <c r="L1337" t="s">
        <v>20</v>
      </c>
    </row>
    <row r="1338" spans="1:12" x14ac:dyDescent="0.25">
      <c r="A1338">
        <v>100380</v>
      </c>
      <c r="B1338" t="s">
        <v>84</v>
      </c>
      <c r="C1338" t="s">
        <v>85</v>
      </c>
      <c r="D1338" t="s">
        <v>1834</v>
      </c>
      <c r="E1338" t="s">
        <v>3365</v>
      </c>
      <c r="F1338" t="s">
        <v>2604</v>
      </c>
      <c r="G1338" t="s">
        <v>2631</v>
      </c>
      <c r="H1338" t="s">
        <v>2620</v>
      </c>
      <c r="I1338">
        <v>0</v>
      </c>
      <c r="J1338">
        <v>400</v>
      </c>
      <c r="K1338" t="s">
        <v>45</v>
      </c>
      <c r="L1338" t="s">
        <v>26</v>
      </c>
    </row>
    <row r="1339" spans="1:12" x14ac:dyDescent="0.25">
      <c r="A1339">
        <v>101292</v>
      </c>
      <c r="B1339" t="s">
        <v>540</v>
      </c>
      <c r="D1339" t="s">
        <v>1835</v>
      </c>
      <c r="E1339" t="s">
        <v>3366</v>
      </c>
      <c r="F1339" t="s">
        <v>2648</v>
      </c>
      <c r="G1339" t="s">
        <v>2602</v>
      </c>
      <c r="H1339" t="s">
        <v>2587</v>
      </c>
      <c r="I1339">
        <v>0</v>
      </c>
      <c r="J1339">
        <v>487</v>
      </c>
      <c r="K1339" t="s">
        <v>56</v>
      </c>
      <c r="L1339" t="s">
        <v>2582</v>
      </c>
    </row>
    <row r="1340" spans="1:12" x14ac:dyDescent="0.25">
      <c r="A1340">
        <v>101653</v>
      </c>
      <c r="B1340" t="s">
        <v>1535</v>
      </c>
      <c r="C1340" t="s">
        <v>122</v>
      </c>
      <c r="D1340" t="s">
        <v>1836</v>
      </c>
      <c r="E1340" t="s">
        <v>1837</v>
      </c>
      <c r="F1340" t="s">
        <v>2579</v>
      </c>
      <c r="G1340" t="s">
        <v>2599</v>
      </c>
      <c r="H1340" t="s">
        <v>2581</v>
      </c>
      <c r="I1340">
        <v>0</v>
      </c>
      <c r="J1340">
        <v>873</v>
      </c>
      <c r="K1340" t="s">
        <v>32</v>
      </c>
      <c r="L1340" t="s">
        <v>26</v>
      </c>
    </row>
    <row r="1341" spans="1:12" x14ac:dyDescent="0.25">
      <c r="A1341">
        <v>100972</v>
      </c>
      <c r="B1341" t="s">
        <v>487</v>
      </c>
      <c r="C1341" t="s">
        <v>22</v>
      </c>
      <c r="D1341" t="s">
        <v>1838</v>
      </c>
      <c r="E1341" t="s">
        <v>1839</v>
      </c>
      <c r="F1341" t="s">
        <v>2629</v>
      </c>
      <c r="G1341" t="s">
        <v>2652</v>
      </c>
      <c r="H1341" t="s">
        <v>18</v>
      </c>
      <c r="J1341">
        <v>647</v>
      </c>
      <c r="K1341" t="s">
        <v>19</v>
      </c>
      <c r="L1341" t="s">
        <v>20</v>
      </c>
    </row>
    <row r="1342" spans="1:12" x14ac:dyDescent="0.25">
      <c r="A1342">
        <v>101569</v>
      </c>
      <c r="B1342" t="s">
        <v>1026</v>
      </c>
      <c r="C1342" t="s">
        <v>244</v>
      </c>
      <c r="D1342" t="s">
        <v>1840</v>
      </c>
      <c r="E1342" t="s">
        <v>1841</v>
      </c>
      <c r="F1342" t="s">
        <v>2608</v>
      </c>
      <c r="G1342" t="s">
        <v>2625</v>
      </c>
      <c r="H1342" t="s">
        <v>83</v>
      </c>
      <c r="I1342">
        <v>0</v>
      </c>
      <c r="J1342">
        <v>560</v>
      </c>
      <c r="K1342" t="s">
        <v>56</v>
      </c>
      <c r="L1342" t="s">
        <v>2582</v>
      </c>
    </row>
    <row r="1343" spans="1:12" x14ac:dyDescent="0.25">
      <c r="A1343">
        <v>101375</v>
      </c>
      <c r="B1343" t="s">
        <v>382</v>
      </c>
      <c r="C1343" t="s">
        <v>152</v>
      </c>
      <c r="D1343" t="s">
        <v>1842</v>
      </c>
      <c r="E1343" t="s">
        <v>1843</v>
      </c>
      <c r="F1343" t="s">
        <v>2616</v>
      </c>
      <c r="G1343" t="s">
        <v>81</v>
      </c>
      <c r="H1343" t="s">
        <v>18</v>
      </c>
      <c r="I1343">
        <v>0</v>
      </c>
      <c r="J1343">
        <v>797</v>
      </c>
      <c r="K1343" t="s">
        <v>19</v>
      </c>
      <c r="L1343" t="s">
        <v>26</v>
      </c>
    </row>
    <row r="1344" spans="1:12" x14ac:dyDescent="0.25">
      <c r="A1344">
        <v>100139</v>
      </c>
      <c r="B1344" t="s">
        <v>157</v>
      </c>
      <c r="C1344" t="s">
        <v>103</v>
      </c>
      <c r="D1344" t="s">
        <v>464</v>
      </c>
      <c r="E1344" t="s">
        <v>3367</v>
      </c>
      <c r="F1344" t="s">
        <v>2627</v>
      </c>
      <c r="G1344" t="s">
        <v>81</v>
      </c>
      <c r="H1344" t="s">
        <v>18</v>
      </c>
      <c r="I1344">
        <v>0</v>
      </c>
      <c r="J1344">
        <v>897</v>
      </c>
      <c r="K1344" t="s">
        <v>37</v>
      </c>
      <c r="L1344" t="s">
        <v>20</v>
      </c>
    </row>
    <row r="1345" spans="1:12" x14ac:dyDescent="0.25">
      <c r="A1345">
        <v>102172</v>
      </c>
      <c r="B1345" t="s">
        <v>875</v>
      </c>
      <c r="C1345" t="s">
        <v>72</v>
      </c>
      <c r="D1345" t="s">
        <v>1844</v>
      </c>
      <c r="E1345" t="s">
        <v>3368</v>
      </c>
      <c r="F1345" t="s">
        <v>2593</v>
      </c>
      <c r="G1345" t="s">
        <v>2607</v>
      </c>
      <c r="H1345" t="s">
        <v>2587</v>
      </c>
      <c r="I1345">
        <v>0</v>
      </c>
      <c r="J1345">
        <v>678</v>
      </c>
      <c r="K1345" t="s">
        <v>37</v>
      </c>
      <c r="L1345" t="s">
        <v>26</v>
      </c>
    </row>
    <row r="1346" spans="1:12" x14ac:dyDescent="0.25">
      <c r="A1346">
        <v>100358</v>
      </c>
      <c r="B1346" t="s">
        <v>742</v>
      </c>
      <c r="C1346" t="s">
        <v>100</v>
      </c>
      <c r="D1346" t="s">
        <v>1845</v>
      </c>
      <c r="E1346" t="s">
        <v>1846</v>
      </c>
      <c r="F1346" t="s">
        <v>50</v>
      </c>
      <c r="G1346" t="s">
        <v>2596</v>
      </c>
      <c r="H1346" t="s">
        <v>18</v>
      </c>
      <c r="I1346">
        <v>0</v>
      </c>
      <c r="J1346">
        <v>571</v>
      </c>
      <c r="K1346" t="s">
        <v>45</v>
      </c>
      <c r="L1346" t="s">
        <v>2582</v>
      </c>
    </row>
    <row r="1347" spans="1:12" x14ac:dyDescent="0.25">
      <c r="A1347">
        <v>100484</v>
      </c>
      <c r="B1347" t="s">
        <v>91</v>
      </c>
      <c r="C1347" t="s">
        <v>58</v>
      </c>
      <c r="D1347" t="s">
        <v>1586</v>
      </c>
      <c r="E1347" t="s">
        <v>3369</v>
      </c>
      <c r="F1347" t="s">
        <v>2627</v>
      </c>
      <c r="G1347" t="s">
        <v>2633</v>
      </c>
      <c r="H1347" t="s">
        <v>2620</v>
      </c>
      <c r="I1347">
        <v>0</v>
      </c>
      <c r="J1347">
        <v>769</v>
      </c>
      <c r="K1347" t="s">
        <v>19</v>
      </c>
      <c r="L1347" t="s">
        <v>2582</v>
      </c>
    </row>
    <row r="1348" spans="1:12" x14ac:dyDescent="0.25">
      <c r="A1348">
        <v>101231</v>
      </c>
      <c r="B1348" t="s">
        <v>706</v>
      </c>
      <c r="C1348" t="s">
        <v>72</v>
      </c>
      <c r="D1348" t="s">
        <v>391</v>
      </c>
      <c r="E1348" t="s">
        <v>1847</v>
      </c>
      <c r="F1348" t="s">
        <v>2598</v>
      </c>
      <c r="G1348" t="s">
        <v>55</v>
      </c>
      <c r="H1348" t="s">
        <v>2587</v>
      </c>
      <c r="I1348">
        <v>0</v>
      </c>
      <c r="J1348">
        <v>382</v>
      </c>
      <c r="K1348" t="s">
        <v>56</v>
      </c>
      <c r="L1348" t="s">
        <v>2588</v>
      </c>
    </row>
    <row r="1349" spans="1:12" x14ac:dyDescent="0.25">
      <c r="A1349">
        <v>100236</v>
      </c>
      <c r="B1349" t="s">
        <v>875</v>
      </c>
      <c r="C1349" t="s">
        <v>72</v>
      </c>
      <c r="D1349" t="s">
        <v>1848</v>
      </c>
      <c r="E1349" t="s">
        <v>1849</v>
      </c>
      <c r="F1349" t="s">
        <v>2593</v>
      </c>
      <c r="G1349" t="s">
        <v>2580</v>
      </c>
      <c r="H1349" t="s">
        <v>2630</v>
      </c>
      <c r="I1349">
        <v>7</v>
      </c>
      <c r="J1349">
        <v>678</v>
      </c>
      <c r="K1349" t="s">
        <v>37</v>
      </c>
      <c r="L1349" t="s">
        <v>26</v>
      </c>
    </row>
    <row r="1350" spans="1:12" x14ac:dyDescent="0.25">
      <c r="A1350">
        <v>101770</v>
      </c>
      <c r="B1350" t="s">
        <v>355</v>
      </c>
      <c r="C1350" t="s">
        <v>244</v>
      </c>
      <c r="D1350" t="s">
        <v>1850</v>
      </c>
      <c r="E1350" t="s">
        <v>3370</v>
      </c>
      <c r="F1350" t="s">
        <v>64</v>
      </c>
      <c r="G1350" t="s">
        <v>2584</v>
      </c>
      <c r="H1350" t="s">
        <v>2630</v>
      </c>
      <c r="I1350">
        <v>7</v>
      </c>
      <c r="J1350">
        <v>746</v>
      </c>
      <c r="K1350" t="s">
        <v>19</v>
      </c>
      <c r="L1350" t="s">
        <v>2588</v>
      </c>
    </row>
    <row r="1351" spans="1:12" x14ac:dyDescent="0.25">
      <c r="A1351">
        <v>101814</v>
      </c>
      <c r="B1351" t="s">
        <v>109</v>
      </c>
      <c r="C1351" t="s">
        <v>110</v>
      </c>
      <c r="D1351" t="s">
        <v>944</v>
      </c>
      <c r="E1351" t="s">
        <v>1851</v>
      </c>
      <c r="F1351" t="s">
        <v>2640</v>
      </c>
      <c r="G1351" t="s">
        <v>2609</v>
      </c>
      <c r="H1351" t="s">
        <v>83</v>
      </c>
      <c r="I1351">
        <v>0</v>
      </c>
      <c r="J1351">
        <v>591</v>
      </c>
      <c r="K1351" t="s">
        <v>45</v>
      </c>
      <c r="L1351" t="s">
        <v>20</v>
      </c>
    </row>
    <row r="1352" spans="1:12" x14ac:dyDescent="0.25">
      <c r="A1352">
        <v>100787</v>
      </c>
      <c r="B1352" t="s">
        <v>200</v>
      </c>
      <c r="C1352" t="s">
        <v>142</v>
      </c>
      <c r="D1352" t="s">
        <v>341</v>
      </c>
      <c r="E1352" t="s">
        <v>3165</v>
      </c>
      <c r="F1352" t="s">
        <v>2654</v>
      </c>
      <c r="G1352" t="s">
        <v>2602</v>
      </c>
      <c r="H1352" t="s">
        <v>2594</v>
      </c>
      <c r="I1352">
        <v>113</v>
      </c>
      <c r="J1352">
        <v>784</v>
      </c>
      <c r="K1352" t="s">
        <v>19</v>
      </c>
      <c r="L1352" t="s">
        <v>26</v>
      </c>
    </row>
    <row r="1353" spans="1:12" x14ac:dyDescent="0.25">
      <c r="A1353">
        <v>101903</v>
      </c>
      <c r="B1353" t="s">
        <v>315</v>
      </c>
      <c r="C1353" t="s">
        <v>22</v>
      </c>
      <c r="D1353" t="s">
        <v>1852</v>
      </c>
      <c r="E1353" t="s">
        <v>1853</v>
      </c>
      <c r="F1353" t="s">
        <v>2604</v>
      </c>
      <c r="G1353" t="s">
        <v>31</v>
      </c>
      <c r="H1353" t="s">
        <v>83</v>
      </c>
      <c r="I1353">
        <v>0</v>
      </c>
      <c r="J1353">
        <v>509</v>
      </c>
      <c r="K1353" t="s">
        <v>45</v>
      </c>
      <c r="L1353" t="s">
        <v>2582</v>
      </c>
    </row>
    <row r="1354" spans="1:12" x14ac:dyDescent="0.25">
      <c r="A1354">
        <v>101791</v>
      </c>
      <c r="B1354" t="s">
        <v>812</v>
      </c>
      <c r="C1354" t="s">
        <v>134</v>
      </c>
      <c r="D1354" t="s">
        <v>624</v>
      </c>
      <c r="E1354" t="s">
        <v>3371</v>
      </c>
      <c r="F1354" t="s">
        <v>2643</v>
      </c>
      <c r="G1354" t="s">
        <v>2580</v>
      </c>
      <c r="H1354" t="s">
        <v>2581</v>
      </c>
      <c r="I1354">
        <v>0</v>
      </c>
      <c r="J1354">
        <v>567</v>
      </c>
      <c r="K1354" t="s">
        <v>45</v>
      </c>
    </row>
    <row r="1355" spans="1:12" x14ac:dyDescent="0.25">
      <c r="A1355">
        <v>101619</v>
      </c>
      <c r="B1355" t="s">
        <v>596</v>
      </c>
      <c r="C1355" t="s">
        <v>22</v>
      </c>
      <c r="D1355" t="s">
        <v>899</v>
      </c>
      <c r="E1355" t="s">
        <v>3372</v>
      </c>
      <c r="F1355" t="s">
        <v>2604</v>
      </c>
      <c r="G1355" t="s">
        <v>2682</v>
      </c>
      <c r="H1355" t="s">
        <v>18</v>
      </c>
      <c r="I1355">
        <v>0</v>
      </c>
      <c r="J1355">
        <v>603</v>
      </c>
      <c r="K1355" t="s">
        <v>56</v>
      </c>
      <c r="L1355" t="s">
        <v>2588</v>
      </c>
    </row>
    <row r="1356" spans="1:12" x14ac:dyDescent="0.25">
      <c r="A1356">
        <v>102100</v>
      </c>
      <c r="B1356" t="s">
        <v>170</v>
      </c>
      <c r="C1356" t="s">
        <v>85</v>
      </c>
      <c r="D1356" t="s">
        <v>1486</v>
      </c>
      <c r="E1356" t="s">
        <v>1854</v>
      </c>
      <c r="F1356" t="s">
        <v>41</v>
      </c>
      <c r="G1356" t="s">
        <v>81</v>
      </c>
      <c r="H1356" t="s">
        <v>2581</v>
      </c>
      <c r="I1356">
        <v>0</v>
      </c>
      <c r="J1356">
        <v>869</v>
      </c>
      <c r="K1356" t="s">
        <v>32</v>
      </c>
      <c r="L1356" t="s">
        <v>2582</v>
      </c>
    </row>
    <row r="1357" spans="1:12" x14ac:dyDescent="0.25">
      <c r="A1357">
        <v>100704</v>
      </c>
      <c r="B1357" t="s">
        <v>364</v>
      </c>
      <c r="C1357" t="s">
        <v>103</v>
      </c>
      <c r="D1357" t="s">
        <v>918</v>
      </c>
      <c r="E1357" t="s">
        <v>3373</v>
      </c>
      <c r="F1357" t="s">
        <v>2604</v>
      </c>
      <c r="G1357" t="s">
        <v>2599</v>
      </c>
      <c r="H1357" t="s">
        <v>2618</v>
      </c>
      <c r="I1357">
        <v>0</v>
      </c>
      <c r="J1357">
        <v>351</v>
      </c>
      <c r="K1357" t="s">
        <v>56</v>
      </c>
      <c r="L1357" t="s">
        <v>2588</v>
      </c>
    </row>
    <row r="1358" spans="1:12" x14ac:dyDescent="0.25">
      <c r="A1358">
        <v>101125</v>
      </c>
      <c r="B1358" t="s">
        <v>241</v>
      </c>
      <c r="C1358" t="s">
        <v>58</v>
      </c>
      <c r="D1358" t="s">
        <v>1244</v>
      </c>
      <c r="E1358" t="s">
        <v>1855</v>
      </c>
      <c r="F1358" t="s">
        <v>30</v>
      </c>
      <c r="G1358" t="s">
        <v>81</v>
      </c>
      <c r="H1358" t="s">
        <v>2644</v>
      </c>
      <c r="I1358">
        <v>0</v>
      </c>
      <c r="J1358">
        <v>468</v>
      </c>
      <c r="K1358" t="s">
        <v>19</v>
      </c>
      <c r="L1358" t="s">
        <v>20</v>
      </c>
    </row>
    <row r="1359" spans="1:12" x14ac:dyDescent="0.25">
      <c r="A1359">
        <v>100591</v>
      </c>
      <c r="B1359" t="s">
        <v>1211</v>
      </c>
      <c r="C1359" t="s">
        <v>62</v>
      </c>
      <c r="D1359" t="s">
        <v>1856</v>
      </c>
      <c r="E1359" t="s">
        <v>3374</v>
      </c>
      <c r="F1359" t="s">
        <v>2608</v>
      </c>
      <c r="G1359" t="s">
        <v>2682</v>
      </c>
      <c r="H1359" t="s">
        <v>2620</v>
      </c>
      <c r="I1359">
        <v>0</v>
      </c>
      <c r="J1359">
        <v>741</v>
      </c>
      <c r="K1359" t="s">
        <v>32</v>
      </c>
      <c r="L1359" t="s">
        <v>26</v>
      </c>
    </row>
    <row r="1360" spans="1:12" x14ac:dyDescent="0.25">
      <c r="A1360">
        <v>101782</v>
      </c>
      <c r="B1360" t="s">
        <v>61</v>
      </c>
      <c r="C1360" t="s">
        <v>62</v>
      </c>
      <c r="D1360" t="s">
        <v>1828</v>
      </c>
      <c r="E1360" t="s">
        <v>1857</v>
      </c>
      <c r="F1360" t="s">
        <v>2616</v>
      </c>
      <c r="G1360" t="s">
        <v>2600</v>
      </c>
      <c r="H1360" t="s">
        <v>2618</v>
      </c>
      <c r="I1360">
        <v>0</v>
      </c>
      <c r="J1360">
        <v>542</v>
      </c>
      <c r="K1360" t="s">
        <v>37</v>
      </c>
      <c r="L1360" t="s">
        <v>26</v>
      </c>
    </row>
    <row r="1361" spans="1:12" x14ac:dyDescent="0.25">
      <c r="A1361">
        <v>100945</v>
      </c>
      <c r="B1361" t="s">
        <v>207</v>
      </c>
      <c r="C1361" t="s">
        <v>103</v>
      </c>
      <c r="E1361" t="s">
        <v>3375</v>
      </c>
      <c r="F1361" t="s">
        <v>41</v>
      </c>
      <c r="G1361" t="s">
        <v>2631</v>
      </c>
      <c r="H1361" t="s">
        <v>18</v>
      </c>
      <c r="I1361">
        <v>0</v>
      </c>
      <c r="J1361">
        <v>360</v>
      </c>
      <c r="K1361" t="s">
        <v>19</v>
      </c>
      <c r="L1361" t="s">
        <v>2582</v>
      </c>
    </row>
    <row r="1362" spans="1:12" x14ac:dyDescent="0.25">
      <c r="A1362">
        <v>101357</v>
      </c>
      <c r="B1362" t="s">
        <v>27</v>
      </c>
      <c r="C1362" t="s">
        <v>2723</v>
      </c>
      <c r="D1362" t="s">
        <v>724</v>
      </c>
      <c r="E1362" t="s">
        <v>3376</v>
      </c>
      <c r="F1362" t="s">
        <v>2613</v>
      </c>
      <c r="G1362" t="s">
        <v>31</v>
      </c>
      <c r="H1362" t="s">
        <v>18</v>
      </c>
      <c r="I1362">
        <v>0</v>
      </c>
      <c r="J1362">
        <v>849</v>
      </c>
      <c r="K1362" t="s">
        <v>32</v>
      </c>
      <c r="L1362" t="s">
        <v>2588</v>
      </c>
    </row>
    <row r="1363" spans="1:12" x14ac:dyDescent="0.25">
      <c r="A1363">
        <v>100176</v>
      </c>
      <c r="B1363" t="s">
        <v>225</v>
      </c>
      <c r="C1363" t="s">
        <v>142</v>
      </c>
      <c r="E1363" t="s">
        <v>3377</v>
      </c>
      <c r="F1363" t="s">
        <v>2616</v>
      </c>
      <c r="G1363" t="s">
        <v>2599</v>
      </c>
      <c r="H1363" t="s">
        <v>2587</v>
      </c>
      <c r="I1363">
        <v>0</v>
      </c>
      <c r="J1363">
        <v>741</v>
      </c>
      <c r="K1363" t="s">
        <v>37</v>
      </c>
      <c r="L1363" t="s">
        <v>20</v>
      </c>
    </row>
    <row r="1364" spans="1:12" x14ac:dyDescent="0.25">
      <c r="A1364">
        <v>100436</v>
      </c>
      <c r="B1364" t="s">
        <v>79</v>
      </c>
      <c r="C1364" t="s">
        <v>47</v>
      </c>
      <c r="D1364" t="s">
        <v>1858</v>
      </c>
      <c r="E1364" t="s">
        <v>3378</v>
      </c>
      <c r="F1364" t="s">
        <v>2640</v>
      </c>
      <c r="G1364" t="s">
        <v>2633</v>
      </c>
      <c r="H1364" t="s">
        <v>2597</v>
      </c>
      <c r="I1364">
        <v>20</v>
      </c>
      <c r="J1364">
        <v>585</v>
      </c>
      <c r="L1364" t="s">
        <v>2588</v>
      </c>
    </row>
    <row r="1365" spans="1:12" x14ac:dyDescent="0.25">
      <c r="A1365">
        <v>100823</v>
      </c>
      <c r="B1365" t="s">
        <v>742</v>
      </c>
      <c r="C1365" t="s">
        <v>100</v>
      </c>
      <c r="D1365" t="s">
        <v>1707</v>
      </c>
      <c r="E1365" t="s">
        <v>1859</v>
      </c>
      <c r="F1365" t="s">
        <v>2640</v>
      </c>
      <c r="G1365" t="s">
        <v>2633</v>
      </c>
      <c r="H1365" t="s">
        <v>2618</v>
      </c>
      <c r="I1365">
        <v>0</v>
      </c>
      <c r="J1365">
        <v>571</v>
      </c>
      <c r="K1365" t="s">
        <v>56</v>
      </c>
      <c r="L1365" t="s">
        <v>20</v>
      </c>
    </row>
    <row r="1366" spans="1:12" x14ac:dyDescent="0.25">
      <c r="A1366">
        <v>101841</v>
      </c>
      <c r="B1366" t="s">
        <v>462</v>
      </c>
      <c r="C1366" t="s">
        <v>168</v>
      </c>
      <c r="D1366" t="s">
        <v>150</v>
      </c>
      <c r="E1366" t="s">
        <v>3379</v>
      </c>
      <c r="F1366" t="s">
        <v>41</v>
      </c>
      <c r="G1366" t="s">
        <v>2635</v>
      </c>
      <c r="H1366" t="s">
        <v>18</v>
      </c>
      <c r="I1366">
        <v>0</v>
      </c>
      <c r="J1366">
        <v>716</v>
      </c>
      <c r="K1366" t="s">
        <v>19</v>
      </c>
      <c r="L1366" t="s">
        <v>20</v>
      </c>
    </row>
    <row r="1367" spans="1:12" x14ac:dyDescent="0.25">
      <c r="A1367">
        <v>101283</v>
      </c>
      <c r="B1367" t="s">
        <v>742</v>
      </c>
      <c r="C1367" t="s">
        <v>100</v>
      </c>
      <c r="D1367" t="s">
        <v>1057</v>
      </c>
      <c r="E1367" t="s">
        <v>3380</v>
      </c>
      <c r="F1367" t="s">
        <v>2598</v>
      </c>
      <c r="G1367" t="s">
        <v>2599</v>
      </c>
      <c r="H1367" t="s">
        <v>2581</v>
      </c>
      <c r="I1367">
        <v>0</v>
      </c>
      <c r="J1367">
        <v>571</v>
      </c>
      <c r="K1367" t="s">
        <v>32</v>
      </c>
      <c r="L1367" t="s">
        <v>26</v>
      </c>
    </row>
    <row r="1368" spans="1:12" x14ac:dyDescent="0.25">
      <c r="A1368">
        <v>100375</v>
      </c>
      <c r="B1368" t="s">
        <v>621</v>
      </c>
      <c r="C1368" t="s">
        <v>72</v>
      </c>
      <c r="D1368" t="s">
        <v>1568</v>
      </c>
      <c r="E1368" t="s">
        <v>1860</v>
      </c>
      <c r="F1368" t="s">
        <v>2627</v>
      </c>
      <c r="G1368" t="s">
        <v>2591</v>
      </c>
      <c r="H1368" t="s">
        <v>83</v>
      </c>
      <c r="I1368">
        <v>0</v>
      </c>
      <c r="J1368">
        <v>377</v>
      </c>
      <c r="K1368" t="s">
        <v>32</v>
      </c>
      <c r="L1368" t="s">
        <v>20</v>
      </c>
    </row>
    <row r="1369" spans="1:12" x14ac:dyDescent="0.25">
      <c r="A1369">
        <v>101420</v>
      </c>
      <c r="B1369" t="s">
        <v>65</v>
      </c>
      <c r="C1369" t="s">
        <v>62</v>
      </c>
      <c r="D1369" t="s">
        <v>1861</v>
      </c>
      <c r="E1369" t="s">
        <v>1862</v>
      </c>
      <c r="F1369" t="s">
        <v>2616</v>
      </c>
      <c r="G1369" t="s">
        <v>2631</v>
      </c>
      <c r="H1369" t="s">
        <v>2587</v>
      </c>
      <c r="I1369">
        <v>0</v>
      </c>
      <c r="J1369">
        <v>542</v>
      </c>
      <c r="K1369" t="s">
        <v>19</v>
      </c>
      <c r="L1369" t="s">
        <v>26</v>
      </c>
    </row>
    <row r="1371" spans="1:12" x14ac:dyDescent="0.25">
      <c r="A1371">
        <v>100803</v>
      </c>
      <c r="B1371" t="s">
        <v>99</v>
      </c>
      <c r="C1371" t="s">
        <v>100</v>
      </c>
      <c r="D1371" t="s">
        <v>916</v>
      </c>
      <c r="E1371" t="s">
        <v>3381</v>
      </c>
      <c r="F1371" t="s">
        <v>2590</v>
      </c>
      <c r="G1371" t="s">
        <v>2631</v>
      </c>
      <c r="H1371" t="s">
        <v>25</v>
      </c>
      <c r="I1371">
        <v>11</v>
      </c>
      <c r="J1371">
        <v>414</v>
      </c>
      <c r="K1371" t="s">
        <v>37</v>
      </c>
      <c r="L1371" t="s">
        <v>26</v>
      </c>
    </row>
    <row r="1372" spans="1:12" x14ac:dyDescent="0.25">
      <c r="A1372">
        <v>100083</v>
      </c>
      <c r="B1372" t="s">
        <v>504</v>
      </c>
      <c r="C1372" t="s">
        <v>187</v>
      </c>
      <c r="D1372" t="s">
        <v>48</v>
      </c>
      <c r="E1372" t="s">
        <v>1863</v>
      </c>
      <c r="F1372" t="s">
        <v>41</v>
      </c>
      <c r="G1372" t="s">
        <v>2609</v>
      </c>
      <c r="H1372" t="s">
        <v>83</v>
      </c>
      <c r="I1372">
        <v>0</v>
      </c>
      <c r="J1372">
        <v>494</v>
      </c>
      <c r="K1372" t="s">
        <v>32</v>
      </c>
      <c r="L1372" t="s">
        <v>26</v>
      </c>
    </row>
    <row r="1373" spans="1:12" x14ac:dyDescent="0.25">
      <c r="A1373">
        <v>101214</v>
      </c>
      <c r="B1373" t="s">
        <v>875</v>
      </c>
      <c r="C1373" t="s">
        <v>72</v>
      </c>
      <c r="D1373" t="s">
        <v>436</v>
      </c>
      <c r="E1373" t="s">
        <v>1864</v>
      </c>
      <c r="F1373" t="s">
        <v>30</v>
      </c>
      <c r="G1373" t="s">
        <v>2611</v>
      </c>
      <c r="H1373" t="s">
        <v>2618</v>
      </c>
      <c r="I1373">
        <v>0</v>
      </c>
      <c r="J1373">
        <v>678</v>
      </c>
      <c r="K1373" t="s">
        <v>56</v>
      </c>
      <c r="L1373" t="s">
        <v>20</v>
      </c>
    </row>
    <row r="1374" spans="1:12" x14ac:dyDescent="0.25">
      <c r="A1374">
        <v>101086</v>
      </c>
      <c r="B1374" t="s">
        <v>995</v>
      </c>
      <c r="C1374" t="s">
        <v>134</v>
      </c>
      <c r="D1374" t="s">
        <v>837</v>
      </c>
      <c r="E1374" t="s">
        <v>3382</v>
      </c>
      <c r="F1374" t="s">
        <v>2608</v>
      </c>
      <c r="G1374" t="s">
        <v>2614</v>
      </c>
      <c r="H1374" t="s">
        <v>2620</v>
      </c>
      <c r="I1374">
        <v>0</v>
      </c>
      <c r="J1374">
        <v>866</v>
      </c>
      <c r="K1374" t="s">
        <v>45</v>
      </c>
      <c r="L1374" t="s">
        <v>2582</v>
      </c>
    </row>
    <row r="1375" spans="1:12" x14ac:dyDescent="0.25">
      <c r="A1375">
        <v>100438</v>
      </c>
      <c r="B1375" t="s">
        <v>765</v>
      </c>
      <c r="C1375" t="s">
        <v>22</v>
      </c>
      <c r="D1375" t="s">
        <v>1865</v>
      </c>
      <c r="E1375" t="s">
        <v>3383</v>
      </c>
      <c r="F1375" t="s">
        <v>2590</v>
      </c>
      <c r="G1375" t="s">
        <v>2617</v>
      </c>
      <c r="H1375" t="s">
        <v>2581</v>
      </c>
      <c r="I1375">
        <v>0</v>
      </c>
      <c r="J1375">
        <v>851</v>
      </c>
      <c r="K1375" t="s">
        <v>19</v>
      </c>
      <c r="L1375" t="s">
        <v>20</v>
      </c>
    </row>
    <row r="1376" spans="1:12" x14ac:dyDescent="0.25">
      <c r="A1376">
        <v>100553</v>
      </c>
      <c r="B1376" t="s">
        <v>1009</v>
      </c>
      <c r="C1376" t="s">
        <v>58</v>
      </c>
      <c r="D1376" t="s">
        <v>612</v>
      </c>
      <c r="E1376" t="s">
        <v>3384</v>
      </c>
      <c r="F1376" t="s">
        <v>2613</v>
      </c>
      <c r="G1376" t="s">
        <v>2682</v>
      </c>
      <c r="H1376" t="s">
        <v>2644</v>
      </c>
      <c r="I1376">
        <v>0</v>
      </c>
      <c r="J1376">
        <v>400</v>
      </c>
      <c r="K1376" t="s">
        <v>56</v>
      </c>
      <c r="L1376" t="s">
        <v>26</v>
      </c>
    </row>
    <row r="1377" spans="1:12" x14ac:dyDescent="0.25">
      <c r="A1377">
        <v>101530</v>
      </c>
      <c r="B1377" t="s">
        <v>540</v>
      </c>
      <c r="C1377" t="s">
        <v>13</v>
      </c>
      <c r="D1377" t="s">
        <v>1866</v>
      </c>
      <c r="E1377" t="s">
        <v>1867</v>
      </c>
      <c r="F1377" t="s">
        <v>50</v>
      </c>
      <c r="G1377" t="s">
        <v>55</v>
      </c>
      <c r="H1377" t="s">
        <v>83</v>
      </c>
      <c r="I1377">
        <v>0</v>
      </c>
      <c r="J1377">
        <v>487</v>
      </c>
      <c r="K1377" t="s">
        <v>19</v>
      </c>
      <c r="L1377" t="s">
        <v>26</v>
      </c>
    </row>
    <row r="1378" spans="1:12" x14ac:dyDescent="0.25">
      <c r="A1378">
        <v>100806</v>
      </c>
      <c r="B1378" t="s">
        <v>905</v>
      </c>
      <c r="C1378" t="s">
        <v>100</v>
      </c>
      <c r="D1378" t="s">
        <v>1660</v>
      </c>
      <c r="E1378" t="s">
        <v>3385</v>
      </c>
      <c r="F1378" t="s">
        <v>2598</v>
      </c>
      <c r="G1378" t="s">
        <v>2631</v>
      </c>
      <c r="H1378" t="s">
        <v>42</v>
      </c>
      <c r="I1378">
        <v>37</v>
      </c>
      <c r="J1378">
        <v>325</v>
      </c>
      <c r="K1378" t="s">
        <v>56</v>
      </c>
      <c r="L1378" t="s">
        <v>20</v>
      </c>
    </row>
    <row r="1379" spans="1:12" x14ac:dyDescent="0.25">
      <c r="A1379">
        <v>101097</v>
      </c>
      <c r="B1379" t="s">
        <v>1155</v>
      </c>
      <c r="C1379" t="s">
        <v>218</v>
      </c>
      <c r="D1379" t="s">
        <v>1142</v>
      </c>
      <c r="E1379" t="s">
        <v>3386</v>
      </c>
      <c r="F1379" t="s">
        <v>41</v>
      </c>
      <c r="G1379" t="s">
        <v>2631</v>
      </c>
      <c r="H1379" t="s">
        <v>2587</v>
      </c>
      <c r="I1379">
        <v>0</v>
      </c>
      <c r="J1379">
        <v>557</v>
      </c>
      <c r="K1379" t="s">
        <v>56</v>
      </c>
      <c r="L1379" t="s">
        <v>26</v>
      </c>
    </row>
    <row r="1380" spans="1:12" x14ac:dyDescent="0.25">
      <c r="A1380">
        <v>101462</v>
      </c>
      <c r="B1380" t="s">
        <v>719</v>
      </c>
      <c r="C1380" t="s">
        <v>2686</v>
      </c>
      <c r="D1380" t="s">
        <v>1868</v>
      </c>
      <c r="E1380" t="s">
        <v>1869</v>
      </c>
      <c r="F1380" t="s">
        <v>2654</v>
      </c>
      <c r="G1380" t="s">
        <v>2580</v>
      </c>
      <c r="H1380" t="s">
        <v>2587</v>
      </c>
      <c r="I1380">
        <v>0</v>
      </c>
      <c r="J1380">
        <v>461</v>
      </c>
      <c r="K1380" t="s">
        <v>45</v>
      </c>
      <c r="L1380" t="s">
        <v>2588</v>
      </c>
    </row>
    <row r="1381" spans="1:12" x14ac:dyDescent="0.25">
      <c r="A1381">
        <v>101914</v>
      </c>
      <c r="B1381" t="s">
        <v>198</v>
      </c>
      <c r="C1381" t="s">
        <v>134</v>
      </c>
      <c r="D1381" t="s">
        <v>1760</v>
      </c>
      <c r="E1381" t="s">
        <v>3387</v>
      </c>
      <c r="F1381" t="s">
        <v>2593</v>
      </c>
      <c r="G1381" t="s">
        <v>81</v>
      </c>
      <c r="H1381" t="s">
        <v>2644</v>
      </c>
      <c r="I1381">
        <v>0</v>
      </c>
      <c r="J1381">
        <v>555</v>
      </c>
      <c r="K1381" t="s">
        <v>45</v>
      </c>
      <c r="L1381" t="s">
        <v>26</v>
      </c>
    </row>
    <row r="1382" spans="1:12" x14ac:dyDescent="0.25">
      <c r="A1382">
        <v>101109</v>
      </c>
      <c r="B1382" t="s">
        <v>481</v>
      </c>
      <c r="C1382" t="s">
        <v>168</v>
      </c>
      <c r="D1382" t="s">
        <v>1606</v>
      </c>
      <c r="E1382" t="s">
        <v>3388</v>
      </c>
      <c r="F1382" t="s">
        <v>2627</v>
      </c>
      <c r="G1382" t="s">
        <v>2602</v>
      </c>
      <c r="H1382" t="s">
        <v>18</v>
      </c>
      <c r="I1382">
        <v>0</v>
      </c>
      <c r="J1382">
        <v>548</v>
      </c>
      <c r="K1382" t="s">
        <v>19</v>
      </c>
      <c r="L1382" t="s">
        <v>2582</v>
      </c>
    </row>
    <row r="1383" spans="1:12" x14ac:dyDescent="0.25">
      <c r="A1383">
        <v>101252</v>
      </c>
      <c r="B1383" t="s">
        <v>388</v>
      </c>
      <c r="C1383" t="s">
        <v>142</v>
      </c>
      <c r="D1383" t="s">
        <v>1411</v>
      </c>
      <c r="E1383" t="s">
        <v>1870</v>
      </c>
      <c r="F1383" t="s">
        <v>2579</v>
      </c>
      <c r="G1383" t="s">
        <v>2617</v>
      </c>
      <c r="H1383" t="s">
        <v>2620</v>
      </c>
      <c r="I1383">
        <v>0</v>
      </c>
      <c r="J1383">
        <v>662</v>
      </c>
      <c r="K1383" t="s">
        <v>32</v>
      </c>
      <c r="L1383" t="s">
        <v>2582</v>
      </c>
    </row>
    <row r="1384" spans="1:12" x14ac:dyDescent="0.25">
      <c r="A1384">
        <v>101792</v>
      </c>
      <c r="B1384" t="s">
        <v>225</v>
      </c>
      <c r="C1384" t="s">
        <v>142</v>
      </c>
      <c r="D1384" t="s">
        <v>343</v>
      </c>
      <c r="E1384" t="s">
        <v>1871</v>
      </c>
      <c r="F1384" t="s">
        <v>2593</v>
      </c>
      <c r="G1384" t="s">
        <v>2635</v>
      </c>
      <c r="H1384" t="s">
        <v>2587</v>
      </c>
      <c r="I1384">
        <v>0</v>
      </c>
      <c r="J1384">
        <v>741</v>
      </c>
      <c r="K1384" t="s">
        <v>37</v>
      </c>
      <c r="L1384" t="s">
        <v>20</v>
      </c>
    </row>
    <row r="1385" spans="1:12" x14ac:dyDescent="0.25">
      <c r="A1385">
        <v>101612</v>
      </c>
      <c r="B1385" t="s">
        <v>247</v>
      </c>
      <c r="C1385" t="s">
        <v>126</v>
      </c>
      <c r="D1385" t="s">
        <v>1122</v>
      </c>
      <c r="E1385" t="s">
        <v>1872</v>
      </c>
      <c r="F1385" t="s">
        <v>2583</v>
      </c>
      <c r="G1385" t="s">
        <v>2617</v>
      </c>
      <c r="H1385" t="s">
        <v>2581</v>
      </c>
      <c r="I1385">
        <v>0</v>
      </c>
      <c r="J1385">
        <v>527</v>
      </c>
      <c r="K1385" t="s">
        <v>56</v>
      </c>
      <c r="L1385" t="s">
        <v>20</v>
      </c>
    </row>
    <row r="1386" spans="1:12" x14ac:dyDescent="0.25">
      <c r="A1386">
        <v>102146</v>
      </c>
      <c r="B1386" t="s">
        <v>46</v>
      </c>
      <c r="C1386" t="s">
        <v>47</v>
      </c>
      <c r="D1386" t="s">
        <v>1873</v>
      </c>
      <c r="E1386" t="s">
        <v>1874</v>
      </c>
      <c r="F1386" t="s">
        <v>2640</v>
      </c>
      <c r="G1386" t="s">
        <v>2614</v>
      </c>
      <c r="H1386" t="s">
        <v>2581</v>
      </c>
      <c r="I1386">
        <v>0</v>
      </c>
      <c r="J1386">
        <v>615</v>
      </c>
      <c r="K1386" t="s">
        <v>56</v>
      </c>
      <c r="L1386" t="s">
        <v>26</v>
      </c>
    </row>
    <row r="1387" spans="1:12" x14ac:dyDescent="0.25">
      <c r="A1387">
        <v>101435</v>
      </c>
      <c r="B1387" t="s">
        <v>576</v>
      </c>
      <c r="C1387" t="s">
        <v>22</v>
      </c>
      <c r="D1387" t="s">
        <v>1040</v>
      </c>
      <c r="E1387" t="s">
        <v>3389</v>
      </c>
      <c r="F1387" t="s">
        <v>2579</v>
      </c>
      <c r="G1387" t="s">
        <v>2635</v>
      </c>
      <c r="H1387" t="s">
        <v>2594</v>
      </c>
      <c r="I1387">
        <v>51</v>
      </c>
      <c r="J1387">
        <v>418</v>
      </c>
      <c r="K1387" t="s">
        <v>56</v>
      </c>
      <c r="L1387" t="s">
        <v>2582</v>
      </c>
    </row>
    <row r="1388" spans="1:12" x14ac:dyDescent="0.25">
      <c r="A1388">
        <v>100369</v>
      </c>
      <c r="B1388" t="s">
        <v>1303</v>
      </c>
      <c r="C1388" t="s">
        <v>126</v>
      </c>
      <c r="D1388" t="s">
        <v>1875</v>
      </c>
      <c r="E1388" t="s">
        <v>1876</v>
      </c>
      <c r="F1388" t="s">
        <v>2627</v>
      </c>
      <c r="G1388" t="s">
        <v>2635</v>
      </c>
      <c r="H1388" t="s">
        <v>2581</v>
      </c>
      <c r="I1388">
        <v>0</v>
      </c>
      <c r="J1388">
        <v>788</v>
      </c>
      <c r="K1388" t="s">
        <v>56</v>
      </c>
      <c r="L1388" t="s">
        <v>2582</v>
      </c>
    </row>
    <row r="1389" spans="1:12" x14ac:dyDescent="0.25">
      <c r="A1389">
        <v>100451</v>
      </c>
      <c r="B1389" t="s">
        <v>805</v>
      </c>
      <c r="C1389" t="s">
        <v>62</v>
      </c>
      <c r="D1389" t="s">
        <v>1877</v>
      </c>
      <c r="E1389" t="s">
        <v>3390</v>
      </c>
      <c r="F1389" t="s">
        <v>2643</v>
      </c>
      <c r="G1389" t="s">
        <v>2609</v>
      </c>
      <c r="H1389" t="s">
        <v>2623</v>
      </c>
      <c r="I1389">
        <v>119</v>
      </c>
      <c r="J1389">
        <v>352</v>
      </c>
      <c r="K1389" t="s">
        <v>56</v>
      </c>
      <c r="L1389" t="s">
        <v>20</v>
      </c>
    </row>
    <row r="1390" spans="1:12" x14ac:dyDescent="0.25">
      <c r="A1390">
        <v>100278</v>
      </c>
      <c r="B1390" t="s">
        <v>113</v>
      </c>
      <c r="C1390" t="s">
        <v>95</v>
      </c>
      <c r="D1390" t="s">
        <v>1878</v>
      </c>
      <c r="E1390" t="s">
        <v>1879</v>
      </c>
      <c r="F1390" t="s">
        <v>50</v>
      </c>
      <c r="G1390" t="s">
        <v>2614</v>
      </c>
      <c r="H1390" t="s">
        <v>25</v>
      </c>
      <c r="I1390">
        <v>21</v>
      </c>
      <c r="J1390">
        <v>657</v>
      </c>
      <c r="K1390" t="s">
        <v>19</v>
      </c>
      <c r="L1390" t="s">
        <v>2582</v>
      </c>
    </row>
    <row r="1391" spans="1:12" x14ac:dyDescent="0.25">
      <c r="A1391">
        <v>101647</v>
      </c>
      <c r="B1391" t="s">
        <v>636</v>
      </c>
      <c r="C1391" t="s">
        <v>244</v>
      </c>
      <c r="D1391" t="s">
        <v>1880</v>
      </c>
      <c r="E1391" t="s">
        <v>1881</v>
      </c>
      <c r="F1391" t="s">
        <v>50</v>
      </c>
      <c r="G1391" t="s">
        <v>2584</v>
      </c>
      <c r="H1391" t="s">
        <v>2587</v>
      </c>
      <c r="I1391">
        <v>0</v>
      </c>
      <c r="J1391">
        <v>303</v>
      </c>
      <c r="K1391" t="s">
        <v>32</v>
      </c>
      <c r="L1391" t="s">
        <v>20</v>
      </c>
    </row>
    <row r="1392" spans="1:12" x14ac:dyDescent="0.25">
      <c r="A1392">
        <v>101849</v>
      </c>
      <c r="B1392" t="s">
        <v>371</v>
      </c>
      <c r="C1392" t="s">
        <v>52</v>
      </c>
      <c r="D1392" t="s">
        <v>163</v>
      </c>
      <c r="E1392" t="s">
        <v>1882</v>
      </c>
      <c r="F1392" t="s">
        <v>2593</v>
      </c>
      <c r="G1392" t="s">
        <v>2611</v>
      </c>
      <c r="H1392" t="s">
        <v>42</v>
      </c>
      <c r="I1392">
        <v>69</v>
      </c>
      <c r="J1392">
        <v>339</v>
      </c>
      <c r="L1392" t="s">
        <v>2588</v>
      </c>
    </row>
    <row r="1393" spans="1:12" x14ac:dyDescent="0.25">
      <c r="A1393">
        <v>101671</v>
      </c>
      <c r="B1393" t="s">
        <v>1300</v>
      </c>
      <c r="C1393" t="s">
        <v>103</v>
      </c>
      <c r="D1393" t="s">
        <v>731</v>
      </c>
      <c r="E1393" t="s">
        <v>1883</v>
      </c>
      <c r="F1393" t="s">
        <v>2583</v>
      </c>
      <c r="G1393" t="s">
        <v>2600</v>
      </c>
      <c r="H1393" t="s">
        <v>18</v>
      </c>
      <c r="I1393">
        <v>0</v>
      </c>
      <c r="J1393">
        <v>374</v>
      </c>
      <c r="K1393" t="s">
        <v>19</v>
      </c>
      <c r="L1393" t="s">
        <v>26</v>
      </c>
    </row>
    <row r="1394" spans="1:12" x14ac:dyDescent="0.25">
      <c r="A1394">
        <v>100572</v>
      </c>
      <c r="B1394" t="s">
        <v>280</v>
      </c>
      <c r="C1394" t="s">
        <v>187</v>
      </c>
      <c r="D1394" t="s">
        <v>1098</v>
      </c>
      <c r="E1394" t="s">
        <v>3391</v>
      </c>
      <c r="F1394" t="s">
        <v>64</v>
      </c>
      <c r="G1394" t="s">
        <v>2609</v>
      </c>
      <c r="H1394" t="s">
        <v>83</v>
      </c>
      <c r="I1394">
        <v>0</v>
      </c>
      <c r="J1394">
        <v>621</v>
      </c>
      <c r="K1394" t="s">
        <v>56</v>
      </c>
      <c r="L1394" t="s">
        <v>2588</v>
      </c>
    </row>
    <row r="1395" spans="1:12" x14ac:dyDescent="0.25">
      <c r="A1395">
        <v>100677</v>
      </c>
      <c r="B1395" t="s">
        <v>138</v>
      </c>
      <c r="C1395" t="s">
        <v>85</v>
      </c>
      <c r="D1395" t="s">
        <v>1884</v>
      </c>
      <c r="E1395" t="s">
        <v>3392</v>
      </c>
      <c r="F1395" t="s">
        <v>2590</v>
      </c>
      <c r="G1395" t="s">
        <v>2591</v>
      </c>
      <c r="H1395" t="s">
        <v>2581</v>
      </c>
      <c r="I1395">
        <v>0</v>
      </c>
      <c r="J1395">
        <v>623</v>
      </c>
      <c r="K1395" t="s">
        <v>56</v>
      </c>
      <c r="L1395" t="s">
        <v>2588</v>
      </c>
    </row>
    <row r="1396" spans="1:12" x14ac:dyDescent="0.25">
      <c r="A1396">
        <v>101948</v>
      </c>
      <c r="B1396" t="s">
        <v>607</v>
      </c>
      <c r="C1396" t="s">
        <v>134</v>
      </c>
      <c r="D1396" t="s">
        <v>1885</v>
      </c>
      <c r="E1396" t="s">
        <v>3393</v>
      </c>
      <c r="F1396" t="s">
        <v>2613</v>
      </c>
      <c r="G1396" t="s">
        <v>2633</v>
      </c>
      <c r="H1396" t="s">
        <v>2587</v>
      </c>
      <c r="I1396">
        <v>0</v>
      </c>
      <c r="J1396">
        <v>458</v>
      </c>
      <c r="K1396" t="s">
        <v>37</v>
      </c>
      <c r="L1396" t="s">
        <v>2582</v>
      </c>
    </row>
    <row r="1397" spans="1:12" x14ac:dyDescent="0.25">
      <c r="A1397">
        <v>101760</v>
      </c>
      <c r="B1397" t="s">
        <v>807</v>
      </c>
      <c r="D1397" t="s">
        <v>1886</v>
      </c>
      <c r="E1397" t="s">
        <v>3394</v>
      </c>
      <c r="F1397" t="s">
        <v>2590</v>
      </c>
      <c r="G1397" t="s">
        <v>2633</v>
      </c>
      <c r="H1397" t="s">
        <v>2620</v>
      </c>
      <c r="J1397">
        <v>443</v>
      </c>
      <c r="K1397" t="s">
        <v>37</v>
      </c>
      <c r="L1397" t="s">
        <v>20</v>
      </c>
    </row>
    <row r="1398" spans="1:12" x14ac:dyDescent="0.25">
      <c r="A1398">
        <v>100872</v>
      </c>
      <c r="B1398" t="s">
        <v>232</v>
      </c>
      <c r="C1398" t="s">
        <v>152</v>
      </c>
      <c r="D1398" t="s">
        <v>1674</v>
      </c>
      <c r="E1398" t="s">
        <v>1887</v>
      </c>
      <c r="F1398" t="s">
        <v>2593</v>
      </c>
      <c r="H1398" t="s">
        <v>2587</v>
      </c>
      <c r="I1398">
        <v>0</v>
      </c>
      <c r="J1398">
        <v>781</v>
      </c>
      <c r="K1398" t="s">
        <v>37</v>
      </c>
      <c r="L1398" t="s">
        <v>2588</v>
      </c>
    </row>
    <row r="1399" spans="1:12" x14ac:dyDescent="0.25">
      <c r="A1399">
        <v>100715</v>
      </c>
      <c r="B1399" t="s">
        <v>288</v>
      </c>
      <c r="D1399" t="s">
        <v>1888</v>
      </c>
      <c r="E1399" t="s">
        <v>3395</v>
      </c>
      <c r="F1399" t="s">
        <v>2579</v>
      </c>
      <c r="G1399" t="s">
        <v>2633</v>
      </c>
      <c r="H1399" t="s">
        <v>18</v>
      </c>
      <c r="I1399">
        <v>0</v>
      </c>
      <c r="J1399">
        <v>746</v>
      </c>
      <c r="K1399" t="s">
        <v>19</v>
      </c>
      <c r="L1399" t="s">
        <v>2588</v>
      </c>
    </row>
    <row r="1400" spans="1:12" x14ac:dyDescent="0.25">
      <c r="A1400">
        <v>101157</v>
      </c>
      <c r="B1400" t="s">
        <v>742</v>
      </c>
      <c r="C1400" t="s">
        <v>100</v>
      </c>
      <c r="D1400" t="s">
        <v>499</v>
      </c>
      <c r="E1400" t="s">
        <v>3396</v>
      </c>
      <c r="F1400" t="s">
        <v>2616</v>
      </c>
      <c r="G1400" t="s">
        <v>2652</v>
      </c>
      <c r="H1400" t="s">
        <v>2618</v>
      </c>
      <c r="I1400">
        <v>0</v>
      </c>
      <c r="J1400">
        <v>571</v>
      </c>
      <c r="K1400" t="s">
        <v>32</v>
      </c>
      <c r="L1400" t="s">
        <v>26</v>
      </c>
    </row>
    <row r="1401" spans="1:12" x14ac:dyDescent="0.25">
      <c r="A1401">
        <v>101926</v>
      </c>
      <c r="B1401" t="s">
        <v>282</v>
      </c>
      <c r="C1401" t="s">
        <v>152</v>
      </c>
      <c r="D1401" t="s">
        <v>1003</v>
      </c>
      <c r="E1401" t="s">
        <v>3397</v>
      </c>
      <c r="F1401" t="s">
        <v>64</v>
      </c>
      <c r="G1401" t="s">
        <v>2635</v>
      </c>
      <c r="H1401" t="s">
        <v>2587</v>
      </c>
      <c r="I1401">
        <v>0</v>
      </c>
      <c r="J1401">
        <v>301</v>
      </c>
      <c r="K1401" t="s">
        <v>56</v>
      </c>
      <c r="L1401" t="s">
        <v>2588</v>
      </c>
    </row>
    <row r="1402" spans="1:12" x14ac:dyDescent="0.25">
      <c r="A1402">
        <v>100068</v>
      </c>
      <c r="B1402" t="s">
        <v>995</v>
      </c>
      <c r="C1402" t="s">
        <v>134</v>
      </c>
      <c r="D1402" t="s">
        <v>1889</v>
      </c>
      <c r="E1402" t="s">
        <v>3398</v>
      </c>
      <c r="F1402" t="s">
        <v>2627</v>
      </c>
      <c r="G1402" t="s">
        <v>2607</v>
      </c>
      <c r="H1402" t="s">
        <v>2594</v>
      </c>
      <c r="I1402">
        <v>172</v>
      </c>
      <c r="J1402">
        <v>866</v>
      </c>
      <c r="K1402" t="s">
        <v>19</v>
      </c>
      <c r="L1402" t="s">
        <v>2582</v>
      </c>
    </row>
    <row r="1403" spans="1:12" x14ac:dyDescent="0.25">
      <c r="A1403">
        <v>100594</v>
      </c>
      <c r="B1403" t="s">
        <v>418</v>
      </c>
      <c r="C1403" t="s">
        <v>52</v>
      </c>
      <c r="E1403" t="s">
        <v>2820</v>
      </c>
      <c r="F1403" t="s">
        <v>2640</v>
      </c>
      <c r="G1403" t="s">
        <v>2633</v>
      </c>
      <c r="H1403" t="s">
        <v>2623</v>
      </c>
      <c r="I1403">
        <v>34</v>
      </c>
      <c r="J1403">
        <v>371</v>
      </c>
      <c r="K1403" t="s">
        <v>45</v>
      </c>
      <c r="L1403" t="s">
        <v>2588</v>
      </c>
    </row>
    <row r="1404" spans="1:12" x14ac:dyDescent="0.25">
      <c r="A1404">
        <v>101955</v>
      </c>
      <c r="B1404" t="s">
        <v>1042</v>
      </c>
      <c r="C1404" t="s">
        <v>58</v>
      </c>
      <c r="D1404" t="s">
        <v>1890</v>
      </c>
      <c r="E1404" t="s">
        <v>3399</v>
      </c>
      <c r="F1404" t="s">
        <v>50</v>
      </c>
      <c r="G1404" t="s">
        <v>2652</v>
      </c>
      <c r="H1404" t="s">
        <v>42</v>
      </c>
      <c r="I1404">
        <v>54</v>
      </c>
      <c r="J1404">
        <v>578</v>
      </c>
      <c r="K1404" t="s">
        <v>45</v>
      </c>
      <c r="L1404" t="s">
        <v>2582</v>
      </c>
    </row>
    <row r="1405" spans="1:12" x14ac:dyDescent="0.25">
      <c r="A1405">
        <v>100628</v>
      </c>
      <c r="B1405" t="s">
        <v>282</v>
      </c>
      <c r="C1405" t="s">
        <v>2949</v>
      </c>
      <c r="D1405" t="s">
        <v>1891</v>
      </c>
      <c r="E1405" t="s">
        <v>1892</v>
      </c>
      <c r="F1405" t="s">
        <v>2593</v>
      </c>
      <c r="G1405" t="s">
        <v>31</v>
      </c>
      <c r="H1405" t="s">
        <v>83</v>
      </c>
      <c r="J1405">
        <v>301</v>
      </c>
      <c r="L1405" t="s">
        <v>26</v>
      </c>
    </row>
    <row r="1406" spans="1:12" x14ac:dyDescent="0.25">
      <c r="A1406">
        <v>100429</v>
      </c>
      <c r="B1406" t="s">
        <v>537</v>
      </c>
      <c r="C1406" t="s">
        <v>187</v>
      </c>
      <c r="D1406" t="s">
        <v>1389</v>
      </c>
      <c r="E1406" t="s">
        <v>1893</v>
      </c>
      <c r="F1406" t="s">
        <v>2598</v>
      </c>
      <c r="H1406" t="s">
        <v>2620</v>
      </c>
      <c r="I1406">
        <v>0</v>
      </c>
      <c r="J1406">
        <v>874</v>
      </c>
      <c r="K1406" t="s">
        <v>19</v>
      </c>
      <c r="L1406" t="s">
        <v>26</v>
      </c>
    </row>
    <row r="1407" spans="1:12" x14ac:dyDescent="0.25">
      <c r="A1407">
        <v>101425</v>
      </c>
      <c r="B1407" t="s">
        <v>107</v>
      </c>
      <c r="C1407" t="s">
        <v>58</v>
      </c>
      <c r="D1407" t="s">
        <v>666</v>
      </c>
      <c r="E1407" t="s">
        <v>3400</v>
      </c>
      <c r="F1407" t="s">
        <v>2627</v>
      </c>
      <c r="G1407" t="s">
        <v>2611</v>
      </c>
      <c r="H1407" t="s">
        <v>2585</v>
      </c>
      <c r="I1407">
        <v>11</v>
      </c>
      <c r="J1407">
        <v>884</v>
      </c>
      <c r="K1407" t="s">
        <v>19</v>
      </c>
      <c r="L1407" t="s">
        <v>2582</v>
      </c>
    </row>
    <row r="1408" spans="1:12" x14ac:dyDescent="0.25">
      <c r="A1408">
        <v>101033</v>
      </c>
      <c r="B1408" t="s">
        <v>212</v>
      </c>
      <c r="C1408" t="s">
        <v>2743</v>
      </c>
      <c r="D1408" t="s">
        <v>1894</v>
      </c>
      <c r="E1408" t="s">
        <v>1895</v>
      </c>
      <c r="F1408" t="s">
        <v>50</v>
      </c>
      <c r="G1408" t="s">
        <v>2617</v>
      </c>
      <c r="H1408" t="s">
        <v>2581</v>
      </c>
      <c r="I1408">
        <v>0</v>
      </c>
      <c r="J1408">
        <v>662</v>
      </c>
      <c r="K1408" t="s">
        <v>56</v>
      </c>
      <c r="L1408" t="s">
        <v>2588</v>
      </c>
    </row>
    <row r="1409" spans="1:12" x14ac:dyDescent="0.25">
      <c r="A1409">
        <v>100721</v>
      </c>
      <c r="B1409" t="s">
        <v>682</v>
      </c>
      <c r="C1409" t="s">
        <v>152</v>
      </c>
      <c r="D1409" t="s">
        <v>372</v>
      </c>
      <c r="E1409" t="s">
        <v>1896</v>
      </c>
      <c r="F1409" t="s">
        <v>2613</v>
      </c>
      <c r="G1409" t="s">
        <v>2658</v>
      </c>
      <c r="H1409" t="s">
        <v>2587</v>
      </c>
      <c r="I1409">
        <v>0</v>
      </c>
      <c r="J1409">
        <v>863</v>
      </c>
      <c r="K1409" t="s">
        <v>19</v>
      </c>
      <c r="L1409" t="s">
        <v>20</v>
      </c>
    </row>
    <row r="1410" spans="1:12" x14ac:dyDescent="0.25">
      <c r="A1410">
        <v>100345</v>
      </c>
      <c r="B1410" t="s">
        <v>779</v>
      </c>
      <c r="C1410" t="s">
        <v>39</v>
      </c>
      <c r="D1410" t="s">
        <v>819</v>
      </c>
      <c r="E1410" t="s">
        <v>3401</v>
      </c>
      <c r="F1410" t="s">
        <v>30</v>
      </c>
      <c r="G1410" t="s">
        <v>81</v>
      </c>
      <c r="H1410" t="s">
        <v>2581</v>
      </c>
      <c r="I1410">
        <v>0</v>
      </c>
      <c r="J1410">
        <v>402</v>
      </c>
      <c r="K1410" t="s">
        <v>19</v>
      </c>
      <c r="L1410" t="s">
        <v>2588</v>
      </c>
    </row>
    <row r="1411" spans="1:12" x14ac:dyDescent="0.25">
      <c r="A1411">
        <v>101733</v>
      </c>
      <c r="B1411" t="s">
        <v>307</v>
      </c>
      <c r="C1411" t="s">
        <v>58</v>
      </c>
      <c r="D1411" t="s">
        <v>1897</v>
      </c>
      <c r="E1411" t="s">
        <v>1898</v>
      </c>
      <c r="F1411" t="s">
        <v>2598</v>
      </c>
      <c r="G1411" t="s">
        <v>2658</v>
      </c>
      <c r="H1411" t="s">
        <v>2620</v>
      </c>
      <c r="I1411">
        <v>0</v>
      </c>
      <c r="J1411">
        <v>616</v>
      </c>
      <c r="K1411" t="s">
        <v>45</v>
      </c>
      <c r="L1411" t="s">
        <v>2588</v>
      </c>
    </row>
    <row r="1412" spans="1:12" x14ac:dyDescent="0.25">
      <c r="A1412">
        <v>101223</v>
      </c>
      <c r="B1412" t="s">
        <v>446</v>
      </c>
      <c r="C1412" t="s">
        <v>168</v>
      </c>
      <c r="D1412" t="s">
        <v>709</v>
      </c>
      <c r="E1412" t="s">
        <v>1899</v>
      </c>
      <c r="F1412" t="s">
        <v>2593</v>
      </c>
      <c r="G1412" t="s">
        <v>2625</v>
      </c>
      <c r="H1412" t="s">
        <v>2620</v>
      </c>
      <c r="I1412">
        <v>0</v>
      </c>
      <c r="J1412">
        <v>515</v>
      </c>
      <c r="K1412" t="s">
        <v>45</v>
      </c>
      <c r="L1412" t="s">
        <v>2582</v>
      </c>
    </row>
    <row r="1413" spans="1:12" x14ac:dyDescent="0.25">
      <c r="A1413">
        <v>101566</v>
      </c>
      <c r="B1413" t="s">
        <v>121</v>
      </c>
      <c r="C1413" t="s">
        <v>122</v>
      </c>
      <c r="D1413" t="s">
        <v>1900</v>
      </c>
      <c r="E1413" t="s">
        <v>3402</v>
      </c>
      <c r="F1413" t="s">
        <v>2627</v>
      </c>
      <c r="G1413" t="s">
        <v>2602</v>
      </c>
      <c r="H1413" t="s">
        <v>2581</v>
      </c>
      <c r="I1413">
        <v>0</v>
      </c>
      <c r="J1413">
        <v>823</v>
      </c>
      <c r="K1413" t="s">
        <v>19</v>
      </c>
      <c r="L1413" t="s">
        <v>2588</v>
      </c>
    </row>
    <row r="1414" spans="1:12" x14ac:dyDescent="0.25">
      <c r="A1414">
        <v>101241</v>
      </c>
      <c r="B1414" t="s">
        <v>297</v>
      </c>
      <c r="C1414" t="s">
        <v>72</v>
      </c>
      <c r="D1414" t="s">
        <v>1901</v>
      </c>
      <c r="E1414" t="s">
        <v>3403</v>
      </c>
      <c r="F1414" t="s">
        <v>2613</v>
      </c>
      <c r="G1414" t="s">
        <v>2652</v>
      </c>
      <c r="H1414" t="s">
        <v>18</v>
      </c>
      <c r="I1414">
        <v>0</v>
      </c>
      <c r="J1414">
        <v>878</v>
      </c>
      <c r="K1414" t="s">
        <v>32</v>
      </c>
      <c r="L1414" t="s">
        <v>2582</v>
      </c>
    </row>
    <row r="1415" spans="1:12" x14ac:dyDescent="0.25">
      <c r="A1415">
        <v>100426</v>
      </c>
      <c r="B1415" t="s">
        <v>34</v>
      </c>
      <c r="C1415" t="s">
        <v>13</v>
      </c>
      <c r="D1415" t="s">
        <v>1571</v>
      </c>
      <c r="E1415" t="s">
        <v>3404</v>
      </c>
      <c r="F1415" t="s">
        <v>2613</v>
      </c>
      <c r="G1415" t="s">
        <v>2617</v>
      </c>
      <c r="H1415" t="s">
        <v>83</v>
      </c>
      <c r="I1415">
        <v>0</v>
      </c>
      <c r="J1415">
        <v>672</v>
      </c>
      <c r="K1415" t="s">
        <v>32</v>
      </c>
      <c r="L1415" t="s">
        <v>20</v>
      </c>
    </row>
    <row r="1416" spans="1:12" x14ac:dyDescent="0.25">
      <c r="A1416">
        <v>101478</v>
      </c>
      <c r="B1416" t="s">
        <v>528</v>
      </c>
      <c r="C1416" t="s">
        <v>103</v>
      </c>
      <c r="D1416" t="s">
        <v>1902</v>
      </c>
      <c r="E1416" t="s">
        <v>1903</v>
      </c>
      <c r="F1416" t="s">
        <v>2640</v>
      </c>
      <c r="G1416" t="s">
        <v>55</v>
      </c>
      <c r="H1416" t="s">
        <v>2623</v>
      </c>
      <c r="I1416">
        <v>112</v>
      </c>
      <c r="J1416">
        <v>583</v>
      </c>
      <c r="K1416" t="s">
        <v>37</v>
      </c>
      <c r="L1416" t="s">
        <v>26</v>
      </c>
    </row>
    <row r="1417" spans="1:12" x14ac:dyDescent="0.25">
      <c r="A1417">
        <v>100052</v>
      </c>
      <c r="B1417" t="s">
        <v>194</v>
      </c>
      <c r="C1417" t="s">
        <v>47</v>
      </c>
      <c r="D1417" t="s">
        <v>361</v>
      </c>
      <c r="E1417" t="s">
        <v>1904</v>
      </c>
      <c r="F1417" t="s">
        <v>50</v>
      </c>
      <c r="G1417" t="s">
        <v>2591</v>
      </c>
      <c r="H1417" t="s">
        <v>2585</v>
      </c>
      <c r="I1417">
        <v>5</v>
      </c>
      <c r="J1417">
        <v>308</v>
      </c>
      <c r="K1417" t="s">
        <v>19</v>
      </c>
      <c r="L1417" t="s">
        <v>2582</v>
      </c>
    </row>
    <row r="1418" spans="1:12" x14ac:dyDescent="0.25">
      <c r="A1418">
        <v>101781</v>
      </c>
      <c r="B1418" t="s">
        <v>585</v>
      </c>
      <c r="C1418" t="s">
        <v>270</v>
      </c>
      <c r="D1418" t="s">
        <v>1905</v>
      </c>
      <c r="E1418" t="s">
        <v>3405</v>
      </c>
      <c r="F1418" t="s">
        <v>2593</v>
      </c>
      <c r="G1418" t="s">
        <v>2600</v>
      </c>
      <c r="H1418" t="s">
        <v>18</v>
      </c>
      <c r="I1418">
        <v>0</v>
      </c>
      <c r="J1418">
        <v>814</v>
      </c>
      <c r="K1418" t="s">
        <v>19</v>
      </c>
      <c r="L1418" t="s">
        <v>26</v>
      </c>
    </row>
    <row r="1419" spans="1:12" x14ac:dyDescent="0.25">
      <c r="A1419">
        <v>101346</v>
      </c>
      <c r="B1419" t="s">
        <v>706</v>
      </c>
      <c r="C1419" t="s">
        <v>72</v>
      </c>
      <c r="D1419" t="s">
        <v>1055</v>
      </c>
      <c r="E1419" t="s">
        <v>3406</v>
      </c>
      <c r="F1419" t="s">
        <v>2643</v>
      </c>
      <c r="G1419" t="s">
        <v>60</v>
      </c>
      <c r="H1419" t="s">
        <v>83</v>
      </c>
      <c r="I1419">
        <v>0</v>
      </c>
      <c r="J1419">
        <v>382</v>
      </c>
      <c r="K1419" t="s">
        <v>19</v>
      </c>
      <c r="L1419" t="s">
        <v>26</v>
      </c>
    </row>
    <row r="1420" spans="1:12" x14ac:dyDescent="0.25">
      <c r="A1420">
        <v>100974</v>
      </c>
      <c r="B1420" t="s">
        <v>340</v>
      </c>
      <c r="C1420" t="s">
        <v>100</v>
      </c>
      <c r="D1420" t="s">
        <v>1906</v>
      </c>
      <c r="E1420" t="s">
        <v>1907</v>
      </c>
      <c r="F1420" t="s">
        <v>30</v>
      </c>
      <c r="H1420" t="s">
        <v>2620</v>
      </c>
      <c r="I1420">
        <v>0</v>
      </c>
      <c r="J1420">
        <v>705</v>
      </c>
      <c r="K1420" t="s">
        <v>56</v>
      </c>
      <c r="L1420" t="s">
        <v>2588</v>
      </c>
    </row>
    <row r="1421" spans="1:12" x14ac:dyDescent="0.25">
      <c r="A1421">
        <v>102055</v>
      </c>
      <c r="B1421" t="s">
        <v>155</v>
      </c>
      <c r="C1421" t="s">
        <v>142</v>
      </c>
      <c r="D1421" t="s">
        <v>1908</v>
      </c>
      <c r="E1421" t="s">
        <v>1909</v>
      </c>
      <c r="F1421" t="s">
        <v>50</v>
      </c>
      <c r="G1421" t="s">
        <v>2609</v>
      </c>
      <c r="H1421" t="s">
        <v>2618</v>
      </c>
      <c r="J1421">
        <v>339</v>
      </c>
      <c r="K1421" t="s">
        <v>56</v>
      </c>
      <c r="L1421" t="s">
        <v>2588</v>
      </c>
    </row>
    <row r="1422" spans="1:12" x14ac:dyDescent="0.25">
      <c r="A1422">
        <v>102066</v>
      </c>
      <c r="B1422" t="s">
        <v>364</v>
      </c>
      <c r="C1422" t="s">
        <v>103</v>
      </c>
      <c r="D1422" t="s">
        <v>1910</v>
      </c>
      <c r="E1422" t="s">
        <v>3407</v>
      </c>
      <c r="F1422" t="s">
        <v>2646</v>
      </c>
      <c r="G1422" t="s">
        <v>2580</v>
      </c>
      <c r="H1422" t="s">
        <v>2587</v>
      </c>
      <c r="I1422">
        <v>0</v>
      </c>
      <c r="J1422">
        <v>351</v>
      </c>
      <c r="K1422" t="s">
        <v>37</v>
      </c>
      <c r="L1422" t="s">
        <v>20</v>
      </c>
    </row>
    <row r="1423" spans="1:12" x14ac:dyDescent="0.25">
      <c r="A1423">
        <v>100519</v>
      </c>
      <c r="B1423" t="s">
        <v>460</v>
      </c>
      <c r="C1423" t="s">
        <v>95</v>
      </c>
      <c r="D1423" t="s">
        <v>1911</v>
      </c>
      <c r="E1423" t="s">
        <v>1912</v>
      </c>
      <c r="F1423" t="s">
        <v>30</v>
      </c>
      <c r="G1423" t="s">
        <v>81</v>
      </c>
      <c r="H1423" t="s">
        <v>42</v>
      </c>
      <c r="I1423">
        <v>40</v>
      </c>
      <c r="J1423">
        <v>716</v>
      </c>
      <c r="K1423" t="s">
        <v>19</v>
      </c>
      <c r="L1423" t="s">
        <v>26</v>
      </c>
    </row>
    <row r="1424" spans="1:12" x14ac:dyDescent="0.25">
      <c r="A1424">
        <v>101446</v>
      </c>
      <c r="B1424" t="s">
        <v>27</v>
      </c>
      <c r="C1424" t="s">
        <v>28</v>
      </c>
      <c r="D1424" t="s">
        <v>1113</v>
      </c>
      <c r="E1424" t="s">
        <v>3408</v>
      </c>
      <c r="F1424" t="s">
        <v>64</v>
      </c>
      <c r="G1424" t="s">
        <v>2596</v>
      </c>
      <c r="H1424" t="s">
        <v>2620</v>
      </c>
      <c r="I1424">
        <v>0</v>
      </c>
      <c r="J1424">
        <v>849</v>
      </c>
      <c r="K1424" t="s">
        <v>19</v>
      </c>
      <c r="L1424" t="s">
        <v>26</v>
      </c>
    </row>
    <row r="1425" spans="1:12" x14ac:dyDescent="0.25">
      <c r="A1425">
        <v>101892</v>
      </c>
      <c r="B1425" t="s">
        <v>506</v>
      </c>
      <c r="C1425" t="s">
        <v>58</v>
      </c>
      <c r="E1425" t="s">
        <v>1913</v>
      </c>
      <c r="F1425" t="s">
        <v>2640</v>
      </c>
      <c r="G1425" t="s">
        <v>2617</v>
      </c>
      <c r="H1425" t="s">
        <v>2581</v>
      </c>
      <c r="I1425">
        <v>0</v>
      </c>
      <c r="J1425">
        <v>394</v>
      </c>
      <c r="K1425" t="s">
        <v>56</v>
      </c>
      <c r="L1425" t="s">
        <v>2582</v>
      </c>
    </row>
    <row r="1426" spans="1:12" x14ac:dyDescent="0.25">
      <c r="A1426">
        <v>100880</v>
      </c>
      <c r="B1426" t="s">
        <v>1535</v>
      </c>
      <c r="C1426" t="s">
        <v>122</v>
      </c>
      <c r="D1426" t="s">
        <v>569</v>
      </c>
      <c r="E1426" t="s">
        <v>3409</v>
      </c>
      <c r="F1426" t="s">
        <v>2604</v>
      </c>
      <c r="G1426" t="s">
        <v>2591</v>
      </c>
      <c r="H1426" t="s">
        <v>83</v>
      </c>
      <c r="I1426">
        <v>0</v>
      </c>
      <c r="J1426">
        <v>873</v>
      </c>
      <c r="K1426" t="s">
        <v>45</v>
      </c>
      <c r="L1426" t="s">
        <v>26</v>
      </c>
    </row>
    <row r="1427" spans="1:12" x14ac:dyDescent="0.25">
      <c r="A1427">
        <v>102040</v>
      </c>
      <c r="B1427" t="s">
        <v>202</v>
      </c>
      <c r="C1427" t="s">
        <v>95</v>
      </c>
      <c r="D1427" t="s">
        <v>1914</v>
      </c>
      <c r="E1427" t="s">
        <v>3410</v>
      </c>
      <c r="F1427" t="s">
        <v>50</v>
      </c>
      <c r="G1427" t="s">
        <v>2609</v>
      </c>
      <c r="H1427" t="s">
        <v>2630</v>
      </c>
      <c r="I1427">
        <v>5</v>
      </c>
      <c r="J1427">
        <v>570</v>
      </c>
      <c r="K1427" t="s">
        <v>32</v>
      </c>
      <c r="L1427" t="s">
        <v>20</v>
      </c>
    </row>
    <row r="1428" spans="1:12" x14ac:dyDescent="0.25">
      <c r="A1428">
        <v>100297</v>
      </c>
      <c r="B1428" t="s">
        <v>798</v>
      </c>
      <c r="C1428" t="s">
        <v>149</v>
      </c>
      <c r="D1428" t="s">
        <v>252</v>
      </c>
      <c r="E1428" t="s">
        <v>3411</v>
      </c>
      <c r="F1428" t="s">
        <v>2646</v>
      </c>
      <c r="G1428" t="s">
        <v>2633</v>
      </c>
      <c r="H1428" t="s">
        <v>2585</v>
      </c>
      <c r="I1428">
        <v>1</v>
      </c>
      <c r="J1428">
        <v>555</v>
      </c>
      <c r="K1428" t="s">
        <v>32</v>
      </c>
      <c r="L1428" t="s">
        <v>20</v>
      </c>
    </row>
    <row r="1429" spans="1:12" x14ac:dyDescent="0.25">
      <c r="A1429">
        <v>101400</v>
      </c>
      <c r="B1429" t="s">
        <v>382</v>
      </c>
      <c r="C1429" t="s">
        <v>152</v>
      </c>
      <c r="D1429" t="s">
        <v>1915</v>
      </c>
      <c r="E1429" t="s">
        <v>1916</v>
      </c>
      <c r="F1429" t="s">
        <v>2598</v>
      </c>
      <c r="G1429" t="s">
        <v>2591</v>
      </c>
      <c r="H1429" t="s">
        <v>83</v>
      </c>
      <c r="I1429">
        <v>0</v>
      </c>
      <c r="J1429">
        <v>797</v>
      </c>
      <c r="K1429" t="s">
        <v>37</v>
      </c>
      <c r="L1429" t="s">
        <v>26</v>
      </c>
    </row>
    <row r="1430" spans="1:12" x14ac:dyDescent="0.25">
      <c r="A1430">
        <v>102091</v>
      </c>
      <c r="B1430" t="s">
        <v>431</v>
      </c>
      <c r="C1430" t="s">
        <v>28</v>
      </c>
      <c r="D1430" t="s">
        <v>1917</v>
      </c>
      <c r="E1430" t="s">
        <v>3412</v>
      </c>
      <c r="F1430" t="s">
        <v>2629</v>
      </c>
      <c r="G1430" t="s">
        <v>2580</v>
      </c>
      <c r="H1430" t="s">
        <v>2594</v>
      </c>
      <c r="I1430">
        <v>31</v>
      </c>
      <c r="J1430">
        <v>691</v>
      </c>
      <c r="K1430" t="s">
        <v>45</v>
      </c>
      <c r="L1430" t="s">
        <v>2582</v>
      </c>
    </row>
    <row r="1431" spans="1:12" x14ac:dyDescent="0.25">
      <c r="A1431">
        <v>101160</v>
      </c>
      <c r="B1431" t="s">
        <v>534</v>
      </c>
      <c r="C1431" t="s">
        <v>39</v>
      </c>
      <c r="D1431" t="s">
        <v>161</v>
      </c>
      <c r="E1431" t="s">
        <v>3413</v>
      </c>
      <c r="F1431" t="s">
        <v>64</v>
      </c>
      <c r="G1431" t="s">
        <v>81</v>
      </c>
      <c r="H1431" t="s">
        <v>2630</v>
      </c>
      <c r="I1431">
        <v>23</v>
      </c>
      <c r="J1431">
        <v>592</v>
      </c>
      <c r="K1431" t="s">
        <v>37</v>
      </c>
      <c r="L1431" t="s">
        <v>20</v>
      </c>
    </row>
    <row r="1432" spans="1:12" x14ac:dyDescent="0.25">
      <c r="A1432">
        <v>101051</v>
      </c>
      <c r="B1432" t="s">
        <v>99</v>
      </c>
      <c r="C1432" t="s">
        <v>100</v>
      </c>
      <c r="D1432" t="s">
        <v>557</v>
      </c>
      <c r="E1432" t="s">
        <v>2796</v>
      </c>
      <c r="F1432" t="s">
        <v>2643</v>
      </c>
      <c r="G1432" t="s">
        <v>2607</v>
      </c>
      <c r="H1432" t="s">
        <v>2644</v>
      </c>
      <c r="I1432">
        <v>0</v>
      </c>
      <c r="J1432">
        <v>414</v>
      </c>
      <c r="K1432" t="s">
        <v>45</v>
      </c>
      <c r="L1432" t="s">
        <v>20</v>
      </c>
    </row>
    <row r="1433" spans="1:12" x14ac:dyDescent="0.25">
      <c r="A1433">
        <v>100862</v>
      </c>
      <c r="B1433" t="s">
        <v>297</v>
      </c>
      <c r="C1433" t="s">
        <v>72</v>
      </c>
      <c r="D1433" t="s">
        <v>1918</v>
      </c>
      <c r="E1433" t="s">
        <v>1919</v>
      </c>
      <c r="F1433" t="s">
        <v>2613</v>
      </c>
      <c r="H1433" t="s">
        <v>2587</v>
      </c>
      <c r="I1433">
        <v>0</v>
      </c>
      <c r="J1433">
        <v>878</v>
      </c>
      <c r="K1433" t="s">
        <v>56</v>
      </c>
      <c r="L1433" t="s">
        <v>26</v>
      </c>
    </row>
    <row r="1434" spans="1:12" x14ac:dyDescent="0.25">
      <c r="A1434">
        <v>101860</v>
      </c>
      <c r="B1434" t="s">
        <v>396</v>
      </c>
      <c r="C1434" t="s">
        <v>103</v>
      </c>
      <c r="D1434" t="s">
        <v>1920</v>
      </c>
      <c r="E1434" t="s">
        <v>1921</v>
      </c>
      <c r="F1434" t="s">
        <v>50</v>
      </c>
      <c r="G1434" t="s">
        <v>2633</v>
      </c>
      <c r="H1434" t="s">
        <v>2597</v>
      </c>
      <c r="I1434">
        <v>26</v>
      </c>
      <c r="J1434">
        <v>437</v>
      </c>
      <c r="K1434" t="s">
        <v>37</v>
      </c>
      <c r="L1434" t="s">
        <v>20</v>
      </c>
    </row>
    <row r="1435" spans="1:12" x14ac:dyDescent="0.25">
      <c r="A1435">
        <v>101925</v>
      </c>
      <c r="B1435" t="s">
        <v>553</v>
      </c>
      <c r="C1435" t="s">
        <v>72</v>
      </c>
      <c r="D1435" t="s">
        <v>1753</v>
      </c>
      <c r="E1435" t="s">
        <v>1922</v>
      </c>
      <c r="F1435" t="s">
        <v>50</v>
      </c>
      <c r="G1435" t="s">
        <v>2599</v>
      </c>
      <c r="H1435" t="s">
        <v>2620</v>
      </c>
      <c r="I1435">
        <v>0</v>
      </c>
      <c r="J1435">
        <v>638</v>
      </c>
      <c r="K1435" t="s">
        <v>32</v>
      </c>
      <c r="L1435" t="s">
        <v>2588</v>
      </c>
    </row>
    <row r="1436" spans="1:12" x14ac:dyDescent="0.25">
      <c r="A1436">
        <v>101633</v>
      </c>
      <c r="B1436" t="s">
        <v>540</v>
      </c>
      <c r="C1436" t="s">
        <v>13</v>
      </c>
      <c r="D1436" t="s">
        <v>1923</v>
      </c>
      <c r="E1436" t="s">
        <v>1924</v>
      </c>
      <c r="F1436" t="s">
        <v>2648</v>
      </c>
      <c r="G1436" t="s">
        <v>31</v>
      </c>
      <c r="H1436" t="s">
        <v>18</v>
      </c>
      <c r="I1436">
        <v>0</v>
      </c>
      <c r="J1436">
        <v>487</v>
      </c>
      <c r="K1436" t="s">
        <v>56</v>
      </c>
      <c r="L1436" t="s">
        <v>20</v>
      </c>
    </row>
    <row r="1437" spans="1:12" x14ac:dyDescent="0.25">
      <c r="A1437">
        <v>101054</v>
      </c>
      <c r="B1437" t="s">
        <v>186</v>
      </c>
      <c r="C1437" t="s">
        <v>2706</v>
      </c>
      <c r="D1437" t="s">
        <v>1925</v>
      </c>
      <c r="E1437" t="s">
        <v>1926</v>
      </c>
      <c r="F1437" t="s">
        <v>2641</v>
      </c>
      <c r="G1437" t="s">
        <v>2635</v>
      </c>
      <c r="H1437" t="s">
        <v>83</v>
      </c>
      <c r="I1437">
        <v>0</v>
      </c>
      <c r="J1437">
        <v>709</v>
      </c>
      <c r="K1437" t="s">
        <v>19</v>
      </c>
      <c r="L1437" t="s">
        <v>20</v>
      </c>
    </row>
    <row r="1438" spans="1:12" x14ac:dyDescent="0.25">
      <c r="A1438">
        <v>102084</v>
      </c>
      <c r="B1438" t="s">
        <v>444</v>
      </c>
      <c r="C1438" t="s">
        <v>52</v>
      </c>
      <c r="D1438" t="s">
        <v>1927</v>
      </c>
      <c r="E1438" t="s">
        <v>3414</v>
      </c>
      <c r="F1438" t="s">
        <v>2613</v>
      </c>
      <c r="G1438" t="s">
        <v>2633</v>
      </c>
      <c r="H1438" t="s">
        <v>2630</v>
      </c>
      <c r="I1438">
        <v>16</v>
      </c>
      <c r="J1438">
        <v>688</v>
      </c>
      <c r="K1438" t="s">
        <v>56</v>
      </c>
      <c r="L1438" t="s">
        <v>2588</v>
      </c>
    </row>
    <row r="1439" spans="1:12" x14ac:dyDescent="0.25">
      <c r="A1439">
        <v>100346</v>
      </c>
      <c r="B1439" t="s">
        <v>955</v>
      </c>
      <c r="C1439" t="s">
        <v>39</v>
      </c>
      <c r="D1439" t="s">
        <v>1928</v>
      </c>
      <c r="E1439" t="s">
        <v>1929</v>
      </c>
      <c r="F1439" t="s">
        <v>2643</v>
      </c>
      <c r="G1439" t="s">
        <v>2596</v>
      </c>
      <c r="H1439" t="s">
        <v>2581</v>
      </c>
      <c r="I1439">
        <v>0</v>
      </c>
      <c r="J1439">
        <v>406</v>
      </c>
      <c r="K1439" t="s">
        <v>45</v>
      </c>
      <c r="L1439" t="s">
        <v>2588</v>
      </c>
    </row>
    <row r="1440" spans="1:12" x14ac:dyDescent="0.25">
      <c r="A1440">
        <v>100998</v>
      </c>
      <c r="B1440" t="s">
        <v>376</v>
      </c>
      <c r="C1440" t="s">
        <v>2686</v>
      </c>
      <c r="D1440" t="s">
        <v>1930</v>
      </c>
      <c r="E1440" t="s">
        <v>3415</v>
      </c>
      <c r="F1440" t="s">
        <v>50</v>
      </c>
      <c r="G1440" t="s">
        <v>31</v>
      </c>
      <c r="H1440" t="s">
        <v>2587</v>
      </c>
      <c r="I1440">
        <v>0</v>
      </c>
      <c r="J1440">
        <v>340</v>
      </c>
      <c r="K1440" t="s">
        <v>32</v>
      </c>
      <c r="L1440" t="s">
        <v>20</v>
      </c>
    </row>
    <row r="1441" spans="1:12" x14ac:dyDescent="0.25">
      <c r="A1441">
        <v>101257</v>
      </c>
      <c r="B1441" t="s">
        <v>940</v>
      </c>
      <c r="C1441" t="s">
        <v>2680</v>
      </c>
      <c r="D1441" t="s">
        <v>1931</v>
      </c>
      <c r="E1441" t="s">
        <v>1932</v>
      </c>
      <c r="F1441" t="s">
        <v>2590</v>
      </c>
      <c r="G1441" t="s">
        <v>2591</v>
      </c>
      <c r="H1441" t="s">
        <v>2585</v>
      </c>
      <c r="I1441">
        <v>18</v>
      </c>
      <c r="J1441">
        <v>640</v>
      </c>
      <c r="K1441" t="s">
        <v>45</v>
      </c>
      <c r="L1441" t="s">
        <v>2588</v>
      </c>
    </row>
    <row r="1442" spans="1:12" x14ac:dyDescent="0.25">
      <c r="A1442">
        <v>101359</v>
      </c>
      <c r="B1442" t="s">
        <v>794</v>
      </c>
      <c r="C1442" t="s">
        <v>52</v>
      </c>
      <c r="D1442" t="s">
        <v>1670</v>
      </c>
      <c r="E1442" t="s">
        <v>1933</v>
      </c>
      <c r="F1442" t="s">
        <v>2590</v>
      </c>
      <c r="G1442" t="s">
        <v>60</v>
      </c>
      <c r="H1442" t="s">
        <v>2581</v>
      </c>
      <c r="I1442">
        <v>0</v>
      </c>
      <c r="J1442">
        <v>733</v>
      </c>
      <c r="K1442" t="s">
        <v>45</v>
      </c>
      <c r="L1442" t="s">
        <v>2588</v>
      </c>
    </row>
    <row r="1443" spans="1:12" x14ac:dyDescent="0.25">
      <c r="A1443">
        <v>100696</v>
      </c>
      <c r="B1443" t="s">
        <v>131</v>
      </c>
      <c r="C1443" t="s">
        <v>39</v>
      </c>
      <c r="D1443" t="s">
        <v>1715</v>
      </c>
      <c r="E1443" t="s">
        <v>3416</v>
      </c>
      <c r="F1443" t="s">
        <v>2604</v>
      </c>
      <c r="G1443" t="s">
        <v>60</v>
      </c>
      <c r="H1443" t="s">
        <v>2620</v>
      </c>
      <c r="I1443">
        <v>0</v>
      </c>
      <c r="J1443">
        <v>867</v>
      </c>
      <c r="K1443" t="s">
        <v>56</v>
      </c>
      <c r="L1443" t="s">
        <v>2588</v>
      </c>
    </row>
    <row r="1444" spans="1:12" x14ac:dyDescent="0.25">
      <c r="A1444">
        <v>101689</v>
      </c>
      <c r="B1444" t="s">
        <v>596</v>
      </c>
      <c r="C1444" t="s">
        <v>22</v>
      </c>
      <c r="D1444" t="s">
        <v>1934</v>
      </c>
      <c r="E1444" t="s">
        <v>3417</v>
      </c>
      <c r="F1444" t="s">
        <v>2627</v>
      </c>
      <c r="G1444" t="s">
        <v>2607</v>
      </c>
      <c r="H1444" t="s">
        <v>2618</v>
      </c>
      <c r="I1444">
        <v>0</v>
      </c>
      <c r="J1444">
        <v>603</v>
      </c>
      <c r="K1444" t="s">
        <v>45</v>
      </c>
      <c r="L1444" t="s">
        <v>26</v>
      </c>
    </row>
    <row r="1445" spans="1:12" x14ac:dyDescent="0.25">
      <c r="A1445">
        <v>100193</v>
      </c>
      <c r="B1445" t="s">
        <v>155</v>
      </c>
      <c r="D1445" t="s">
        <v>1888</v>
      </c>
      <c r="E1445" t="s">
        <v>3418</v>
      </c>
      <c r="F1445" t="s">
        <v>2613</v>
      </c>
      <c r="G1445" t="s">
        <v>2652</v>
      </c>
      <c r="H1445" t="s">
        <v>18</v>
      </c>
      <c r="I1445">
        <v>0</v>
      </c>
      <c r="J1445">
        <v>339</v>
      </c>
      <c r="K1445" t="s">
        <v>32</v>
      </c>
      <c r="L1445" t="s">
        <v>2588</v>
      </c>
    </row>
    <row r="1446" spans="1:12" x14ac:dyDescent="0.25">
      <c r="A1446">
        <v>100289</v>
      </c>
      <c r="B1446" t="s">
        <v>167</v>
      </c>
      <c r="C1446" t="s">
        <v>2655</v>
      </c>
      <c r="D1446" t="s">
        <v>1043</v>
      </c>
      <c r="E1446" t="s">
        <v>1935</v>
      </c>
      <c r="F1446" t="s">
        <v>2648</v>
      </c>
      <c r="G1446" t="s">
        <v>2652</v>
      </c>
      <c r="H1446" t="s">
        <v>2618</v>
      </c>
      <c r="J1446">
        <v>658</v>
      </c>
      <c r="K1446" t="s">
        <v>56</v>
      </c>
      <c r="L1446" t="s">
        <v>26</v>
      </c>
    </row>
    <row r="1447" spans="1:12" x14ac:dyDescent="0.25">
      <c r="A1447">
        <v>101757</v>
      </c>
      <c r="B1447" t="s">
        <v>563</v>
      </c>
      <c r="C1447" t="s">
        <v>58</v>
      </c>
      <c r="E1447" t="s">
        <v>1936</v>
      </c>
      <c r="F1447" t="s">
        <v>2590</v>
      </c>
      <c r="G1447" t="s">
        <v>60</v>
      </c>
      <c r="H1447" t="s">
        <v>2620</v>
      </c>
      <c r="I1447">
        <v>0</v>
      </c>
      <c r="J1447">
        <v>893</v>
      </c>
      <c r="K1447" t="s">
        <v>45</v>
      </c>
      <c r="L1447" t="s">
        <v>20</v>
      </c>
    </row>
    <row r="1448" spans="1:12" x14ac:dyDescent="0.25">
      <c r="A1448">
        <v>101021</v>
      </c>
      <c r="B1448" t="s">
        <v>91</v>
      </c>
      <c r="C1448" t="s">
        <v>58</v>
      </c>
      <c r="D1448" t="s">
        <v>252</v>
      </c>
      <c r="E1448" t="s">
        <v>1937</v>
      </c>
      <c r="F1448" t="s">
        <v>2608</v>
      </c>
      <c r="G1448" t="s">
        <v>2600</v>
      </c>
      <c r="H1448" t="s">
        <v>2581</v>
      </c>
      <c r="I1448">
        <v>0</v>
      </c>
      <c r="J1448">
        <v>769</v>
      </c>
      <c r="K1448" t="s">
        <v>56</v>
      </c>
      <c r="L1448" t="s">
        <v>26</v>
      </c>
    </row>
    <row r="1449" spans="1:12" x14ac:dyDescent="0.25">
      <c r="A1449">
        <v>102008</v>
      </c>
      <c r="B1449" t="s">
        <v>1091</v>
      </c>
      <c r="C1449" t="s">
        <v>270</v>
      </c>
      <c r="D1449" t="s">
        <v>1439</v>
      </c>
      <c r="E1449" t="s">
        <v>1938</v>
      </c>
      <c r="F1449" t="s">
        <v>2608</v>
      </c>
      <c r="G1449" t="s">
        <v>2633</v>
      </c>
      <c r="H1449" t="s">
        <v>83</v>
      </c>
      <c r="I1449">
        <v>0</v>
      </c>
      <c r="J1449">
        <v>817</v>
      </c>
      <c r="K1449" t="s">
        <v>45</v>
      </c>
      <c r="L1449" t="s">
        <v>2588</v>
      </c>
    </row>
    <row r="1450" spans="1:12" x14ac:dyDescent="0.25">
      <c r="A1450">
        <v>100126</v>
      </c>
      <c r="B1450" t="s">
        <v>807</v>
      </c>
      <c r="C1450" t="s">
        <v>85</v>
      </c>
      <c r="D1450" t="s">
        <v>1939</v>
      </c>
      <c r="E1450" t="s">
        <v>3419</v>
      </c>
      <c r="F1450" t="s">
        <v>2590</v>
      </c>
      <c r="G1450" t="s">
        <v>2617</v>
      </c>
      <c r="H1450" t="s">
        <v>42</v>
      </c>
      <c r="I1450">
        <v>89</v>
      </c>
      <c r="J1450">
        <v>443</v>
      </c>
      <c r="K1450" t="s">
        <v>32</v>
      </c>
      <c r="L1450" t="s">
        <v>26</v>
      </c>
    </row>
    <row r="1451" spans="1:12" x14ac:dyDescent="0.25">
      <c r="A1451">
        <v>100365</v>
      </c>
      <c r="B1451" t="s">
        <v>251</v>
      </c>
      <c r="C1451" t="s">
        <v>72</v>
      </c>
      <c r="D1451" t="s">
        <v>231</v>
      </c>
      <c r="E1451" t="s">
        <v>3420</v>
      </c>
      <c r="F1451" t="s">
        <v>2641</v>
      </c>
      <c r="G1451" t="s">
        <v>2596</v>
      </c>
      <c r="H1451" t="s">
        <v>2587</v>
      </c>
      <c r="I1451">
        <v>0</v>
      </c>
      <c r="J1451">
        <v>673</v>
      </c>
      <c r="K1451" t="s">
        <v>32</v>
      </c>
      <c r="L1451" t="s">
        <v>20</v>
      </c>
    </row>
    <row r="1452" spans="1:12" x14ac:dyDescent="0.25">
      <c r="A1452">
        <v>101308</v>
      </c>
      <c r="B1452" t="s">
        <v>570</v>
      </c>
      <c r="C1452" t="s">
        <v>39</v>
      </c>
      <c r="D1452" t="s">
        <v>1940</v>
      </c>
      <c r="E1452" t="s">
        <v>1941</v>
      </c>
      <c r="F1452" t="s">
        <v>41</v>
      </c>
      <c r="G1452" t="s">
        <v>2635</v>
      </c>
      <c r="H1452" t="s">
        <v>2644</v>
      </c>
      <c r="I1452">
        <v>0</v>
      </c>
      <c r="J1452">
        <v>371</v>
      </c>
      <c r="K1452" t="s">
        <v>37</v>
      </c>
      <c r="L1452" t="s">
        <v>2588</v>
      </c>
    </row>
    <row r="1453" spans="1:12" x14ac:dyDescent="0.25">
      <c r="A1453">
        <v>101549</v>
      </c>
      <c r="B1453" t="s">
        <v>1373</v>
      </c>
      <c r="C1453" t="s">
        <v>122</v>
      </c>
      <c r="D1453" t="s">
        <v>1043</v>
      </c>
      <c r="E1453" t="s">
        <v>1942</v>
      </c>
      <c r="F1453" t="s">
        <v>2613</v>
      </c>
      <c r="G1453" t="s">
        <v>2631</v>
      </c>
      <c r="H1453" t="s">
        <v>2587</v>
      </c>
      <c r="I1453">
        <v>0</v>
      </c>
      <c r="J1453">
        <v>359</v>
      </c>
      <c r="K1453" t="s">
        <v>37</v>
      </c>
      <c r="L1453" t="s">
        <v>2582</v>
      </c>
    </row>
    <row r="1454" spans="1:12" x14ac:dyDescent="0.25">
      <c r="A1454">
        <v>100986</v>
      </c>
      <c r="B1454" t="s">
        <v>176</v>
      </c>
      <c r="C1454" t="s">
        <v>58</v>
      </c>
      <c r="D1454" t="s">
        <v>1943</v>
      </c>
      <c r="E1454" t="s">
        <v>3421</v>
      </c>
      <c r="F1454" t="s">
        <v>41</v>
      </c>
      <c r="G1454" t="s">
        <v>2635</v>
      </c>
      <c r="H1454" t="s">
        <v>2630</v>
      </c>
      <c r="I1454">
        <v>28</v>
      </c>
      <c r="J1454">
        <v>528</v>
      </c>
      <c r="K1454" t="s">
        <v>19</v>
      </c>
      <c r="L1454" t="s">
        <v>26</v>
      </c>
    </row>
    <row r="1455" spans="1:12" x14ac:dyDescent="0.25">
      <c r="A1455">
        <v>100877</v>
      </c>
      <c r="B1455" t="s">
        <v>371</v>
      </c>
      <c r="C1455" t="s">
        <v>52</v>
      </c>
      <c r="D1455" t="s">
        <v>1944</v>
      </c>
      <c r="E1455" t="s">
        <v>3422</v>
      </c>
      <c r="F1455" t="s">
        <v>2616</v>
      </c>
      <c r="G1455" t="s">
        <v>2596</v>
      </c>
      <c r="H1455" t="s">
        <v>83</v>
      </c>
      <c r="I1455">
        <v>0</v>
      </c>
      <c r="J1455">
        <v>339</v>
      </c>
      <c r="K1455" t="s">
        <v>19</v>
      </c>
      <c r="L1455" t="s">
        <v>2582</v>
      </c>
    </row>
    <row r="1456" spans="1:12" x14ac:dyDescent="0.25">
      <c r="A1456">
        <v>101103</v>
      </c>
      <c r="B1456" t="s">
        <v>463</v>
      </c>
      <c r="C1456" t="s">
        <v>2634</v>
      </c>
      <c r="D1456" t="s">
        <v>1945</v>
      </c>
      <c r="E1456" t="s">
        <v>3423</v>
      </c>
      <c r="F1456" t="s">
        <v>2593</v>
      </c>
      <c r="G1456" t="s">
        <v>2584</v>
      </c>
      <c r="H1456" t="s">
        <v>2587</v>
      </c>
      <c r="I1456">
        <v>0</v>
      </c>
      <c r="J1456">
        <v>765</v>
      </c>
      <c r="K1456" t="s">
        <v>45</v>
      </c>
      <c r="L1456" t="s">
        <v>26</v>
      </c>
    </row>
    <row r="1457" spans="1:12" x14ac:dyDescent="0.25">
      <c r="A1457">
        <v>101882</v>
      </c>
      <c r="B1457" t="s">
        <v>136</v>
      </c>
      <c r="C1457" t="s">
        <v>58</v>
      </c>
      <c r="D1457" t="s">
        <v>1946</v>
      </c>
      <c r="E1457" t="s">
        <v>3424</v>
      </c>
      <c r="F1457" t="s">
        <v>2598</v>
      </c>
      <c r="G1457" t="s">
        <v>55</v>
      </c>
      <c r="H1457" t="s">
        <v>83</v>
      </c>
      <c r="I1457">
        <v>0</v>
      </c>
      <c r="J1457">
        <v>540</v>
      </c>
      <c r="K1457" t="s">
        <v>45</v>
      </c>
      <c r="L1457" t="s">
        <v>26</v>
      </c>
    </row>
    <row r="1458" spans="1:12" x14ac:dyDescent="0.25">
      <c r="A1458">
        <v>102053</v>
      </c>
      <c r="B1458" t="s">
        <v>272</v>
      </c>
      <c r="C1458" t="s">
        <v>100</v>
      </c>
      <c r="D1458" t="s">
        <v>597</v>
      </c>
      <c r="E1458" t="s">
        <v>3425</v>
      </c>
      <c r="F1458" t="s">
        <v>2593</v>
      </c>
      <c r="G1458" t="s">
        <v>2602</v>
      </c>
      <c r="H1458" t="s">
        <v>2630</v>
      </c>
      <c r="I1458">
        <v>1</v>
      </c>
      <c r="J1458">
        <v>666</v>
      </c>
      <c r="K1458" t="s">
        <v>19</v>
      </c>
      <c r="L1458" t="s">
        <v>20</v>
      </c>
    </row>
    <row r="1459" spans="1:12" x14ac:dyDescent="0.25">
      <c r="A1459">
        <v>100299</v>
      </c>
      <c r="B1459" t="s">
        <v>1168</v>
      </c>
      <c r="C1459" t="s">
        <v>218</v>
      </c>
      <c r="D1459" t="s">
        <v>1947</v>
      </c>
      <c r="E1459" t="s">
        <v>1948</v>
      </c>
      <c r="F1459" t="s">
        <v>2640</v>
      </c>
      <c r="G1459" t="s">
        <v>2600</v>
      </c>
      <c r="H1459" t="s">
        <v>2620</v>
      </c>
      <c r="I1459">
        <v>0</v>
      </c>
      <c r="J1459">
        <v>606</v>
      </c>
      <c r="K1459" t="s">
        <v>32</v>
      </c>
      <c r="L1459" t="s">
        <v>26</v>
      </c>
    </row>
    <row r="1460" spans="1:12" x14ac:dyDescent="0.25">
      <c r="A1460">
        <v>100528</v>
      </c>
      <c r="B1460" t="s">
        <v>68</v>
      </c>
      <c r="C1460" t="s">
        <v>52</v>
      </c>
      <c r="D1460" t="s">
        <v>1949</v>
      </c>
      <c r="E1460" t="s">
        <v>3426</v>
      </c>
      <c r="F1460" t="s">
        <v>2646</v>
      </c>
      <c r="G1460" t="s">
        <v>2614</v>
      </c>
      <c r="H1460" t="s">
        <v>18</v>
      </c>
      <c r="I1460">
        <v>0</v>
      </c>
      <c r="J1460">
        <v>309</v>
      </c>
      <c r="K1460" t="s">
        <v>56</v>
      </c>
      <c r="L1460" t="s">
        <v>26</v>
      </c>
    </row>
    <row r="1461" spans="1:12" x14ac:dyDescent="0.25">
      <c r="A1461">
        <v>101766</v>
      </c>
      <c r="B1461" t="s">
        <v>596</v>
      </c>
      <c r="C1461" t="s">
        <v>22</v>
      </c>
      <c r="D1461" t="s">
        <v>1011</v>
      </c>
      <c r="E1461" t="s">
        <v>3427</v>
      </c>
      <c r="F1461" t="s">
        <v>2608</v>
      </c>
      <c r="G1461" t="s">
        <v>2611</v>
      </c>
      <c r="H1461" t="s">
        <v>18</v>
      </c>
      <c r="I1461">
        <v>0</v>
      </c>
      <c r="J1461">
        <v>603</v>
      </c>
      <c r="K1461" t="s">
        <v>45</v>
      </c>
      <c r="L1461" t="s">
        <v>2588</v>
      </c>
    </row>
    <row r="1462" spans="1:12" x14ac:dyDescent="0.25">
      <c r="A1462">
        <v>101060</v>
      </c>
      <c r="B1462" t="s">
        <v>418</v>
      </c>
      <c r="D1462" t="s">
        <v>59</v>
      </c>
      <c r="E1462" t="s">
        <v>1950</v>
      </c>
      <c r="F1462" t="s">
        <v>2648</v>
      </c>
      <c r="G1462" t="s">
        <v>2580</v>
      </c>
      <c r="H1462" t="s">
        <v>83</v>
      </c>
      <c r="I1462">
        <v>0</v>
      </c>
      <c r="J1462">
        <v>371</v>
      </c>
      <c r="K1462" t="s">
        <v>45</v>
      </c>
      <c r="L1462" t="s">
        <v>2588</v>
      </c>
    </row>
    <row r="1463" spans="1:12" x14ac:dyDescent="0.25">
      <c r="A1463">
        <v>102082</v>
      </c>
      <c r="B1463" t="s">
        <v>177</v>
      </c>
      <c r="C1463" t="s">
        <v>85</v>
      </c>
      <c r="D1463" t="s">
        <v>1355</v>
      </c>
      <c r="E1463" t="s">
        <v>1951</v>
      </c>
      <c r="F1463" t="s">
        <v>2640</v>
      </c>
      <c r="G1463" t="s">
        <v>2609</v>
      </c>
      <c r="H1463" t="s">
        <v>2620</v>
      </c>
      <c r="I1463">
        <v>0</v>
      </c>
      <c r="J1463">
        <v>375</v>
      </c>
      <c r="K1463" t="s">
        <v>32</v>
      </c>
      <c r="L1463" t="s">
        <v>2582</v>
      </c>
    </row>
    <row r="1464" spans="1:12" x14ac:dyDescent="0.25">
      <c r="A1464">
        <v>100589</v>
      </c>
      <c r="B1464" t="s">
        <v>259</v>
      </c>
      <c r="C1464" t="s">
        <v>2683</v>
      </c>
      <c r="D1464" t="s">
        <v>1928</v>
      </c>
      <c r="E1464" t="s">
        <v>3428</v>
      </c>
      <c r="F1464" t="s">
        <v>30</v>
      </c>
      <c r="G1464" t="s">
        <v>2591</v>
      </c>
      <c r="H1464" t="s">
        <v>83</v>
      </c>
      <c r="I1464">
        <v>0</v>
      </c>
      <c r="J1464">
        <v>732</v>
      </c>
      <c r="K1464" t="s">
        <v>19</v>
      </c>
      <c r="L1464" t="s">
        <v>2582</v>
      </c>
    </row>
    <row r="1465" spans="1:12" x14ac:dyDescent="0.25">
      <c r="A1465">
        <v>100500</v>
      </c>
      <c r="B1465" t="s">
        <v>545</v>
      </c>
      <c r="C1465" t="s">
        <v>126</v>
      </c>
      <c r="D1465" t="s">
        <v>1952</v>
      </c>
      <c r="E1465" t="s">
        <v>1953</v>
      </c>
      <c r="F1465" t="s">
        <v>2613</v>
      </c>
      <c r="G1465" t="s">
        <v>2607</v>
      </c>
      <c r="H1465" t="s">
        <v>2644</v>
      </c>
      <c r="I1465">
        <v>0</v>
      </c>
      <c r="J1465">
        <v>494</v>
      </c>
      <c r="K1465" t="s">
        <v>19</v>
      </c>
      <c r="L1465" t="s">
        <v>26</v>
      </c>
    </row>
    <row r="1466" spans="1:12" x14ac:dyDescent="0.25">
      <c r="A1466">
        <v>101800</v>
      </c>
      <c r="B1466" t="s">
        <v>409</v>
      </c>
      <c r="C1466" t="s">
        <v>187</v>
      </c>
      <c r="D1466" t="s">
        <v>1954</v>
      </c>
      <c r="E1466" t="s">
        <v>3429</v>
      </c>
      <c r="F1466" t="s">
        <v>2608</v>
      </c>
      <c r="G1466" t="s">
        <v>2682</v>
      </c>
      <c r="H1466" t="s">
        <v>2644</v>
      </c>
      <c r="I1466">
        <v>0</v>
      </c>
      <c r="J1466">
        <v>694</v>
      </c>
      <c r="K1466" t="s">
        <v>45</v>
      </c>
      <c r="L1466" t="s">
        <v>26</v>
      </c>
    </row>
    <row r="1467" spans="1:12" x14ac:dyDescent="0.25">
      <c r="A1467">
        <v>101675</v>
      </c>
      <c r="B1467" t="s">
        <v>210</v>
      </c>
      <c r="C1467" t="s">
        <v>95</v>
      </c>
      <c r="D1467" t="s">
        <v>789</v>
      </c>
      <c r="E1467" t="s">
        <v>3430</v>
      </c>
      <c r="F1467" t="s">
        <v>2654</v>
      </c>
      <c r="G1467" t="s">
        <v>2600</v>
      </c>
      <c r="H1467" t="s">
        <v>18</v>
      </c>
      <c r="I1467">
        <v>0</v>
      </c>
      <c r="J1467">
        <v>369</v>
      </c>
      <c r="K1467" t="s">
        <v>45</v>
      </c>
      <c r="L1467" t="s">
        <v>20</v>
      </c>
    </row>
    <row r="1468" spans="1:12" x14ac:dyDescent="0.25">
      <c r="A1468">
        <v>101062</v>
      </c>
      <c r="B1468" t="s">
        <v>1022</v>
      </c>
      <c r="C1468" t="s">
        <v>270</v>
      </c>
      <c r="D1468" t="s">
        <v>1955</v>
      </c>
      <c r="E1468" t="s">
        <v>3431</v>
      </c>
      <c r="F1468" t="s">
        <v>2643</v>
      </c>
      <c r="G1468" t="s">
        <v>55</v>
      </c>
      <c r="H1468" t="s">
        <v>2597</v>
      </c>
      <c r="I1468">
        <v>5</v>
      </c>
      <c r="J1468">
        <v>383</v>
      </c>
      <c r="K1468" t="s">
        <v>37</v>
      </c>
      <c r="L1468" t="s">
        <v>26</v>
      </c>
    </row>
    <row r="1469" spans="1:12" x14ac:dyDescent="0.25">
      <c r="A1469">
        <v>100707</v>
      </c>
      <c r="B1469" t="s">
        <v>765</v>
      </c>
      <c r="C1469" t="s">
        <v>22</v>
      </c>
      <c r="D1469" t="s">
        <v>712</v>
      </c>
      <c r="E1469" t="s">
        <v>3432</v>
      </c>
      <c r="F1469" t="s">
        <v>2613</v>
      </c>
      <c r="G1469" t="s">
        <v>2617</v>
      </c>
      <c r="H1469" t="s">
        <v>2587</v>
      </c>
      <c r="I1469">
        <v>0</v>
      </c>
      <c r="J1469">
        <v>851</v>
      </c>
      <c r="K1469" t="s">
        <v>37</v>
      </c>
      <c r="L1469" t="s">
        <v>2588</v>
      </c>
    </row>
    <row r="1470" spans="1:12" x14ac:dyDescent="0.25">
      <c r="A1470">
        <v>100964</v>
      </c>
      <c r="B1470" t="s">
        <v>79</v>
      </c>
      <c r="C1470" t="s">
        <v>47</v>
      </c>
      <c r="D1470" t="s">
        <v>1956</v>
      </c>
      <c r="E1470" t="s">
        <v>3433</v>
      </c>
      <c r="F1470" t="s">
        <v>2613</v>
      </c>
      <c r="G1470" t="s">
        <v>81</v>
      </c>
      <c r="H1470" t="s">
        <v>18</v>
      </c>
      <c r="J1470">
        <v>585</v>
      </c>
      <c r="K1470" t="s">
        <v>37</v>
      </c>
      <c r="L1470" t="s">
        <v>2588</v>
      </c>
    </row>
    <row r="1471" spans="1:12" x14ac:dyDescent="0.25">
      <c r="A1471">
        <v>101204</v>
      </c>
      <c r="B1471" t="s">
        <v>1168</v>
      </c>
      <c r="C1471" t="s">
        <v>2683</v>
      </c>
      <c r="D1471" t="s">
        <v>1957</v>
      </c>
      <c r="E1471" t="s">
        <v>1958</v>
      </c>
      <c r="F1471" t="s">
        <v>2648</v>
      </c>
      <c r="G1471" t="s">
        <v>2658</v>
      </c>
      <c r="H1471" t="s">
        <v>2587</v>
      </c>
      <c r="I1471">
        <v>0</v>
      </c>
      <c r="J1471">
        <v>606</v>
      </c>
      <c r="K1471" t="s">
        <v>37</v>
      </c>
      <c r="L1471" t="s">
        <v>2588</v>
      </c>
    </row>
    <row r="1472" spans="1:12" x14ac:dyDescent="0.25">
      <c r="A1472">
        <v>100647</v>
      </c>
      <c r="B1472" t="s">
        <v>174</v>
      </c>
      <c r="C1472" t="s">
        <v>134</v>
      </c>
      <c r="D1472" t="s">
        <v>658</v>
      </c>
      <c r="E1472" t="s">
        <v>3434</v>
      </c>
      <c r="F1472" t="s">
        <v>41</v>
      </c>
      <c r="H1472" t="s">
        <v>2581</v>
      </c>
      <c r="I1472">
        <v>0</v>
      </c>
      <c r="J1472">
        <v>554</v>
      </c>
      <c r="K1472" t="s">
        <v>37</v>
      </c>
      <c r="L1472" t="s">
        <v>2582</v>
      </c>
    </row>
    <row r="1473" spans="1:12" x14ac:dyDescent="0.25">
      <c r="A1473">
        <v>101130</v>
      </c>
      <c r="B1473" t="s">
        <v>460</v>
      </c>
      <c r="C1473" t="s">
        <v>95</v>
      </c>
      <c r="D1473" t="s">
        <v>1959</v>
      </c>
      <c r="E1473" t="s">
        <v>3435</v>
      </c>
      <c r="F1473" t="s">
        <v>2640</v>
      </c>
      <c r="G1473" t="s">
        <v>2682</v>
      </c>
      <c r="H1473" t="s">
        <v>2597</v>
      </c>
      <c r="I1473">
        <v>29</v>
      </c>
      <c r="J1473">
        <v>716</v>
      </c>
      <c r="K1473" t="s">
        <v>19</v>
      </c>
      <c r="L1473" t="s">
        <v>2582</v>
      </c>
    </row>
    <row r="1474" spans="1:12" x14ac:dyDescent="0.25">
      <c r="A1474">
        <v>101288</v>
      </c>
      <c r="B1474" t="s">
        <v>779</v>
      </c>
      <c r="C1474" t="s">
        <v>39</v>
      </c>
      <c r="D1474" t="s">
        <v>308</v>
      </c>
      <c r="E1474" t="s">
        <v>3436</v>
      </c>
      <c r="F1474" t="s">
        <v>2646</v>
      </c>
      <c r="G1474" t="s">
        <v>2652</v>
      </c>
      <c r="H1474" t="s">
        <v>42</v>
      </c>
      <c r="I1474">
        <v>170</v>
      </c>
      <c r="J1474">
        <v>402</v>
      </c>
      <c r="K1474" t="s">
        <v>45</v>
      </c>
      <c r="L1474" t="s">
        <v>26</v>
      </c>
    </row>
    <row r="1475" spans="1:12" x14ac:dyDescent="0.25">
      <c r="A1475">
        <v>100734</v>
      </c>
      <c r="B1475" t="s">
        <v>215</v>
      </c>
      <c r="C1475" t="s">
        <v>126</v>
      </c>
      <c r="D1475" t="s">
        <v>1329</v>
      </c>
      <c r="E1475" t="s">
        <v>1960</v>
      </c>
      <c r="F1475" t="s">
        <v>2654</v>
      </c>
      <c r="G1475" t="s">
        <v>2584</v>
      </c>
      <c r="H1475" t="s">
        <v>2581</v>
      </c>
      <c r="I1475">
        <v>0</v>
      </c>
      <c r="J1475">
        <v>395</v>
      </c>
      <c r="K1475" t="s">
        <v>19</v>
      </c>
      <c r="L1475" t="s">
        <v>2588</v>
      </c>
    </row>
    <row r="1476" spans="1:12" x14ac:dyDescent="0.25">
      <c r="A1476">
        <v>102086</v>
      </c>
      <c r="B1476" t="s">
        <v>232</v>
      </c>
      <c r="C1476" t="s">
        <v>152</v>
      </c>
      <c r="D1476" t="s">
        <v>1961</v>
      </c>
      <c r="E1476" t="s">
        <v>3437</v>
      </c>
      <c r="F1476" t="s">
        <v>2583</v>
      </c>
      <c r="G1476" t="s">
        <v>2625</v>
      </c>
      <c r="H1476" t="s">
        <v>2581</v>
      </c>
      <c r="I1476">
        <v>0</v>
      </c>
      <c r="J1476">
        <v>781</v>
      </c>
      <c r="K1476" t="s">
        <v>37</v>
      </c>
      <c r="L1476" t="s">
        <v>2588</v>
      </c>
    </row>
    <row r="1477" spans="1:12" x14ac:dyDescent="0.25">
      <c r="A1477">
        <v>101150</v>
      </c>
      <c r="B1477" t="s">
        <v>167</v>
      </c>
      <c r="C1477" t="s">
        <v>168</v>
      </c>
      <c r="D1477" t="s">
        <v>1962</v>
      </c>
      <c r="F1477" t="s">
        <v>2616</v>
      </c>
      <c r="G1477" t="s">
        <v>2580</v>
      </c>
      <c r="H1477" t="s">
        <v>2587</v>
      </c>
      <c r="I1477">
        <v>0</v>
      </c>
      <c r="J1477">
        <v>658</v>
      </c>
      <c r="L1477" t="s">
        <v>2588</v>
      </c>
    </row>
    <row r="1478" spans="1:12" x14ac:dyDescent="0.25">
      <c r="A1478">
        <v>100976</v>
      </c>
      <c r="B1478" t="s">
        <v>148</v>
      </c>
      <c r="C1478" t="s">
        <v>149</v>
      </c>
      <c r="D1478" t="s">
        <v>1963</v>
      </c>
      <c r="F1478" t="s">
        <v>2593</v>
      </c>
      <c r="G1478" t="s">
        <v>2682</v>
      </c>
      <c r="H1478" t="s">
        <v>2587</v>
      </c>
      <c r="I1478">
        <v>0</v>
      </c>
      <c r="J1478">
        <v>876</v>
      </c>
      <c r="K1478" t="s">
        <v>45</v>
      </c>
      <c r="L1478" t="s">
        <v>2582</v>
      </c>
    </row>
    <row r="1479" spans="1:12" x14ac:dyDescent="0.25">
      <c r="A1479">
        <v>101085</v>
      </c>
      <c r="B1479" t="s">
        <v>322</v>
      </c>
      <c r="C1479" t="s">
        <v>13</v>
      </c>
      <c r="D1479" t="s">
        <v>1856</v>
      </c>
      <c r="E1479" t="s">
        <v>1964</v>
      </c>
      <c r="F1479" t="s">
        <v>2579</v>
      </c>
      <c r="G1479" t="s">
        <v>2596</v>
      </c>
      <c r="H1479" t="s">
        <v>2630</v>
      </c>
      <c r="I1479">
        <v>10</v>
      </c>
      <c r="J1479">
        <v>623</v>
      </c>
      <c r="K1479" t="s">
        <v>19</v>
      </c>
      <c r="L1479" t="s">
        <v>26</v>
      </c>
    </row>
    <row r="1480" spans="1:12" x14ac:dyDescent="0.25">
      <c r="A1480">
        <v>100385</v>
      </c>
      <c r="B1480" t="s">
        <v>581</v>
      </c>
      <c r="C1480" t="s">
        <v>103</v>
      </c>
      <c r="D1480" t="s">
        <v>1736</v>
      </c>
      <c r="E1480" t="s">
        <v>1965</v>
      </c>
      <c r="F1480" t="s">
        <v>2646</v>
      </c>
      <c r="G1480" t="s">
        <v>60</v>
      </c>
      <c r="H1480" t="s">
        <v>2587</v>
      </c>
      <c r="I1480">
        <v>0</v>
      </c>
      <c r="J1480">
        <v>435</v>
      </c>
      <c r="K1480" t="s">
        <v>56</v>
      </c>
      <c r="L1480" t="s">
        <v>2582</v>
      </c>
    </row>
    <row r="1481" spans="1:12" x14ac:dyDescent="0.25">
      <c r="A1481">
        <v>100162</v>
      </c>
      <c r="B1481" t="s">
        <v>299</v>
      </c>
      <c r="C1481" t="s">
        <v>22</v>
      </c>
      <c r="D1481" t="s">
        <v>1966</v>
      </c>
      <c r="E1481" t="s">
        <v>3438</v>
      </c>
      <c r="F1481" t="s">
        <v>2593</v>
      </c>
      <c r="G1481" t="s">
        <v>2631</v>
      </c>
      <c r="H1481" t="s">
        <v>83</v>
      </c>
      <c r="I1481">
        <v>0</v>
      </c>
      <c r="J1481">
        <v>855</v>
      </c>
      <c r="K1481" t="s">
        <v>19</v>
      </c>
      <c r="L1481" t="s">
        <v>2588</v>
      </c>
    </row>
    <row r="1482" spans="1:12" x14ac:dyDescent="0.25">
      <c r="A1482">
        <v>101580</v>
      </c>
      <c r="B1482" t="s">
        <v>1357</v>
      </c>
      <c r="C1482" t="s">
        <v>100</v>
      </c>
      <c r="D1482" t="s">
        <v>1967</v>
      </c>
      <c r="E1482" t="s">
        <v>1968</v>
      </c>
      <c r="F1482" t="s">
        <v>2593</v>
      </c>
      <c r="G1482" t="s">
        <v>2614</v>
      </c>
      <c r="H1482" t="s">
        <v>2618</v>
      </c>
      <c r="I1482">
        <v>0</v>
      </c>
      <c r="J1482">
        <v>522</v>
      </c>
      <c r="K1482" t="s">
        <v>19</v>
      </c>
      <c r="L1482" t="s">
        <v>26</v>
      </c>
    </row>
    <row r="1483" spans="1:12" x14ac:dyDescent="0.25">
      <c r="A1483">
        <v>101869</v>
      </c>
      <c r="B1483" t="s">
        <v>504</v>
      </c>
      <c r="C1483" t="s">
        <v>187</v>
      </c>
      <c r="D1483" t="s">
        <v>1969</v>
      </c>
      <c r="E1483" t="s">
        <v>3439</v>
      </c>
      <c r="F1483" t="s">
        <v>2608</v>
      </c>
      <c r="G1483" t="s">
        <v>2633</v>
      </c>
      <c r="H1483" t="s">
        <v>2597</v>
      </c>
      <c r="I1483">
        <v>6</v>
      </c>
      <c r="J1483">
        <v>494</v>
      </c>
      <c r="K1483" t="s">
        <v>56</v>
      </c>
      <c r="L1483" t="s">
        <v>20</v>
      </c>
    </row>
    <row r="1484" spans="1:12" x14ac:dyDescent="0.25">
      <c r="A1484">
        <v>100490</v>
      </c>
      <c r="B1484" t="s">
        <v>177</v>
      </c>
      <c r="C1484" t="s">
        <v>85</v>
      </c>
      <c r="D1484" t="s">
        <v>1753</v>
      </c>
      <c r="E1484" t="s">
        <v>3440</v>
      </c>
      <c r="F1484" t="s">
        <v>2629</v>
      </c>
      <c r="G1484" t="s">
        <v>31</v>
      </c>
      <c r="H1484" t="s">
        <v>25</v>
      </c>
      <c r="I1484">
        <v>10</v>
      </c>
      <c r="J1484">
        <v>375</v>
      </c>
      <c r="K1484" t="s">
        <v>56</v>
      </c>
      <c r="L1484" t="s">
        <v>2588</v>
      </c>
    </row>
    <row r="1485" spans="1:12" x14ac:dyDescent="0.25">
      <c r="A1485">
        <v>101011</v>
      </c>
      <c r="B1485" t="s">
        <v>621</v>
      </c>
      <c r="C1485" t="s">
        <v>72</v>
      </c>
      <c r="D1485" t="s">
        <v>1970</v>
      </c>
      <c r="E1485" t="s">
        <v>3441</v>
      </c>
      <c r="F1485" t="s">
        <v>2646</v>
      </c>
      <c r="H1485" t="s">
        <v>2620</v>
      </c>
      <c r="I1485">
        <v>0</v>
      </c>
      <c r="J1485">
        <v>377</v>
      </c>
      <c r="K1485" t="s">
        <v>56</v>
      </c>
      <c r="L1485" t="s">
        <v>26</v>
      </c>
    </row>
    <row r="1486" spans="1:12" x14ac:dyDescent="0.25">
      <c r="A1486">
        <v>100478</v>
      </c>
      <c r="B1486" t="s">
        <v>347</v>
      </c>
      <c r="C1486" t="s">
        <v>2743</v>
      </c>
      <c r="D1486" t="s">
        <v>653</v>
      </c>
      <c r="E1486" t="s">
        <v>1971</v>
      </c>
      <c r="F1486" t="s">
        <v>2646</v>
      </c>
      <c r="G1486" t="s">
        <v>2625</v>
      </c>
      <c r="H1486" t="s">
        <v>2587</v>
      </c>
      <c r="I1486">
        <v>0</v>
      </c>
      <c r="J1486">
        <v>699</v>
      </c>
      <c r="K1486" t="s">
        <v>37</v>
      </c>
      <c r="L1486" t="s">
        <v>26</v>
      </c>
    </row>
    <row r="1487" spans="1:12" x14ac:dyDescent="0.25">
      <c r="A1487">
        <v>101006</v>
      </c>
      <c r="B1487" t="s">
        <v>443</v>
      </c>
      <c r="D1487" t="s">
        <v>1714</v>
      </c>
      <c r="E1487" t="s">
        <v>1972</v>
      </c>
      <c r="F1487" t="s">
        <v>2604</v>
      </c>
      <c r="G1487" t="s">
        <v>2591</v>
      </c>
      <c r="H1487" t="s">
        <v>83</v>
      </c>
      <c r="I1487">
        <v>0</v>
      </c>
      <c r="J1487">
        <v>309</v>
      </c>
      <c r="K1487" t="s">
        <v>19</v>
      </c>
      <c r="L1487" t="s">
        <v>2588</v>
      </c>
    </row>
    <row r="1488" spans="1:12" x14ac:dyDescent="0.25">
      <c r="A1488">
        <v>101398</v>
      </c>
      <c r="B1488" t="s">
        <v>399</v>
      </c>
      <c r="C1488" t="s">
        <v>2706</v>
      </c>
      <c r="D1488" t="s">
        <v>1878</v>
      </c>
      <c r="E1488" t="s">
        <v>1973</v>
      </c>
      <c r="F1488" t="s">
        <v>64</v>
      </c>
      <c r="G1488" t="s">
        <v>2635</v>
      </c>
      <c r="H1488" t="s">
        <v>25</v>
      </c>
      <c r="I1488">
        <v>25</v>
      </c>
      <c r="J1488">
        <v>370</v>
      </c>
      <c r="K1488" t="s">
        <v>45</v>
      </c>
      <c r="L1488" t="s">
        <v>26</v>
      </c>
    </row>
    <row r="1489" spans="1:12" x14ac:dyDescent="0.25">
      <c r="A1489">
        <v>100442</v>
      </c>
      <c r="B1489" t="s">
        <v>734</v>
      </c>
      <c r="C1489" t="s">
        <v>218</v>
      </c>
      <c r="D1489" t="s">
        <v>1974</v>
      </c>
      <c r="E1489" t="s">
        <v>1975</v>
      </c>
      <c r="F1489" t="s">
        <v>30</v>
      </c>
      <c r="G1489" t="s">
        <v>2658</v>
      </c>
      <c r="H1489" t="s">
        <v>18</v>
      </c>
      <c r="I1489">
        <v>0</v>
      </c>
      <c r="J1489">
        <v>865</v>
      </c>
      <c r="K1489" t="s">
        <v>45</v>
      </c>
      <c r="L1489" t="s">
        <v>2588</v>
      </c>
    </row>
    <row r="1490" spans="1:12" x14ac:dyDescent="0.25">
      <c r="A1490">
        <v>100632</v>
      </c>
      <c r="B1490" t="s">
        <v>418</v>
      </c>
      <c r="C1490" t="s">
        <v>52</v>
      </c>
      <c r="D1490" t="s">
        <v>737</v>
      </c>
      <c r="E1490" t="s">
        <v>3442</v>
      </c>
      <c r="F1490" t="s">
        <v>2616</v>
      </c>
      <c r="G1490" t="s">
        <v>2625</v>
      </c>
      <c r="H1490" t="s">
        <v>2587</v>
      </c>
      <c r="I1490">
        <v>0</v>
      </c>
      <c r="J1490">
        <v>371</v>
      </c>
      <c r="K1490" t="s">
        <v>45</v>
      </c>
      <c r="L1490" t="s">
        <v>26</v>
      </c>
    </row>
    <row r="1491" spans="1:12" x14ac:dyDescent="0.25">
      <c r="A1491">
        <v>101557</v>
      </c>
      <c r="B1491" t="s">
        <v>820</v>
      </c>
      <c r="C1491" t="s">
        <v>22</v>
      </c>
      <c r="D1491" t="s">
        <v>1413</v>
      </c>
      <c r="E1491" t="s">
        <v>3443</v>
      </c>
      <c r="F1491" t="s">
        <v>41</v>
      </c>
      <c r="G1491" t="s">
        <v>2602</v>
      </c>
      <c r="H1491" t="s">
        <v>18</v>
      </c>
      <c r="I1491">
        <v>0</v>
      </c>
      <c r="J1491">
        <v>621</v>
      </c>
      <c r="K1491" t="s">
        <v>37</v>
      </c>
    </row>
    <row r="1492" spans="1:12" x14ac:dyDescent="0.25">
      <c r="A1492">
        <v>101956</v>
      </c>
      <c r="B1492" t="s">
        <v>684</v>
      </c>
      <c r="C1492" t="s">
        <v>149</v>
      </c>
      <c r="D1492" t="s">
        <v>1681</v>
      </c>
      <c r="E1492" t="s">
        <v>1976</v>
      </c>
      <c r="F1492" t="s">
        <v>2641</v>
      </c>
      <c r="G1492" t="s">
        <v>31</v>
      </c>
      <c r="H1492" t="s">
        <v>2644</v>
      </c>
      <c r="I1492">
        <v>0</v>
      </c>
      <c r="J1492">
        <v>494</v>
      </c>
      <c r="K1492" t="s">
        <v>19</v>
      </c>
      <c r="L1492" t="s">
        <v>20</v>
      </c>
    </row>
    <row r="1493" spans="1:12" x14ac:dyDescent="0.25">
      <c r="A1493">
        <v>100640</v>
      </c>
      <c r="B1493" t="s">
        <v>385</v>
      </c>
      <c r="C1493" t="s">
        <v>85</v>
      </c>
      <c r="D1493" t="s">
        <v>1977</v>
      </c>
      <c r="E1493" t="s">
        <v>3444</v>
      </c>
      <c r="F1493" t="s">
        <v>2643</v>
      </c>
      <c r="G1493" t="s">
        <v>31</v>
      </c>
      <c r="H1493" t="s">
        <v>83</v>
      </c>
      <c r="I1493">
        <v>0</v>
      </c>
      <c r="J1493">
        <v>490</v>
      </c>
      <c r="K1493" t="s">
        <v>56</v>
      </c>
      <c r="L1493" t="s">
        <v>26</v>
      </c>
    </row>
    <row r="1494" spans="1:12" x14ac:dyDescent="0.25">
      <c r="A1494">
        <v>101911</v>
      </c>
      <c r="B1494" t="s">
        <v>349</v>
      </c>
      <c r="C1494" t="s">
        <v>28</v>
      </c>
      <c r="D1494" t="s">
        <v>1329</v>
      </c>
      <c r="E1494" t="s">
        <v>1123</v>
      </c>
      <c r="F1494" t="s">
        <v>2598</v>
      </c>
      <c r="G1494" t="s">
        <v>2614</v>
      </c>
      <c r="H1494" t="s">
        <v>2644</v>
      </c>
      <c r="I1494">
        <v>0</v>
      </c>
      <c r="J1494">
        <v>708</v>
      </c>
      <c r="K1494" t="s">
        <v>32</v>
      </c>
      <c r="L1494" t="s">
        <v>26</v>
      </c>
    </row>
    <row r="1495" spans="1:12" x14ac:dyDescent="0.25">
      <c r="A1495">
        <v>101235</v>
      </c>
      <c r="B1495" t="s">
        <v>986</v>
      </c>
      <c r="C1495" t="s">
        <v>28</v>
      </c>
      <c r="D1495" t="s">
        <v>1978</v>
      </c>
      <c r="E1495" t="s">
        <v>3445</v>
      </c>
      <c r="F1495" t="s">
        <v>2613</v>
      </c>
      <c r="G1495" t="s">
        <v>2591</v>
      </c>
      <c r="H1495" t="s">
        <v>2587</v>
      </c>
      <c r="I1495">
        <v>0</v>
      </c>
      <c r="J1495">
        <v>459</v>
      </c>
      <c r="K1495" t="s">
        <v>56</v>
      </c>
      <c r="L1495" t="s">
        <v>26</v>
      </c>
    </row>
    <row r="1496" spans="1:12" x14ac:dyDescent="0.25">
      <c r="A1496">
        <v>101399</v>
      </c>
      <c r="B1496" t="s">
        <v>592</v>
      </c>
      <c r="C1496" t="s">
        <v>47</v>
      </c>
      <c r="D1496" t="s">
        <v>1979</v>
      </c>
      <c r="E1496" t="s">
        <v>1980</v>
      </c>
      <c r="F1496" t="s">
        <v>2608</v>
      </c>
      <c r="G1496" t="s">
        <v>60</v>
      </c>
      <c r="H1496" t="s">
        <v>2618</v>
      </c>
      <c r="I1496">
        <v>0</v>
      </c>
      <c r="J1496">
        <v>332</v>
      </c>
      <c r="K1496" t="s">
        <v>45</v>
      </c>
      <c r="L1496" t="s">
        <v>2588</v>
      </c>
    </row>
    <row r="1497" spans="1:12" x14ac:dyDescent="0.25">
      <c r="A1497">
        <v>100724</v>
      </c>
      <c r="B1497" t="s">
        <v>342</v>
      </c>
      <c r="C1497" t="s">
        <v>110</v>
      </c>
      <c r="D1497" t="s">
        <v>1981</v>
      </c>
      <c r="E1497" t="s">
        <v>1982</v>
      </c>
      <c r="F1497" t="s">
        <v>2643</v>
      </c>
      <c r="H1497" t="s">
        <v>2644</v>
      </c>
      <c r="J1497">
        <v>659</v>
      </c>
      <c r="K1497" t="s">
        <v>32</v>
      </c>
      <c r="L1497" t="s">
        <v>20</v>
      </c>
    </row>
    <row r="1498" spans="1:12" x14ac:dyDescent="0.25">
      <c r="A1498">
        <v>102093</v>
      </c>
      <c r="B1498" t="s">
        <v>860</v>
      </c>
      <c r="C1498" t="s">
        <v>152</v>
      </c>
      <c r="D1498" t="s">
        <v>653</v>
      </c>
      <c r="E1498" t="s">
        <v>3446</v>
      </c>
      <c r="F1498" t="s">
        <v>2593</v>
      </c>
      <c r="G1498" t="s">
        <v>2658</v>
      </c>
      <c r="H1498" t="s">
        <v>2644</v>
      </c>
      <c r="J1498">
        <v>651</v>
      </c>
      <c r="K1498" t="s">
        <v>37</v>
      </c>
      <c r="L1498" t="s">
        <v>2582</v>
      </c>
    </row>
    <row r="1499" spans="1:12" x14ac:dyDescent="0.25">
      <c r="A1499">
        <v>100494</v>
      </c>
      <c r="B1499" t="s">
        <v>515</v>
      </c>
      <c r="C1499" t="s">
        <v>22</v>
      </c>
      <c r="D1499" t="s">
        <v>1983</v>
      </c>
      <c r="E1499" t="s">
        <v>3447</v>
      </c>
      <c r="F1499" t="s">
        <v>2627</v>
      </c>
      <c r="G1499" t="s">
        <v>2602</v>
      </c>
      <c r="H1499" t="s">
        <v>25</v>
      </c>
      <c r="I1499">
        <v>24</v>
      </c>
      <c r="J1499">
        <v>826</v>
      </c>
      <c r="K1499" t="s">
        <v>56</v>
      </c>
      <c r="L1499" t="s">
        <v>2588</v>
      </c>
    </row>
    <row r="1500" spans="1:12" x14ac:dyDescent="0.25">
      <c r="A1500">
        <v>101918</v>
      </c>
      <c r="B1500" t="s">
        <v>217</v>
      </c>
      <c r="C1500" t="s">
        <v>2683</v>
      </c>
      <c r="D1500" t="s">
        <v>1826</v>
      </c>
      <c r="E1500" t="s">
        <v>1984</v>
      </c>
      <c r="F1500" t="s">
        <v>2643</v>
      </c>
      <c r="G1500" t="s">
        <v>2602</v>
      </c>
      <c r="H1500" t="s">
        <v>2581</v>
      </c>
      <c r="I1500">
        <v>0</v>
      </c>
      <c r="J1500">
        <v>894</v>
      </c>
      <c r="K1500" t="s">
        <v>19</v>
      </c>
      <c r="L1500" t="s">
        <v>2588</v>
      </c>
    </row>
    <row r="1501" spans="1:12" x14ac:dyDescent="0.25">
      <c r="A1501">
        <v>100119</v>
      </c>
      <c r="B1501" t="s">
        <v>581</v>
      </c>
      <c r="C1501" t="s">
        <v>103</v>
      </c>
      <c r="D1501" t="s">
        <v>1704</v>
      </c>
      <c r="E1501" t="s">
        <v>3448</v>
      </c>
      <c r="F1501" t="s">
        <v>2627</v>
      </c>
      <c r="G1501" t="s">
        <v>2635</v>
      </c>
      <c r="H1501" t="s">
        <v>2581</v>
      </c>
      <c r="I1501">
        <v>0</v>
      </c>
      <c r="J1501">
        <v>435</v>
      </c>
      <c r="K1501" t="s">
        <v>45</v>
      </c>
      <c r="L1501" t="s">
        <v>20</v>
      </c>
    </row>
    <row r="1502" spans="1:12" x14ac:dyDescent="0.25">
      <c r="A1502">
        <v>101935</v>
      </c>
      <c r="B1502" t="s">
        <v>794</v>
      </c>
      <c r="C1502" t="s">
        <v>52</v>
      </c>
      <c r="D1502" t="s">
        <v>1985</v>
      </c>
      <c r="E1502" t="s">
        <v>3449</v>
      </c>
      <c r="F1502" t="s">
        <v>30</v>
      </c>
      <c r="G1502" t="s">
        <v>2609</v>
      </c>
      <c r="H1502" t="s">
        <v>83</v>
      </c>
      <c r="I1502">
        <v>0</v>
      </c>
      <c r="J1502">
        <v>733</v>
      </c>
      <c r="K1502" t="s">
        <v>45</v>
      </c>
      <c r="L1502" t="s">
        <v>2588</v>
      </c>
    </row>
    <row r="1503" spans="1:12" x14ac:dyDescent="0.25">
      <c r="A1503">
        <v>101815</v>
      </c>
      <c r="B1503" t="s">
        <v>890</v>
      </c>
      <c r="C1503" t="s">
        <v>149</v>
      </c>
      <c r="D1503" t="s">
        <v>1986</v>
      </c>
      <c r="E1503" t="s">
        <v>3450</v>
      </c>
      <c r="F1503" t="s">
        <v>2579</v>
      </c>
      <c r="G1503" t="s">
        <v>2580</v>
      </c>
      <c r="H1503" t="s">
        <v>2630</v>
      </c>
      <c r="I1503">
        <v>29</v>
      </c>
      <c r="J1503">
        <v>733</v>
      </c>
      <c r="K1503" t="s">
        <v>56</v>
      </c>
      <c r="L1503" t="s">
        <v>20</v>
      </c>
    </row>
    <row r="1504" spans="1:12" x14ac:dyDescent="0.25">
      <c r="A1504">
        <v>101546</v>
      </c>
      <c r="B1504" t="s">
        <v>215</v>
      </c>
      <c r="C1504" t="s">
        <v>126</v>
      </c>
      <c r="D1504" t="s">
        <v>1446</v>
      </c>
      <c r="E1504" t="s">
        <v>3168</v>
      </c>
      <c r="F1504" t="s">
        <v>2629</v>
      </c>
      <c r="G1504" t="s">
        <v>2652</v>
      </c>
      <c r="H1504" t="s">
        <v>2581</v>
      </c>
      <c r="I1504">
        <v>0</v>
      </c>
      <c r="J1504">
        <v>395</v>
      </c>
      <c r="K1504" t="s">
        <v>45</v>
      </c>
      <c r="L1504" t="s">
        <v>20</v>
      </c>
    </row>
    <row r="1505" spans="1:12" x14ac:dyDescent="0.25">
      <c r="A1505">
        <v>101091</v>
      </c>
      <c r="B1505" t="s">
        <v>576</v>
      </c>
      <c r="C1505" t="s">
        <v>22</v>
      </c>
      <c r="D1505" t="s">
        <v>1987</v>
      </c>
      <c r="E1505" t="s">
        <v>1988</v>
      </c>
      <c r="F1505" t="s">
        <v>2579</v>
      </c>
      <c r="G1505" t="s">
        <v>2584</v>
      </c>
      <c r="H1505" t="s">
        <v>2587</v>
      </c>
      <c r="I1505">
        <v>0</v>
      </c>
      <c r="J1505">
        <v>418</v>
      </c>
      <c r="K1505" t="s">
        <v>19</v>
      </c>
      <c r="L1505" t="s">
        <v>26</v>
      </c>
    </row>
    <row r="1506" spans="1:12" x14ac:dyDescent="0.25">
      <c r="A1506">
        <v>100890</v>
      </c>
      <c r="B1506" t="s">
        <v>474</v>
      </c>
      <c r="D1506" t="s">
        <v>1989</v>
      </c>
      <c r="E1506" t="s">
        <v>3451</v>
      </c>
      <c r="F1506" t="s">
        <v>64</v>
      </c>
      <c r="G1506" t="s">
        <v>2591</v>
      </c>
      <c r="H1506" t="s">
        <v>2581</v>
      </c>
      <c r="I1506">
        <v>0</v>
      </c>
      <c r="J1506">
        <v>483</v>
      </c>
      <c r="K1506" t="s">
        <v>37</v>
      </c>
      <c r="L1506" t="s">
        <v>2588</v>
      </c>
    </row>
    <row r="1507" spans="1:12" x14ac:dyDescent="0.25">
      <c r="A1507">
        <v>101627</v>
      </c>
      <c r="B1507" t="s">
        <v>131</v>
      </c>
      <c r="C1507" t="s">
        <v>39</v>
      </c>
      <c r="D1507" t="s">
        <v>1990</v>
      </c>
      <c r="E1507" t="s">
        <v>3452</v>
      </c>
      <c r="F1507" t="s">
        <v>30</v>
      </c>
      <c r="G1507" t="s">
        <v>2580</v>
      </c>
      <c r="H1507" t="s">
        <v>18</v>
      </c>
      <c r="I1507">
        <v>0</v>
      </c>
      <c r="J1507">
        <v>867</v>
      </c>
      <c r="K1507" t="s">
        <v>56</v>
      </c>
      <c r="L1507" t="s">
        <v>26</v>
      </c>
    </row>
    <row r="1508" spans="1:12" x14ac:dyDescent="0.25">
      <c r="A1508">
        <v>100415</v>
      </c>
      <c r="B1508" t="s">
        <v>255</v>
      </c>
      <c r="C1508" t="s">
        <v>52</v>
      </c>
      <c r="D1508" t="s">
        <v>1991</v>
      </c>
      <c r="E1508" t="s">
        <v>3453</v>
      </c>
      <c r="F1508" t="s">
        <v>2654</v>
      </c>
      <c r="G1508" t="s">
        <v>81</v>
      </c>
      <c r="H1508" t="s">
        <v>18</v>
      </c>
      <c r="I1508">
        <v>0</v>
      </c>
      <c r="J1508">
        <v>639</v>
      </c>
      <c r="K1508" t="s">
        <v>56</v>
      </c>
      <c r="L1508" t="s">
        <v>2582</v>
      </c>
    </row>
    <row r="1509" spans="1:12" x14ac:dyDescent="0.25">
      <c r="A1509">
        <v>101602</v>
      </c>
      <c r="B1509" t="s">
        <v>315</v>
      </c>
      <c r="C1509" t="s">
        <v>22</v>
      </c>
      <c r="D1509" t="s">
        <v>1992</v>
      </c>
      <c r="E1509" t="s">
        <v>3454</v>
      </c>
      <c r="F1509" t="s">
        <v>2579</v>
      </c>
      <c r="G1509" t="s">
        <v>2591</v>
      </c>
      <c r="H1509" t="s">
        <v>18</v>
      </c>
      <c r="I1509">
        <v>0</v>
      </c>
      <c r="J1509">
        <v>509</v>
      </c>
      <c r="K1509" t="s">
        <v>56</v>
      </c>
      <c r="L1509" t="s">
        <v>2582</v>
      </c>
    </row>
    <row r="1510" spans="1:12" x14ac:dyDescent="0.25">
      <c r="A1510">
        <v>101551</v>
      </c>
      <c r="B1510" t="s">
        <v>184</v>
      </c>
      <c r="C1510" t="s">
        <v>62</v>
      </c>
      <c r="D1510" t="s">
        <v>82</v>
      </c>
      <c r="E1510" t="s">
        <v>1993</v>
      </c>
      <c r="F1510" t="s">
        <v>64</v>
      </c>
      <c r="G1510" t="s">
        <v>55</v>
      </c>
      <c r="H1510" t="s">
        <v>2581</v>
      </c>
      <c r="I1510">
        <v>0</v>
      </c>
      <c r="J1510">
        <v>571</v>
      </c>
      <c r="K1510" t="s">
        <v>45</v>
      </c>
      <c r="L1510" t="s">
        <v>2582</v>
      </c>
    </row>
    <row r="1511" spans="1:12" x14ac:dyDescent="0.25">
      <c r="A1511">
        <v>100771</v>
      </c>
      <c r="B1511" t="s">
        <v>742</v>
      </c>
      <c r="C1511" t="s">
        <v>100</v>
      </c>
      <c r="D1511" t="s">
        <v>308</v>
      </c>
      <c r="E1511" t="s">
        <v>3455</v>
      </c>
      <c r="F1511" t="s">
        <v>41</v>
      </c>
      <c r="G1511" t="s">
        <v>2611</v>
      </c>
      <c r="H1511" t="s">
        <v>2620</v>
      </c>
      <c r="I1511">
        <v>0</v>
      </c>
      <c r="J1511">
        <v>571</v>
      </c>
      <c r="K1511" t="s">
        <v>19</v>
      </c>
      <c r="L1511" t="s">
        <v>26</v>
      </c>
    </row>
    <row r="1512" spans="1:12" x14ac:dyDescent="0.25">
      <c r="A1512">
        <v>100805</v>
      </c>
      <c r="B1512" t="s">
        <v>307</v>
      </c>
      <c r="C1512" t="s">
        <v>58</v>
      </c>
      <c r="D1512" t="s">
        <v>1117</v>
      </c>
      <c r="E1512" t="s">
        <v>1994</v>
      </c>
      <c r="F1512" t="s">
        <v>2616</v>
      </c>
      <c r="G1512" t="s">
        <v>2617</v>
      </c>
      <c r="H1512" t="s">
        <v>2581</v>
      </c>
      <c r="I1512">
        <v>0</v>
      </c>
      <c r="J1512">
        <v>616</v>
      </c>
      <c r="K1512" t="s">
        <v>45</v>
      </c>
      <c r="L1512" t="s">
        <v>2588</v>
      </c>
    </row>
    <row r="1513" spans="1:12" x14ac:dyDescent="0.25">
      <c r="A1513">
        <v>102168</v>
      </c>
      <c r="B1513" t="s">
        <v>1206</v>
      </c>
      <c r="C1513" t="s">
        <v>22</v>
      </c>
      <c r="D1513" t="s">
        <v>1995</v>
      </c>
      <c r="E1513" t="s">
        <v>3456</v>
      </c>
      <c r="F1513" t="s">
        <v>2608</v>
      </c>
      <c r="G1513" t="s">
        <v>81</v>
      </c>
      <c r="H1513" t="s">
        <v>2644</v>
      </c>
      <c r="I1513">
        <v>0</v>
      </c>
      <c r="J1513">
        <v>607</v>
      </c>
      <c r="K1513" t="s">
        <v>56</v>
      </c>
      <c r="L1513" t="s">
        <v>26</v>
      </c>
    </row>
    <row r="1514" spans="1:12" x14ac:dyDescent="0.25">
      <c r="A1514">
        <v>100949</v>
      </c>
      <c r="B1514" t="s">
        <v>1022</v>
      </c>
      <c r="C1514" t="s">
        <v>270</v>
      </c>
      <c r="D1514" t="s">
        <v>1996</v>
      </c>
      <c r="E1514" t="s">
        <v>3457</v>
      </c>
      <c r="F1514" t="s">
        <v>2648</v>
      </c>
      <c r="G1514" t="s">
        <v>2609</v>
      </c>
      <c r="H1514" t="s">
        <v>2630</v>
      </c>
      <c r="I1514">
        <v>7</v>
      </c>
      <c r="J1514">
        <v>383</v>
      </c>
      <c r="L1514" t="s">
        <v>26</v>
      </c>
    </row>
    <row r="1515" spans="1:12" x14ac:dyDescent="0.25">
      <c r="A1515">
        <v>102072</v>
      </c>
      <c r="B1515" t="s">
        <v>133</v>
      </c>
      <c r="C1515" t="s">
        <v>134</v>
      </c>
      <c r="D1515" t="s">
        <v>216</v>
      </c>
      <c r="E1515" t="s">
        <v>3458</v>
      </c>
      <c r="F1515" t="s">
        <v>2616</v>
      </c>
      <c r="G1515" t="s">
        <v>2602</v>
      </c>
      <c r="H1515" t="s">
        <v>2594</v>
      </c>
      <c r="I1515">
        <v>74</v>
      </c>
      <c r="J1515">
        <v>345</v>
      </c>
      <c r="K1515" t="s">
        <v>56</v>
      </c>
      <c r="L1515" t="s">
        <v>20</v>
      </c>
    </row>
    <row r="1516" spans="1:12" x14ac:dyDescent="0.25">
      <c r="A1516">
        <v>101276</v>
      </c>
      <c r="B1516" t="s">
        <v>102</v>
      </c>
      <c r="C1516" t="s">
        <v>103</v>
      </c>
      <c r="D1516" t="s">
        <v>584</v>
      </c>
      <c r="E1516" t="s">
        <v>1997</v>
      </c>
      <c r="F1516" t="s">
        <v>2613</v>
      </c>
      <c r="G1516" t="s">
        <v>60</v>
      </c>
      <c r="H1516" t="s">
        <v>18</v>
      </c>
      <c r="I1516">
        <v>0</v>
      </c>
      <c r="J1516">
        <v>733</v>
      </c>
      <c r="K1516" t="s">
        <v>37</v>
      </c>
      <c r="L1516" t="s">
        <v>2582</v>
      </c>
    </row>
    <row r="1517" spans="1:12" x14ac:dyDescent="0.25">
      <c r="A1517">
        <v>100573</v>
      </c>
      <c r="B1517" t="s">
        <v>595</v>
      </c>
      <c r="C1517" t="s">
        <v>22</v>
      </c>
      <c r="D1517" t="s">
        <v>1998</v>
      </c>
      <c r="E1517" t="s">
        <v>1999</v>
      </c>
      <c r="F1517" t="s">
        <v>2641</v>
      </c>
      <c r="G1517" t="s">
        <v>55</v>
      </c>
      <c r="H1517" t="s">
        <v>2587</v>
      </c>
      <c r="I1517">
        <v>0</v>
      </c>
      <c r="J1517">
        <v>372</v>
      </c>
      <c r="K1517" t="s">
        <v>32</v>
      </c>
      <c r="L1517" t="s">
        <v>20</v>
      </c>
    </row>
    <row r="1518" spans="1:12" x14ac:dyDescent="0.25">
      <c r="A1518">
        <v>101862</v>
      </c>
      <c r="B1518" t="s">
        <v>847</v>
      </c>
      <c r="C1518" t="s">
        <v>22</v>
      </c>
      <c r="D1518" t="s">
        <v>2000</v>
      </c>
      <c r="E1518" t="s">
        <v>3459</v>
      </c>
      <c r="F1518" t="s">
        <v>2643</v>
      </c>
      <c r="G1518" t="s">
        <v>2591</v>
      </c>
      <c r="H1518" t="s">
        <v>18</v>
      </c>
      <c r="I1518">
        <v>0</v>
      </c>
      <c r="J1518">
        <v>612</v>
      </c>
      <c r="K1518" t="s">
        <v>19</v>
      </c>
      <c r="L1518" t="s">
        <v>2582</v>
      </c>
    </row>
    <row r="1519" spans="1:12" x14ac:dyDescent="0.25">
      <c r="A1519">
        <v>101827</v>
      </c>
      <c r="B1519" t="s">
        <v>307</v>
      </c>
      <c r="C1519" t="s">
        <v>2728</v>
      </c>
      <c r="D1519" t="s">
        <v>318</v>
      </c>
      <c r="E1519" t="s">
        <v>3460</v>
      </c>
      <c r="F1519" t="s">
        <v>50</v>
      </c>
      <c r="G1519" t="s">
        <v>2607</v>
      </c>
      <c r="H1519" t="s">
        <v>2581</v>
      </c>
      <c r="I1519">
        <v>0</v>
      </c>
      <c r="J1519">
        <v>616</v>
      </c>
      <c r="K1519" t="s">
        <v>56</v>
      </c>
      <c r="L1519" t="s">
        <v>20</v>
      </c>
    </row>
    <row r="1520" spans="1:12" x14ac:dyDescent="0.25">
      <c r="A1520">
        <v>102099</v>
      </c>
      <c r="B1520" t="s">
        <v>107</v>
      </c>
      <c r="C1520" t="s">
        <v>58</v>
      </c>
      <c r="D1520" t="s">
        <v>941</v>
      </c>
      <c r="E1520" t="s">
        <v>2001</v>
      </c>
      <c r="F1520" t="s">
        <v>30</v>
      </c>
      <c r="G1520" t="s">
        <v>2607</v>
      </c>
      <c r="H1520" t="s">
        <v>2620</v>
      </c>
      <c r="I1520">
        <v>0</v>
      </c>
      <c r="J1520">
        <v>884</v>
      </c>
      <c r="K1520" t="s">
        <v>37</v>
      </c>
      <c r="L1520" t="s">
        <v>2582</v>
      </c>
    </row>
    <row r="1521" spans="1:12" x14ac:dyDescent="0.25">
      <c r="A1521">
        <v>100673</v>
      </c>
      <c r="B1521" t="s">
        <v>1175</v>
      </c>
      <c r="C1521" t="s">
        <v>142</v>
      </c>
      <c r="D1521" t="s">
        <v>1384</v>
      </c>
      <c r="E1521" t="s">
        <v>3461</v>
      </c>
      <c r="F1521" t="s">
        <v>2598</v>
      </c>
      <c r="G1521" t="s">
        <v>31</v>
      </c>
      <c r="H1521" t="s">
        <v>2644</v>
      </c>
      <c r="I1521">
        <v>0</v>
      </c>
      <c r="J1521">
        <v>573</v>
      </c>
      <c r="K1521" t="s">
        <v>45</v>
      </c>
      <c r="L1521" t="s">
        <v>26</v>
      </c>
    </row>
    <row r="1522" spans="1:12" x14ac:dyDescent="0.25">
      <c r="A1522">
        <v>100400</v>
      </c>
      <c r="B1522" t="s">
        <v>530</v>
      </c>
      <c r="C1522" t="s">
        <v>142</v>
      </c>
      <c r="E1522" t="s">
        <v>3462</v>
      </c>
      <c r="F1522" t="s">
        <v>2590</v>
      </c>
      <c r="G1522" t="s">
        <v>2591</v>
      </c>
      <c r="H1522" t="s">
        <v>2587</v>
      </c>
      <c r="J1522">
        <v>819</v>
      </c>
      <c r="K1522" t="s">
        <v>56</v>
      </c>
      <c r="L1522" t="s">
        <v>26</v>
      </c>
    </row>
    <row r="1523" spans="1:12" x14ac:dyDescent="0.25">
      <c r="A1523">
        <v>100552</v>
      </c>
      <c r="B1523" t="s">
        <v>121</v>
      </c>
      <c r="C1523" t="s">
        <v>3463</v>
      </c>
      <c r="D1523" t="s">
        <v>2002</v>
      </c>
      <c r="E1523" t="s">
        <v>3464</v>
      </c>
      <c r="F1523" t="s">
        <v>2616</v>
      </c>
      <c r="G1523" t="s">
        <v>31</v>
      </c>
      <c r="H1523" t="s">
        <v>18</v>
      </c>
      <c r="I1523">
        <v>0</v>
      </c>
      <c r="J1523">
        <v>823</v>
      </c>
      <c r="K1523" t="s">
        <v>19</v>
      </c>
      <c r="L1523" t="s">
        <v>2582</v>
      </c>
    </row>
    <row r="1524" spans="1:12" x14ac:dyDescent="0.25">
      <c r="A1524">
        <v>101199</v>
      </c>
      <c r="B1524" t="s">
        <v>734</v>
      </c>
      <c r="C1524" t="s">
        <v>218</v>
      </c>
      <c r="D1524" t="s">
        <v>2003</v>
      </c>
      <c r="E1524" t="s">
        <v>3465</v>
      </c>
      <c r="F1524" t="s">
        <v>2654</v>
      </c>
      <c r="G1524" t="s">
        <v>31</v>
      </c>
      <c r="H1524" t="s">
        <v>2581</v>
      </c>
      <c r="I1524">
        <v>0</v>
      </c>
      <c r="J1524">
        <v>865</v>
      </c>
      <c r="K1524" t="s">
        <v>37</v>
      </c>
      <c r="L1524" t="s">
        <v>26</v>
      </c>
    </row>
    <row r="1525" spans="1:12" x14ac:dyDescent="0.25">
      <c r="A1525">
        <v>100321</v>
      </c>
      <c r="B1525" t="s">
        <v>167</v>
      </c>
      <c r="C1525" t="s">
        <v>168</v>
      </c>
      <c r="D1525" t="s">
        <v>1801</v>
      </c>
      <c r="E1525" t="s">
        <v>1018</v>
      </c>
      <c r="F1525" t="s">
        <v>2598</v>
      </c>
      <c r="G1525" t="s">
        <v>2631</v>
      </c>
      <c r="H1525" t="s">
        <v>2644</v>
      </c>
      <c r="I1525">
        <v>0</v>
      </c>
      <c r="J1525">
        <v>658</v>
      </c>
      <c r="K1525" t="s">
        <v>45</v>
      </c>
      <c r="L1525" t="s">
        <v>2588</v>
      </c>
    </row>
    <row r="1526" spans="1:12" x14ac:dyDescent="0.25">
      <c r="A1526">
        <v>100470</v>
      </c>
      <c r="B1526" t="s">
        <v>497</v>
      </c>
      <c r="C1526" t="s">
        <v>142</v>
      </c>
      <c r="D1526" t="s">
        <v>2004</v>
      </c>
      <c r="E1526" t="s">
        <v>3466</v>
      </c>
      <c r="F1526" t="s">
        <v>2641</v>
      </c>
      <c r="G1526" t="s">
        <v>2614</v>
      </c>
      <c r="H1526" t="s">
        <v>18</v>
      </c>
      <c r="I1526">
        <v>0</v>
      </c>
      <c r="J1526">
        <v>465</v>
      </c>
      <c r="K1526" t="s">
        <v>56</v>
      </c>
      <c r="L1526" t="s">
        <v>26</v>
      </c>
    </row>
    <row r="1527" spans="1:12" x14ac:dyDescent="0.25">
      <c r="A1527">
        <v>101889</v>
      </c>
      <c r="B1527" t="s">
        <v>875</v>
      </c>
      <c r="C1527" t="s">
        <v>72</v>
      </c>
      <c r="D1527" t="s">
        <v>419</v>
      </c>
      <c r="E1527" t="s">
        <v>2005</v>
      </c>
      <c r="F1527" t="s">
        <v>2643</v>
      </c>
      <c r="G1527" t="s">
        <v>2682</v>
      </c>
      <c r="H1527" t="s">
        <v>18</v>
      </c>
      <c r="I1527">
        <v>0</v>
      </c>
      <c r="J1527">
        <v>678</v>
      </c>
      <c r="K1527" t="s">
        <v>45</v>
      </c>
      <c r="L1527" t="s">
        <v>2588</v>
      </c>
    </row>
    <row r="1528" spans="1:12" x14ac:dyDescent="0.25">
      <c r="A1528">
        <v>100230</v>
      </c>
      <c r="B1528" t="s">
        <v>1554</v>
      </c>
      <c r="C1528" t="s">
        <v>28</v>
      </c>
      <c r="D1528" t="s">
        <v>2006</v>
      </c>
      <c r="E1528" t="s">
        <v>3467</v>
      </c>
      <c r="F1528" t="s">
        <v>2598</v>
      </c>
      <c r="G1528" t="s">
        <v>2611</v>
      </c>
      <c r="H1528" t="s">
        <v>2620</v>
      </c>
      <c r="I1528">
        <v>0</v>
      </c>
      <c r="J1528">
        <v>571</v>
      </c>
      <c r="K1528" t="s">
        <v>56</v>
      </c>
      <c r="L1528" t="s">
        <v>2582</v>
      </c>
    </row>
    <row r="1529" spans="1:12" x14ac:dyDescent="0.25">
      <c r="A1529">
        <v>101599</v>
      </c>
      <c r="B1529" t="s">
        <v>1402</v>
      </c>
      <c r="C1529" t="s">
        <v>100</v>
      </c>
      <c r="D1529" t="s">
        <v>2007</v>
      </c>
      <c r="E1529" t="s">
        <v>3468</v>
      </c>
      <c r="F1529" t="s">
        <v>2583</v>
      </c>
      <c r="G1529" t="s">
        <v>2609</v>
      </c>
      <c r="H1529" t="s">
        <v>2620</v>
      </c>
      <c r="I1529">
        <v>0</v>
      </c>
      <c r="J1529">
        <v>588</v>
      </c>
      <c r="K1529" t="s">
        <v>56</v>
      </c>
      <c r="L1529" t="s">
        <v>20</v>
      </c>
    </row>
    <row r="1530" spans="1:12" x14ac:dyDescent="0.25">
      <c r="A1530">
        <v>102158</v>
      </c>
      <c r="B1530" t="s">
        <v>497</v>
      </c>
      <c r="C1530" t="s">
        <v>2649</v>
      </c>
      <c r="D1530" t="s">
        <v>2008</v>
      </c>
      <c r="E1530" t="s">
        <v>3469</v>
      </c>
      <c r="F1530" t="s">
        <v>2613</v>
      </c>
      <c r="G1530" t="s">
        <v>2591</v>
      </c>
      <c r="H1530" t="s">
        <v>2597</v>
      </c>
      <c r="I1530">
        <v>15</v>
      </c>
      <c r="J1530">
        <v>465</v>
      </c>
      <c r="K1530" t="s">
        <v>32</v>
      </c>
      <c r="L1530" t="s">
        <v>26</v>
      </c>
    </row>
    <row r="1531" spans="1:12" x14ac:dyDescent="0.25">
      <c r="A1531">
        <v>101648</v>
      </c>
      <c r="B1531" t="s">
        <v>243</v>
      </c>
      <c r="C1531" t="s">
        <v>244</v>
      </c>
      <c r="D1531" t="s">
        <v>2009</v>
      </c>
      <c r="E1531" t="s">
        <v>2010</v>
      </c>
      <c r="F1531" t="s">
        <v>2640</v>
      </c>
      <c r="G1531" t="s">
        <v>2652</v>
      </c>
      <c r="H1531" t="s">
        <v>2644</v>
      </c>
      <c r="I1531">
        <v>0</v>
      </c>
      <c r="J1531">
        <v>729</v>
      </c>
      <c r="K1531" t="s">
        <v>45</v>
      </c>
      <c r="L1531" t="s">
        <v>26</v>
      </c>
    </row>
    <row r="1532" spans="1:12" x14ac:dyDescent="0.25">
      <c r="A1532">
        <v>100080</v>
      </c>
      <c r="B1532" t="s">
        <v>1177</v>
      </c>
      <c r="C1532" t="s">
        <v>62</v>
      </c>
      <c r="D1532" t="s">
        <v>2011</v>
      </c>
      <c r="E1532" t="s">
        <v>2012</v>
      </c>
      <c r="F1532" t="s">
        <v>2643</v>
      </c>
      <c r="G1532" t="s">
        <v>2611</v>
      </c>
      <c r="H1532" t="s">
        <v>2644</v>
      </c>
      <c r="I1532">
        <v>0</v>
      </c>
      <c r="J1532">
        <v>482</v>
      </c>
      <c r="K1532" t="s">
        <v>45</v>
      </c>
      <c r="L1532" t="s">
        <v>26</v>
      </c>
    </row>
    <row r="1533" spans="1:12" x14ac:dyDescent="0.25">
      <c r="A1533">
        <v>100534</v>
      </c>
      <c r="B1533" t="s">
        <v>87</v>
      </c>
      <c r="C1533" t="s">
        <v>47</v>
      </c>
      <c r="D1533" t="s">
        <v>2013</v>
      </c>
      <c r="E1533" t="s">
        <v>2014</v>
      </c>
      <c r="F1533" t="s">
        <v>30</v>
      </c>
      <c r="G1533" t="s">
        <v>31</v>
      </c>
      <c r="H1533" t="s">
        <v>25</v>
      </c>
      <c r="I1533">
        <v>18</v>
      </c>
      <c r="J1533">
        <v>892</v>
      </c>
      <c r="K1533" t="s">
        <v>56</v>
      </c>
      <c r="L1533" t="s">
        <v>2588</v>
      </c>
    </row>
    <row r="1534" spans="1:12" x14ac:dyDescent="0.25">
      <c r="A1534">
        <v>101975</v>
      </c>
      <c r="B1534" t="s">
        <v>113</v>
      </c>
      <c r="C1534" t="s">
        <v>95</v>
      </c>
      <c r="D1534" t="s">
        <v>972</v>
      </c>
      <c r="E1534" t="s">
        <v>2015</v>
      </c>
      <c r="F1534" t="s">
        <v>2627</v>
      </c>
      <c r="G1534" t="s">
        <v>60</v>
      </c>
      <c r="H1534" t="s">
        <v>2594</v>
      </c>
      <c r="I1534">
        <v>105</v>
      </c>
      <c r="J1534">
        <v>657</v>
      </c>
      <c r="K1534" t="s">
        <v>32</v>
      </c>
      <c r="L1534" t="s">
        <v>2588</v>
      </c>
    </row>
    <row r="1535" spans="1:12" x14ac:dyDescent="0.25">
      <c r="A1535">
        <v>100458</v>
      </c>
      <c r="B1535" t="s">
        <v>212</v>
      </c>
      <c r="C1535" t="s">
        <v>2743</v>
      </c>
      <c r="D1535" t="s">
        <v>2016</v>
      </c>
      <c r="E1535" t="s">
        <v>3470</v>
      </c>
      <c r="F1535" t="s">
        <v>2640</v>
      </c>
      <c r="G1535" t="s">
        <v>2682</v>
      </c>
      <c r="H1535" t="s">
        <v>2620</v>
      </c>
      <c r="I1535">
        <v>0</v>
      </c>
      <c r="J1535">
        <v>662</v>
      </c>
      <c r="K1535" t="s">
        <v>32</v>
      </c>
      <c r="L1535" t="s">
        <v>26</v>
      </c>
    </row>
    <row r="1536" spans="1:12" x14ac:dyDescent="0.25">
      <c r="A1536">
        <v>100291</v>
      </c>
      <c r="B1536" t="s">
        <v>1435</v>
      </c>
      <c r="C1536" t="s">
        <v>47</v>
      </c>
      <c r="D1536" t="s">
        <v>1399</v>
      </c>
      <c r="E1536" t="s">
        <v>3471</v>
      </c>
      <c r="F1536" t="s">
        <v>2641</v>
      </c>
      <c r="G1536" t="s">
        <v>2584</v>
      </c>
      <c r="H1536" t="s">
        <v>18</v>
      </c>
      <c r="I1536">
        <v>0</v>
      </c>
      <c r="J1536">
        <v>744</v>
      </c>
      <c r="K1536" t="s">
        <v>19</v>
      </c>
      <c r="L1536" t="s">
        <v>2588</v>
      </c>
    </row>
    <row r="1537" spans="1:12" x14ac:dyDescent="0.25">
      <c r="A1537">
        <v>101884</v>
      </c>
      <c r="B1537" t="s">
        <v>46</v>
      </c>
      <c r="C1537" t="s">
        <v>47</v>
      </c>
      <c r="D1537" t="s">
        <v>2017</v>
      </c>
      <c r="E1537" t="s">
        <v>3472</v>
      </c>
      <c r="F1537" t="s">
        <v>2608</v>
      </c>
      <c r="G1537" t="s">
        <v>2682</v>
      </c>
      <c r="H1537" t="s">
        <v>25</v>
      </c>
      <c r="I1537">
        <v>2</v>
      </c>
      <c r="J1537">
        <v>615</v>
      </c>
      <c r="K1537" t="s">
        <v>19</v>
      </c>
      <c r="L1537" t="s">
        <v>20</v>
      </c>
    </row>
    <row r="1538" spans="1:12" x14ac:dyDescent="0.25">
      <c r="A1538">
        <v>100371</v>
      </c>
      <c r="B1538" t="s">
        <v>288</v>
      </c>
      <c r="C1538" t="s">
        <v>85</v>
      </c>
      <c r="D1538" t="s">
        <v>1698</v>
      </c>
      <c r="E1538" t="s">
        <v>2018</v>
      </c>
      <c r="F1538" t="s">
        <v>64</v>
      </c>
      <c r="G1538" t="s">
        <v>31</v>
      </c>
      <c r="H1538" t="s">
        <v>2587</v>
      </c>
      <c r="I1538">
        <v>0</v>
      </c>
      <c r="J1538">
        <v>746</v>
      </c>
      <c r="K1538" t="s">
        <v>37</v>
      </c>
      <c r="L1538" t="s">
        <v>2582</v>
      </c>
    </row>
    <row r="1539" spans="1:12" x14ac:dyDescent="0.25">
      <c r="A1539">
        <v>100266</v>
      </c>
      <c r="B1539" t="s">
        <v>545</v>
      </c>
      <c r="C1539" t="s">
        <v>126</v>
      </c>
      <c r="D1539" t="s">
        <v>743</v>
      </c>
      <c r="E1539" t="s">
        <v>2019</v>
      </c>
      <c r="F1539" t="s">
        <v>2640</v>
      </c>
      <c r="G1539" t="s">
        <v>55</v>
      </c>
      <c r="H1539" t="s">
        <v>2620</v>
      </c>
      <c r="I1539">
        <v>0</v>
      </c>
      <c r="J1539">
        <v>494</v>
      </c>
      <c r="K1539" t="s">
        <v>19</v>
      </c>
      <c r="L1539" t="s">
        <v>2588</v>
      </c>
    </row>
    <row r="1540" spans="1:12" x14ac:dyDescent="0.25">
      <c r="A1540">
        <v>101502</v>
      </c>
      <c r="B1540" t="s">
        <v>164</v>
      </c>
      <c r="C1540" t="s">
        <v>2634</v>
      </c>
      <c r="D1540" t="s">
        <v>1603</v>
      </c>
      <c r="E1540" t="s">
        <v>2020</v>
      </c>
      <c r="F1540" t="s">
        <v>2593</v>
      </c>
      <c r="G1540" t="s">
        <v>2652</v>
      </c>
      <c r="H1540" t="s">
        <v>2581</v>
      </c>
      <c r="I1540">
        <v>0</v>
      </c>
      <c r="J1540">
        <v>722</v>
      </c>
      <c r="K1540" t="s">
        <v>56</v>
      </c>
      <c r="L1540" t="s">
        <v>2582</v>
      </c>
    </row>
    <row r="1541" spans="1:12" x14ac:dyDescent="0.25">
      <c r="A1541">
        <v>101000</v>
      </c>
      <c r="B1541" t="s">
        <v>71</v>
      </c>
      <c r="C1541" t="s">
        <v>72</v>
      </c>
      <c r="D1541" t="s">
        <v>2021</v>
      </c>
      <c r="E1541" t="s">
        <v>2022</v>
      </c>
      <c r="F1541" t="s">
        <v>2583</v>
      </c>
      <c r="H1541" t="s">
        <v>2587</v>
      </c>
      <c r="I1541">
        <v>0</v>
      </c>
      <c r="J1541">
        <v>841</v>
      </c>
      <c r="K1541" t="s">
        <v>45</v>
      </c>
      <c r="L1541" t="s">
        <v>26</v>
      </c>
    </row>
    <row r="1542" spans="1:12" x14ac:dyDescent="0.25">
      <c r="A1542">
        <v>100165</v>
      </c>
      <c r="B1542" t="s">
        <v>734</v>
      </c>
      <c r="C1542" t="s">
        <v>2683</v>
      </c>
      <c r="D1542" t="s">
        <v>433</v>
      </c>
      <c r="E1542" t="s">
        <v>3473</v>
      </c>
      <c r="F1542" t="s">
        <v>2598</v>
      </c>
      <c r="G1542" t="s">
        <v>2625</v>
      </c>
      <c r="H1542" t="s">
        <v>2585</v>
      </c>
      <c r="I1542">
        <v>5</v>
      </c>
      <c r="J1542">
        <v>865</v>
      </c>
      <c r="K1542" t="s">
        <v>32</v>
      </c>
      <c r="L1542" t="s">
        <v>2582</v>
      </c>
    </row>
    <row r="1543" spans="1:12" x14ac:dyDescent="0.25">
      <c r="A1543">
        <v>101712</v>
      </c>
      <c r="B1543" t="s">
        <v>371</v>
      </c>
      <c r="C1543" t="s">
        <v>52</v>
      </c>
      <c r="D1543" t="s">
        <v>2023</v>
      </c>
      <c r="E1543" t="s">
        <v>3474</v>
      </c>
      <c r="F1543" t="s">
        <v>30</v>
      </c>
      <c r="G1543" t="s">
        <v>2584</v>
      </c>
      <c r="H1543" t="s">
        <v>2620</v>
      </c>
      <c r="I1543">
        <v>0</v>
      </c>
      <c r="J1543">
        <v>339</v>
      </c>
      <c r="K1543" t="s">
        <v>56</v>
      </c>
      <c r="L1543" t="s">
        <v>2588</v>
      </c>
    </row>
    <row r="1544" spans="1:12" x14ac:dyDescent="0.25">
      <c r="A1544">
        <v>100003</v>
      </c>
      <c r="B1544" t="s">
        <v>177</v>
      </c>
      <c r="D1544" t="s">
        <v>664</v>
      </c>
      <c r="E1544" t="s">
        <v>2834</v>
      </c>
      <c r="F1544" t="s">
        <v>2641</v>
      </c>
      <c r="G1544" t="s">
        <v>2602</v>
      </c>
      <c r="H1544" t="s">
        <v>2587</v>
      </c>
      <c r="I1544">
        <v>0</v>
      </c>
      <c r="J1544">
        <v>375</v>
      </c>
      <c r="K1544" t="s">
        <v>56</v>
      </c>
      <c r="L1544" t="s">
        <v>20</v>
      </c>
    </row>
    <row r="1545" spans="1:12" x14ac:dyDescent="0.25">
      <c r="A1545">
        <v>101910</v>
      </c>
      <c r="B1545" t="s">
        <v>57</v>
      </c>
      <c r="C1545" t="s">
        <v>58</v>
      </c>
      <c r="D1545" t="s">
        <v>2024</v>
      </c>
      <c r="E1545" t="s">
        <v>2025</v>
      </c>
      <c r="F1545" t="s">
        <v>2604</v>
      </c>
      <c r="G1545" t="s">
        <v>2614</v>
      </c>
      <c r="H1545" t="s">
        <v>2644</v>
      </c>
      <c r="I1545">
        <v>0</v>
      </c>
      <c r="J1545">
        <v>798</v>
      </c>
      <c r="K1545" t="s">
        <v>32</v>
      </c>
      <c r="L1545" t="s">
        <v>20</v>
      </c>
    </row>
    <row r="1546" spans="1:12" x14ac:dyDescent="0.25">
      <c r="A1546">
        <v>100474</v>
      </c>
      <c r="B1546" t="s">
        <v>443</v>
      </c>
      <c r="C1546" t="s">
        <v>72</v>
      </c>
      <c r="D1546" t="s">
        <v>101</v>
      </c>
      <c r="E1546" t="s">
        <v>2026</v>
      </c>
      <c r="F1546" t="s">
        <v>2616</v>
      </c>
      <c r="G1546" t="s">
        <v>2580</v>
      </c>
      <c r="H1546" t="s">
        <v>2623</v>
      </c>
      <c r="I1546">
        <v>140</v>
      </c>
      <c r="J1546">
        <v>309</v>
      </c>
      <c r="K1546" t="s">
        <v>19</v>
      </c>
      <c r="L1546" t="s">
        <v>2588</v>
      </c>
    </row>
    <row r="1547" spans="1:12" x14ac:dyDescent="0.25">
      <c r="A1547">
        <v>100876</v>
      </c>
      <c r="B1547" t="s">
        <v>1091</v>
      </c>
      <c r="C1547" t="s">
        <v>270</v>
      </c>
      <c r="D1547" t="s">
        <v>405</v>
      </c>
      <c r="E1547" t="s">
        <v>3475</v>
      </c>
      <c r="F1547" t="s">
        <v>2646</v>
      </c>
      <c r="G1547" t="s">
        <v>2596</v>
      </c>
      <c r="H1547" t="s">
        <v>18</v>
      </c>
      <c r="I1547">
        <v>0</v>
      </c>
      <c r="J1547">
        <v>817</v>
      </c>
      <c r="K1547" t="s">
        <v>45</v>
      </c>
      <c r="L1547" t="s">
        <v>2582</v>
      </c>
    </row>
    <row r="1548" spans="1:12" x14ac:dyDescent="0.25">
      <c r="A1548">
        <v>100198</v>
      </c>
      <c r="B1548" t="s">
        <v>1451</v>
      </c>
      <c r="C1548" t="s">
        <v>52</v>
      </c>
      <c r="D1548" t="s">
        <v>1039</v>
      </c>
      <c r="E1548" t="s">
        <v>3476</v>
      </c>
      <c r="F1548" t="s">
        <v>2608</v>
      </c>
      <c r="G1548" t="s">
        <v>55</v>
      </c>
      <c r="H1548" t="s">
        <v>2644</v>
      </c>
      <c r="I1548">
        <v>0</v>
      </c>
      <c r="J1548">
        <v>362</v>
      </c>
      <c r="K1548" t="s">
        <v>56</v>
      </c>
      <c r="L1548" t="s">
        <v>2582</v>
      </c>
    </row>
    <row r="1549" spans="1:12" x14ac:dyDescent="0.25">
      <c r="A1549">
        <v>100186</v>
      </c>
      <c r="B1549" t="s">
        <v>703</v>
      </c>
      <c r="C1549" t="s">
        <v>52</v>
      </c>
      <c r="D1549" t="s">
        <v>337</v>
      </c>
      <c r="E1549" t="s">
        <v>3477</v>
      </c>
      <c r="F1549" t="s">
        <v>41</v>
      </c>
      <c r="G1549" t="s">
        <v>2652</v>
      </c>
      <c r="H1549" t="s">
        <v>2587</v>
      </c>
      <c r="I1549">
        <v>0</v>
      </c>
      <c r="J1549">
        <v>609</v>
      </c>
      <c r="K1549" t="s">
        <v>56</v>
      </c>
      <c r="L1549" t="s">
        <v>26</v>
      </c>
    </row>
    <row r="1550" spans="1:12" x14ac:dyDescent="0.25">
      <c r="A1550">
        <v>101722</v>
      </c>
      <c r="B1550" t="s">
        <v>420</v>
      </c>
      <c r="C1550" t="s">
        <v>72</v>
      </c>
      <c r="D1550" t="s">
        <v>1359</v>
      </c>
      <c r="E1550" t="s">
        <v>2027</v>
      </c>
      <c r="F1550" t="s">
        <v>2646</v>
      </c>
      <c r="G1550" t="s">
        <v>2580</v>
      </c>
      <c r="H1550" t="s">
        <v>2587</v>
      </c>
      <c r="I1550">
        <v>0</v>
      </c>
      <c r="J1550">
        <v>418</v>
      </c>
      <c r="K1550" t="s">
        <v>45</v>
      </c>
    </row>
    <row r="1551" spans="1:12" x14ac:dyDescent="0.25">
      <c r="A1551">
        <v>100422</v>
      </c>
      <c r="B1551" t="s">
        <v>703</v>
      </c>
      <c r="C1551" t="s">
        <v>52</v>
      </c>
      <c r="D1551" t="s">
        <v>1856</v>
      </c>
      <c r="E1551" t="s">
        <v>3478</v>
      </c>
      <c r="F1551" t="s">
        <v>2613</v>
      </c>
      <c r="G1551" t="s">
        <v>2611</v>
      </c>
      <c r="H1551" t="s">
        <v>2581</v>
      </c>
      <c r="I1551">
        <v>0</v>
      </c>
      <c r="J1551">
        <v>609</v>
      </c>
      <c r="K1551" t="s">
        <v>56</v>
      </c>
      <c r="L1551" t="s">
        <v>26</v>
      </c>
    </row>
    <row r="1552" spans="1:12" x14ac:dyDescent="0.25">
      <c r="A1552">
        <v>101476</v>
      </c>
      <c r="B1552" t="s">
        <v>1168</v>
      </c>
      <c r="C1552" t="s">
        <v>218</v>
      </c>
      <c r="D1552" t="s">
        <v>604</v>
      </c>
      <c r="E1552" t="s">
        <v>2028</v>
      </c>
      <c r="F1552" t="s">
        <v>2613</v>
      </c>
      <c r="G1552" t="s">
        <v>2602</v>
      </c>
      <c r="H1552" t="s">
        <v>2597</v>
      </c>
      <c r="I1552">
        <v>17</v>
      </c>
      <c r="J1552">
        <v>606</v>
      </c>
      <c r="K1552" t="s">
        <v>32</v>
      </c>
    </row>
    <row r="1553" spans="1:12" x14ac:dyDescent="0.25">
      <c r="A1553">
        <v>100257</v>
      </c>
      <c r="B1553" t="s">
        <v>155</v>
      </c>
      <c r="D1553" t="s">
        <v>1539</v>
      </c>
      <c r="E1553" t="s">
        <v>2029</v>
      </c>
      <c r="F1553" t="s">
        <v>64</v>
      </c>
      <c r="G1553" t="s">
        <v>2596</v>
      </c>
      <c r="H1553" t="s">
        <v>2587</v>
      </c>
      <c r="I1553">
        <v>0</v>
      </c>
      <c r="J1553">
        <v>339</v>
      </c>
      <c r="K1553" t="s">
        <v>37</v>
      </c>
      <c r="L1553" t="s">
        <v>2588</v>
      </c>
    </row>
    <row r="1554" spans="1:12" x14ac:dyDescent="0.25">
      <c r="A1554">
        <v>100136</v>
      </c>
      <c r="B1554" t="s">
        <v>2030</v>
      </c>
      <c r="C1554" t="s">
        <v>168</v>
      </c>
      <c r="D1554" t="s">
        <v>1043</v>
      </c>
      <c r="E1554" t="s">
        <v>3479</v>
      </c>
      <c r="F1554" t="s">
        <v>2648</v>
      </c>
      <c r="G1554" t="s">
        <v>81</v>
      </c>
      <c r="H1554" t="s">
        <v>25</v>
      </c>
      <c r="I1554">
        <v>4</v>
      </c>
      <c r="J1554">
        <v>768</v>
      </c>
      <c r="K1554" t="s">
        <v>45</v>
      </c>
      <c r="L1554" t="s">
        <v>2588</v>
      </c>
    </row>
    <row r="1555" spans="1:12" x14ac:dyDescent="0.25">
      <c r="A1555">
        <v>102011</v>
      </c>
      <c r="B1555" t="s">
        <v>481</v>
      </c>
      <c r="C1555" t="s">
        <v>168</v>
      </c>
      <c r="D1555" t="s">
        <v>1786</v>
      </c>
      <c r="E1555" t="s">
        <v>2031</v>
      </c>
      <c r="F1555" t="s">
        <v>50</v>
      </c>
      <c r="G1555" t="s">
        <v>2600</v>
      </c>
      <c r="H1555" t="s">
        <v>18</v>
      </c>
      <c r="I1555">
        <v>0</v>
      </c>
      <c r="J1555">
        <v>548</v>
      </c>
      <c r="K1555" t="s">
        <v>45</v>
      </c>
      <c r="L1555" t="s">
        <v>20</v>
      </c>
    </row>
    <row r="1556" spans="1:12" x14ac:dyDescent="0.25">
      <c r="A1556">
        <v>101752</v>
      </c>
      <c r="B1556" t="s">
        <v>742</v>
      </c>
      <c r="C1556" t="s">
        <v>100</v>
      </c>
      <c r="D1556" t="s">
        <v>1331</v>
      </c>
      <c r="E1556" t="s">
        <v>2032</v>
      </c>
      <c r="F1556" t="s">
        <v>2583</v>
      </c>
      <c r="G1556" t="s">
        <v>2633</v>
      </c>
      <c r="H1556" t="s">
        <v>2597</v>
      </c>
      <c r="I1556">
        <v>20</v>
      </c>
      <c r="J1556">
        <v>571</v>
      </c>
      <c r="K1556" t="s">
        <v>56</v>
      </c>
      <c r="L1556" t="s">
        <v>2588</v>
      </c>
    </row>
    <row r="1557" spans="1:12" x14ac:dyDescent="0.25">
      <c r="A1557">
        <v>101893</v>
      </c>
      <c r="B1557" t="s">
        <v>376</v>
      </c>
      <c r="C1557" t="s">
        <v>22</v>
      </c>
      <c r="D1557" t="s">
        <v>2033</v>
      </c>
      <c r="E1557" t="s">
        <v>2034</v>
      </c>
      <c r="F1557" t="s">
        <v>2583</v>
      </c>
      <c r="G1557" t="s">
        <v>2635</v>
      </c>
      <c r="H1557" t="s">
        <v>18</v>
      </c>
      <c r="I1557">
        <v>0</v>
      </c>
      <c r="J1557">
        <v>340</v>
      </c>
      <c r="K1557" t="s">
        <v>32</v>
      </c>
      <c r="L1557" t="s">
        <v>2582</v>
      </c>
    </row>
    <row r="1558" spans="1:12" x14ac:dyDescent="0.25">
      <c r="A1558">
        <v>101601</v>
      </c>
      <c r="B1558" t="s">
        <v>220</v>
      </c>
      <c r="C1558" t="s">
        <v>152</v>
      </c>
      <c r="D1558" t="s">
        <v>720</v>
      </c>
      <c r="E1558" t="s">
        <v>2035</v>
      </c>
      <c r="F1558" t="s">
        <v>2598</v>
      </c>
      <c r="G1558" t="s">
        <v>2682</v>
      </c>
      <c r="H1558" t="s">
        <v>2581</v>
      </c>
      <c r="I1558">
        <v>0</v>
      </c>
      <c r="J1558">
        <v>710</v>
      </c>
      <c r="K1558" t="s">
        <v>45</v>
      </c>
      <c r="L1558" t="s">
        <v>26</v>
      </c>
    </row>
    <row r="1559" spans="1:12" x14ac:dyDescent="0.25">
      <c r="A1559">
        <v>100867</v>
      </c>
      <c r="B1559" t="s">
        <v>431</v>
      </c>
      <c r="C1559" t="s">
        <v>28</v>
      </c>
      <c r="D1559" t="s">
        <v>633</v>
      </c>
      <c r="E1559" t="s">
        <v>2036</v>
      </c>
      <c r="F1559" t="s">
        <v>64</v>
      </c>
      <c r="G1559" t="s">
        <v>2607</v>
      </c>
      <c r="H1559" t="s">
        <v>83</v>
      </c>
      <c r="I1559">
        <v>0</v>
      </c>
      <c r="J1559">
        <v>691</v>
      </c>
      <c r="K1559" t="s">
        <v>45</v>
      </c>
      <c r="L1559" t="s">
        <v>2582</v>
      </c>
    </row>
    <row r="1560" spans="1:12" x14ac:dyDescent="0.25">
      <c r="A1560">
        <v>101881</v>
      </c>
      <c r="B1560" t="s">
        <v>307</v>
      </c>
      <c r="C1560" t="s">
        <v>58</v>
      </c>
      <c r="D1560" t="s">
        <v>1628</v>
      </c>
      <c r="E1560" t="s">
        <v>3480</v>
      </c>
      <c r="F1560" t="s">
        <v>2640</v>
      </c>
      <c r="G1560" t="s">
        <v>2625</v>
      </c>
      <c r="H1560" t="s">
        <v>2620</v>
      </c>
      <c r="I1560">
        <v>0</v>
      </c>
      <c r="J1560">
        <v>616</v>
      </c>
      <c r="K1560" t="s">
        <v>32</v>
      </c>
      <c r="L1560" t="s">
        <v>2588</v>
      </c>
    </row>
    <row r="1561" spans="1:12" x14ac:dyDescent="0.25">
      <c r="A1561">
        <v>100275</v>
      </c>
      <c r="B1561" t="s">
        <v>278</v>
      </c>
      <c r="C1561" t="s">
        <v>62</v>
      </c>
      <c r="D1561" t="s">
        <v>1418</v>
      </c>
      <c r="E1561" t="s">
        <v>2037</v>
      </c>
      <c r="F1561" t="s">
        <v>41</v>
      </c>
      <c r="G1561" t="s">
        <v>2625</v>
      </c>
      <c r="H1561" t="s">
        <v>83</v>
      </c>
      <c r="I1561">
        <v>0</v>
      </c>
      <c r="J1561">
        <v>713</v>
      </c>
      <c r="K1561" t="s">
        <v>37</v>
      </c>
      <c r="L1561" t="s">
        <v>2582</v>
      </c>
    </row>
    <row r="1562" spans="1:12" x14ac:dyDescent="0.25">
      <c r="A1562">
        <v>101038</v>
      </c>
      <c r="B1562" t="s">
        <v>1026</v>
      </c>
      <c r="C1562" t="s">
        <v>244</v>
      </c>
      <c r="D1562" t="s">
        <v>1543</v>
      </c>
      <c r="E1562" t="s">
        <v>2038</v>
      </c>
      <c r="F1562" t="s">
        <v>2598</v>
      </c>
      <c r="G1562" t="s">
        <v>2596</v>
      </c>
      <c r="H1562" t="s">
        <v>2620</v>
      </c>
      <c r="I1562">
        <v>0</v>
      </c>
      <c r="J1562">
        <v>560</v>
      </c>
      <c r="K1562" t="s">
        <v>19</v>
      </c>
      <c r="L1562" t="s">
        <v>2588</v>
      </c>
    </row>
    <row r="1563" spans="1:12" x14ac:dyDescent="0.25">
      <c r="A1563">
        <v>101553</v>
      </c>
      <c r="B1563" t="s">
        <v>329</v>
      </c>
      <c r="C1563" t="s">
        <v>270</v>
      </c>
      <c r="D1563" t="s">
        <v>1619</v>
      </c>
      <c r="E1563" t="s">
        <v>3481</v>
      </c>
      <c r="F1563" t="s">
        <v>2641</v>
      </c>
      <c r="G1563" t="s">
        <v>2617</v>
      </c>
      <c r="H1563" t="s">
        <v>2587</v>
      </c>
      <c r="J1563">
        <v>328</v>
      </c>
      <c r="K1563" t="s">
        <v>32</v>
      </c>
      <c r="L1563" t="s">
        <v>2588</v>
      </c>
    </row>
    <row r="1564" spans="1:12" x14ac:dyDescent="0.25">
      <c r="A1564">
        <v>100050</v>
      </c>
      <c r="B1564" t="s">
        <v>1535</v>
      </c>
      <c r="C1564" t="s">
        <v>122</v>
      </c>
      <c r="D1564" t="s">
        <v>1240</v>
      </c>
      <c r="E1564" t="s">
        <v>2039</v>
      </c>
      <c r="F1564" t="s">
        <v>2613</v>
      </c>
      <c r="G1564" t="s">
        <v>2609</v>
      </c>
      <c r="H1564" t="s">
        <v>83</v>
      </c>
      <c r="I1564">
        <v>0</v>
      </c>
      <c r="J1564">
        <v>873</v>
      </c>
      <c r="K1564" t="s">
        <v>37</v>
      </c>
      <c r="L1564" t="s">
        <v>2588</v>
      </c>
    </row>
    <row r="1565" spans="1:12" x14ac:dyDescent="0.25">
      <c r="A1565">
        <v>101981</v>
      </c>
      <c r="B1565" t="s">
        <v>866</v>
      </c>
      <c r="C1565" t="s">
        <v>168</v>
      </c>
      <c r="D1565" t="s">
        <v>2040</v>
      </c>
      <c r="E1565" t="s">
        <v>3482</v>
      </c>
      <c r="F1565" t="s">
        <v>2640</v>
      </c>
      <c r="G1565" t="s">
        <v>2617</v>
      </c>
      <c r="H1565" t="s">
        <v>83</v>
      </c>
      <c r="I1565">
        <v>0</v>
      </c>
      <c r="J1565">
        <v>458</v>
      </c>
      <c r="K1565" t="s">
        <v>19</v>
      </c>
      <c r="L1565" t="s">
        <v>2582</v>
      </c>
    </row>
    <row r="1566" spans="1:12" x14ac:dyDescent="0.25">
      <c r="A1566">
        <v>101651</v>
      </c>
      <c r="B1566" t="s">
        <v>805</v>
      </c>
      <c r="C1566" t="s">
        <v>62</v>
      </c>
      <c r="D1566" t="s">
        <v>2041</v>
      </c>
      <c r="E1566" t="s">
        <v>2042</v>
      </c>
      <c r="F1566" t="s">
        <v>2643</v>
      </c>
      <c r="G1566" t="s">
        <v>31</v>
      </c>
      <c r="H1566" t="s">
        <v>2618</v>
      </c>
      <c r="I1566">
        <v>0</v>
      </c>
      <c r="J1566">
        <v>352</v>
      </c>
      <c r="K1566" t="s">
        <v>56</v>
      </c>
      <c r="L1566" t="s">
        <v>26</v>
      </c>
    </row>
    <row r="1567" spans="1:12" x14ac:dyDescent="0.25">
      <c r="A1567">
        <v>100527</v>
      </c>
      <c r="B1567" t="s">
        <v>194</v>
      </c>
      <c r="C1567" t="s">
        <v>47</v>
      </c>
      <c r="D1567" t="s">
        <v>2043</v>
      </c>
      <c r="E1567" t="s">
        <v>2044</v>
      </c>
      <c r="F1567" t="s">
        <v>30</v>
      </c>
      <c r="G1567" t="s">
        <v>60</v>
      </c>
      <c r="H1567" t="s">
        <v>83</v>
      </c>
      <c r="I1567">
        <v>0</v>
      </c>
      <c r="J1567">
        <v>308</v>
      </c>
      <c r="K1567" t="s">
        <v>56</v>
      </c>
      <c r="L1567" t="s">
        <v>26</v>
      </c>
    </row>
    <row r="1568" spans="1:12" x14ac:dyDescent="0.25">
      <c r="A1568">
        <v>100453</v>
      </c>
      <c r="B1568" t="s">
        <v>560</v>
      </c>
      <c r="C1568" t="s">
        <v>39</v>
      </c>
      <c r="E1568" t="s">
        <v>3483</v>
      </c>
      <c r="F1568" t="s">
        <v>2616</v>
      </c>
      <c r="G1568" t="s">
        <v>2584</v>
      </c>
      <c r="H1568" t="s">
        <v>2644</v>
      </c>
      <c r="I1568">
        <v>0</v>
      </c>
      <c r="J1568">
        <v>890</v>
      </c>
      <c r="K1568" t="s">
        <v>19</v>
      </c>
      <c r="L1568" t="s">
        <v>2582</v>
      </c>
    </row>
    <row r="1569" spans="1:12" x14ac:dyDescent="0.25">
      <c r="A1569">
        <v>101839</v>
      </c>
      <c r="B1569" t="s">
        <v>157</v>
      </c>
      <c r="C1569" t="s">
        <v>103</v>
      </c>
      <c r="D1569" t="s">
        <v>475</v>
      </c>
      <c r="E1569" t="s">
        <v>3484</v>
      </c>
      <c r="F1569" t="s">
        <v>2598</v>
      </c>
      <c r="G1569" t="s">
        <v>60</v>
      </c>
      <c r="H1569" t="s">
        <v>2630</v>
      </c>
      <c r="I1569">
        <v>11</v>
      </c>
      <c r="J1569">
        <v>897</v>
      </c>
      <c r="K1569" t="s">
        <v>56</v>
      </c>
      <c r="L1569" t="s">
        <v>2588</v>
      </c>
    </row>
    <row r="1570" spans="1:12" x14ac:dyDescent="0.25">
      <c r="A1570">
        <v>100683</v>
      </c>
      <c r="B1570" t="s">
        <v>767</v>
      </c>
      <c r="C1570" t="s">
        <v>110</v>
      </c>
      <c r="D1570" t="s">
        <v>2045</v>
      </c>
      <c r="E1570" t="s">
        <v>2046</v>
      </c>
      <c r="F1570" t="s">
        <v>2593</v>
      </c>
      <c r="G1570" t="s">
        <v>81</v>
      </c>
      <c r="H1570" t="s">
        <v>2630</v>
      </c>
      <c r="I1570">
        <v>23</v>
      </c>
      <c r="J1570">
        <v>543</v>
      </c>
      <c r="K1570" t="s">
        <v>45</v>
      </c>
      <c r="L1570" t="s">
        <v>2582</v>
      </c>
    </row>
    <row r="1571" spans="1:12" x14ac:dyDescent="0.25">
      <c r="A1571">
        <v>100463</v>
      </c>
      <c r="B1571" t="s">
        <v>329</v>
      </c>
      <c r="C1571" t="s">
        <v>2691</v>
      </c>
      <c r="D1571" t="s">
        <v>1688</v>
      </c>
      <c r="E1571" t="s">
        <v>3485</v>
      </c>
      <c r="F1571" t="s">
        <v>2598</v>
      </c>
      <c r="G1571" t="s">
        <v>2614</v>
      </c>
      <c r="H1571" t="s">
        <v>2587</v>
      </c>
      <c r="I1571">
        <v>0</v>
      </c>
      <c r="J1571">
        <v>328</v>
      </c>
      <c r="K1571" t="s">
        <v>56</v>
      </c>
      <c r="L1571" t="s">
        <v>2588</v>
      </c>
    </row>
    <row r="1572" spans="1:12" x14ac:dyDescent="0.25">
      <c r="A1572">
        <v>101229</v>
      </c>
      <c r="B1572" t="s">
        <v>262</v>
      </c>
      <c r="C1572" t="s">
        <v>134</v>
      </c>
      <c r="D1572" t="s">
        <v>2047</v>
      </c>
      <c r="E1572" t="s">
        <v>2048</v>
      </c>
      <c r="F1572" t="s">
        <v>30</v>
      </c>
      <c r="G1572" t="s">
        <v>2609</v>
      </c>
      <c r="H1572" t="s">
        <v>2644</v>
      </c>
      <c r="I1572">
        <v>0</v>
      </c>
      <c r="J1572">
        <v>399</v>
      </c>
      <c r="K1572" t="s">
        <v>45</v>
      </c>
      <c r="L1572" t="s">
        <v>2582</v>
      </c>
    </row>
    <row r="1573" spans="1:12" x14ac:dyDescent="0.25">
      <c r="A1573">
        <v>100936</v>
      </c>
      <c r="B1573" t="s">
        <v>431</v>
      </c>
      <c r="C1573" t="s">
        <v>28</v>
      </c>
      <c r="D1573" t="s">
        <v>2049</v>
      </c>
      <c r="E1573" t="s">
        <v>3486</v>
      </c>
      <c r="F1573" t="s">
        <v>2629</v>
      </c>
      <c r="G1573" t="s">
        <v>60</v>
      </c>
      <c r="H1573" t="s">
        <v>2618</v>
      </c>
      <c r="I1573">
        <v>0</v>
      </c>
      <c r="J1573">
        <v>691</v>
      </c>
      <c r="K1573" t="s">
        <v>37</v>
      </c>
      <c r="L1573" t="s">
        <v>2582</v>
      </c>
    </row>
    <row r="1574" spans="1:12" x14ac:dyDescent="0.25">
      <c r="A1574">
        <v>101687</v>
      </c>
      <c r="B1574" t="s">
        <v>68</v>
      </c>
      <c r="C1574" t="s">
        <v>52</v>
      </c>
      <c r="D1574" t="s">
        <v>507</v>
      </c>
      <c r="E1574" t="s">
        <v>2050</v>
      </c>
      <c r="F1574" t="s">
        <v>50</v>
      </c>
      <c r="G1574" t="s">
        <v>2607</v>
      </c>
      <c r="H1574" t="s">
        <v>2630</v>
      </c>
      <c r="I1574">
        <v>21</v>
      </c>
      <c r="J1574">
        <v>309</v>
      </c>
      <c r="K1574" t="s">
        <v>56</v>
      </c>
      <c r="L1574" t="s">
        <v>20</v>
      </c>
    </row>
    <row r="1575" spans="1:12" x14ac:dyDescent="0.25">
      <c r="A1575">
        <v>101372</v>
      </c>
      <c r="B1575" t="s">
        <v>109</v>
      </c>
      <c r="C1575" t="s">
        <v>110</v>
      </c>
      <c r="D1575" t="s">
        <v>1336</v>
      </c>
      <c r="E1575" t="s">
        <v>3487</v>
      </c>
      <c r="F1575" t="s">
        <v>2590</v>
      </c>
      <c r="G1575" t="s">
        <v>2602</v>
      </c>
      <c r="H1575" t="s">
        <v>2644</v>
      </c>
      <c r="I1575">
        <v>0</v>
      </c>
      <c r="J1575">
        <v>591</v>
      </c>
      <c r="K1575" t="s">
        <v>19</v>
      </c>
      <c r="L1575" t="s">
        <v>26</v>
      </c>
    </row>
    <row r="1576" spans="1:12" x14ac:dyDescent="0.25">
      <c r="A1576">
        <v>101493</v>
      </c>
      <c r="B1576" t="s">
        <v>329</v>
      </c>
      <c r="C1576" t="s">
        <v>270</v>
      </c>
      <c r="D1576" t="s">
        <v>1939</v>
      </c>
      <c r="E1576" t="s">
        <v>2051</v>
      </c>
      <c r="F1576" t="s">
        <v>2598</v>
      </c>
      <c r="G1576" t="s">
        <v>55</v>
      </c>
      <c r="H1576" t="s">
        <v>2597</v>
      </c>
      <c r="I1576">
        <v>18</v>
      </c>
      <c r="J1576">
        <v>328</v>
      </c>
      <c r="K1576" t="s">
        <v>19</v>
      </c>
      <c r="L1576" t="s">
        <v>20</v>
      </c>
    </row>
    <row r="1577" spans="1:12" x14ac:dyDescent="0.25">
      <c r="A1577">
        <v>100648</v>
      </c>
      <c r="B1577" t="s">
        <v>68</v>
      </c>
      <c r="C1577" t="s">
        <v>52</v>
      </c>
      <c r="D1577" t="s">
        <v>2052</v>
      </c>
      <c r="E1577" t="s">
        <v>2053</v>
      </c>
      <c r="F1577" t="s">
        <v>2646</v>
      </c>
      <c r="G1577" t="s">
        <v>2635</v>
      </c>
      <c r="H1577" t="s">
        <v>2644</v>
      </c>
      <c r="I1577">
        <v>0</v>
      </c>
      <c r="J1577">
        <v>309</v>
      </c>
      <c r="K1577" t="s">
        <v>45</v>
      </c>
      <c r="L1577" t="s">
        <v>20</v>
      </c>
    </row>
    <row r="1578" spans="1:12" x14ac:dyDescent="0.25">
      <c r="A1578">
        <v>102110</v>
      </c>
      <c r="B1578" t="s">
        <v>177</v>
      </c>
      <c r="C1578" t="s">
        <v>85</v>
      </c>
      <c r="D1578" t="s">
        <v>235</v>
      </c>
      <c r="E1578" t="s">
        <v>2054</v>
      </c>
      <c r="F1578" t="s">
        <v>2608</v>
      </c>
      <c r="G1578" t="s">
        <v>2652</v>
      </c>
      <c r="H1578" t="s">
        <v>2594</v>
      </c>
      <c r="I1578">
        <v>164</v>
      </c>
      <c r="J1578">
        <v>375</v>
      </c>
      <c r="K1578" t="s">
        <v>19</v>
      </c>
      <c r="L1578" t="s">
        <v>26</v>
      </c>
    </row>
    <row r="1579" spans="1:12" x14ac:dyDescent="0.25">
      <c r="A1579">
        <v>101058</v>
      </c>
      <c r="B1579" t="s">
        <v>1435</v>
      </c>
      <c r="C1579" t="s">
        <v>47</v>
      </c>
      <c r="D1579" t="s">
        <v>2055</v>
      </c>
      <c r="E1579" t="s">
        <v>2056</v>
      </c>
      <c r="F1579" t="s">
        <v>30</v>
      </c>
      <c r="G1579" t="s">
        <v>2617</v>
      </c>
      <c r="H1579" t="s">
        <v>2587</v>
      </c>
      <c r="I1579">
        <v>0</v>
      </c>
      <c r="J1579">
        <v>744</v>
      </c>
      <c r="K1579" t="s">
        <v>56</v>
      </c>
      <c r="L1579" t="s">
        <v>2582</v>
      </c>
    </row>
    <row r="1580" spans="1:12" x14ac:dyDescent="0.25">
      <c r="A1580">
        <v>101441</v>
      </c>
      <c r="B1580" t="s">
        <v>360</v>
      </c>
      <c r="C1580" t="s">
        <v>149</v>
      </c>
      <c r="D1580" t="s">
        <v>1842</v>
      </c>
      <c r="E1580" t="s">
        <v>3488</v>
      </c>
      <c r="F1580" t="s">
        <v>2579</v>
      </c>
      <c r="G1580" t="s">
        <v>2591</v>
      </c>
      <c r="H1580" t="s">
        <v>2620</v>
      </c>
      <c r="I1580">
        <v>0</v>
      </c>
      <c r="J1580">
        <v>621</v>
      </c>
      <c r="K1580" t="s">
        <v>37</v>
      </c>
      <c r="L1580" t="s">
        <v>2588</v>
      </c>
    </row>
    <row r="1581" spans="1:12" x14ac:dyDescent="0.25">
      <c r="A1581">
        <v>100860</v>
      </c>
      <c r="B1581" t="s">
        <v>364</v>
      </c>
      <c r="C1581" t="s">
        <v>103</v>
      </c>
      <c r="D1581" t="s">
        <v>787</v>
      </c>
      <c r="E1581" t="s">
        <v>2057</v>
      </c>
      <c r="F1581" t="s">
        <v>2629</v>
      </c>
      <c r="G1581" t="s">
        <v>2607</v>
      </c>
      <c r="H1581" t="s">
        <v>2581</v>
      </c>
      <c r="I1581">
        <v>0</v>
      </c>
      <c r="J1581">
        <v>351</v>
      </c>
      <c r="K1581" t="s">
        <v>56</v>
      </c>
      <c r="L1581" t="s">
        <v>26</v>
      </c>
    </row>
    <row r="1582" spans="1:12" x14ac:dyDescent="0.25">
      <c r="A1582">
        <v>100248</v>
      </c>
      <c r="B1582" t="s">
        <v>61</v>
      </c>
      <c r="C1582" t="s">
        <v>62</v>
      </c>
      <c r="D1582" t="s">
        <v>1314</v>
      </c>
      <c r="E1582" t="s">
        <v>3489</v>
      </c>
      <c r="F1582" t="s">
        <v>2629</v>
      </c>
      <c r="G1582" t="s">
        <v>2682</v>
      </c>
      <c r="H1582" t="s">
        <v>2581</v>
      </c>
      <c r="I1582">
        <v>0</v>
      </c>
      <c r="J1582">
        <v>542</v>
      </c>
      <c r="K1582" t="s">
        <v>19</v>
      </c>
      <c r="L1582" t="s">
        <v>26</v>
      </c>
    </row>
    <row r="1583" spans="1:12" x14ac:dyDescent="0.25">
      <c r="A1583">
        <v>100991</v>
      </c>
      <c r="B1583" t="s">
        <v>288</v>
      </c>
      <c r="C1583" t="s">
        <v>85</v>
      </c>
      <c r="D1583" t="s">
        <v>1117</v>
      </c>
      <c r="E1583" t="s">
        <v>2058</v>
      </c>
      <c r="F1583" t="s">
        <v>2646</v>
      </c>
      <c r="G1583" t="s">
        <v>2652</v>
      </c>
      <c r="H1583" t="s">
        <v>2587</v>
      </c>
      <c r="I1583">
        <v>0</v>
      </c>
      <c r="J1583">
        <v>746</v>
      </c>
      <c r="K1583" t="s">
        <v>45</v>
      </c>
      <c r="L1583" t="s">
        <v>2582</v>
      </c>
    </row>
    <row r="1584" spans="1:12" x14ac:dyDescent="0.25">
      <c r="A1584">
        <v>101180</v>
      </c>
      <c r="B1584" t="s">
        <v>1022</v>
      </c>
      <c r="C1584" t="s">
        <v>270</v>
      </c>
      <c r="D1584" t="s">
        <v>2009</v>
      </c>
      <c r="E1584" t="s">
        <v>2059</v>
      </c>
      <c r="F1584" t="s">
        <v>2640</v>
      </c>
      <c r="G1584" t="s">
        <v>2609</v>
      </c>
      <c r="H1584" t="s">
        <v>2587</v>
      </c>
      <c r="I1584">
        <v>0</v>
      </c>
      <c r="J1584">
        <v>383</v>
      </c>
      <c r="K1584" t="s">
        <v>45</v>
      </c>
      <c r="L1584" t="s">
        <v>2582</v>
      </c>
    </row>
    <row r="1585" spans="1:12" x14ac:dyDescent="0.25">
      <c r="A1585">
        <v>101002</v>
      </c>
      <c r="B1585" t="s">
        <v>75</v>
      </c>
      <c r="C1585" t="s">
        <v>39</v>
      </c>
      <c r="D1585" t="s">
        <v>1353</v>
      </c>
      <c r="E1585" t="s">
        <v>3490</v>
      </c>
      <c r="F1585" t="s">
        <v>2643</v>
      </c>
      <c r="G1585" t="s">
        <v>2652</v>
      </c>
      <c r="H1585" t="s">
        <v>2623</v>
      </c>
      <c r="I1585">
        <v>177</v>
      </c>
      <c r="J1585">
        <v>554</v>
      </c>
      <c r="K1585" t="s">
        <v>37</v>
      </c>
      <c r="L1585" t="s">
        <v>26</v>
      </c>
    </row>
    <row r="1586" spans="1:12" x14ac:dyDescent="0.25">
      <c r="A1586">
        <v>101929</v>
      </c>
      <c r="B1586" t="s">
        <v>576</v>
      </c>
      <c r="C1586" t="s">
        <v>22</v>
      </c>
      <c r="D1586" t="s">
        <v>2060</v>
      </c>
      <c r="E1586" t="s">
        <v>3491</v>
      </c>
      <c r="F1586" t="s">
        <v>2590</v>
      </c>
      <c r="G1586" t="s">
        <v>31</v>
      </c>
      <c r="H1586" t="s">
        <v>2597</v>
      </c>
      <c r="I1586">
        <v>14</v>
      </c>
      <c r="J1586">
        <v>418</v>
      </c>
      <c r="K1586" t="s">
        <v>19</v>
      </c>
      <c r="L1586" t="s">
        <v>2588</v>
      </c>
    </row>
    <row r="1587" spans="1:12" x14ac:dyDescent="0.25">
      <c r="A1587">
        <v>101855</v>
      </c>
      <c r="B1587" t="s">
        <v>1435</v>
      </c>
      <c r="C1587" t="s">
        <v>47</v>
      </c>
      <c r="D1587" t="s">
        <v>1101</v>
      </c>
      <c r="E1587" t="s">
        <v>2061</v>
      </c>
      <c r="F1587" t="s">
        <v>2613</v>
      </c>
      <c r="G1587" t="s">
        <v>31</v>
      </c>
      <c r="H1587" t="s">
        <v>2623</v>
      </c>
      <c r="I1587">
        <v>31</v>
      </c>
      <c r="J1587">
        <v>744</v>
      </c>
      <c r="K1587" t="s">
        <v>19</v>
      </c>
      <c r="L1587" t="s">
        <v>20</v>
      </c>
    </row>
    <row r="1588" spans="1:12" x14ac:dyDescent="0.25">
      <c r="A1588">
        <v>100340</v>
      </c>
      <c r="B1588" t="s">
        <v>357</v>
      </c>
      <c r="C1588" t="s">
        <v>62</v>
      </c>
      <c r="D1588" t="s">
        <v>764</v>
      </c>
      <c r="F1588" t="s">
        <v>64</v>
      </c>
      <c r="G1588" t="s">
        <v>2591</v>
      </c>
      <c r="H1588" t="s">
        <v>2630</v>
      </c>
      <c r="I1588">
        <v>12</v>
      </c>
      <c r="J1588">
        <v>345</v>
      </c>
      <c r="K1588" t="s">
        <v>32</v>
      </c>
      <c r="L1588" t="s">
        <v>2588</v>
      </c>
    </row>
    <row r="1589" spans="1:12" x14ac:dyDescent="0.25">
      <c r="A1589">
        <v>101582</v>
      </c>
      <c r="B1589" t="s">
        <v>204</v>
      </c>
      <c r="C1589" t="s">
        <v>152</v>
      </c>
      <c r="D1589" t="s">
        <v>2062</v>
      </c>
      <c r="E1589" t="s">
        <v>3492</v>
      </c>
      <c r="F1589" t="s">
        <v>2646</v>
      </c>
      <c r="G1589" t="s">
        <v>2635</v>
      </c>
      <c r="H1589" t="s">
        <v>2620</v>
      </c>
      <c r="I1589">
        <v>0</v>
      </c>
      <c r="J1589">
        <v>362</v>
      </c>
      <c r="K1589" t="s">
        <v>45</v>
      </c>
      <c r="L1589" t="s">
        <v>26</v>
      </c>
    </row>
    <row r="1590" spans="1:12" x14ac:dyDescent="0.25">
      <c r="A1590">
        <v>100217</v>
      </c>
      <c r="B1590" t="s">
        <v>94</v>
      </c>
      <c r="C1590" t="s">
        <v>95</v>
      </c>
      <c r="D1590" t="s">
        <v>2063</v>
      </c>
      <c r="E1590" t="s">
        <v>3493</v>
      </c>
      <c r="F1590" t="s">
        <v>2598</v>
      </c>
      <c r="G1590" t="s">
        <v>2631</v>
      </c>
      <c r="H1590" t="s">
        <v>2581</v>
      </c>
      <c r="I1590">
        <v>0</v>
      </c>
      <c r="J1590">
        <v>360</v>
      </c>
      <c r="K1590" t="s">
        <v>32</v>
      </c>
      <c r="L1590" t="s">
        <v>26</v>
      </c>
    </row>
    <row r="1591" spans="1:12" x14ac:dyDescent="0.25">
      <c r="A1591">
        <v>100240</v>
      </c>
      <c r="B1591" t="s">
        <v>232</v>
      </c>
      <c r="C1591" t="s">
        <v>152</v>
      </c>
      <c r="D1591" t="s">
        <v>2064</v>
      </c>
      <c r="F1591" t="s">
        <v>2604</v>
      </c>
      <c r="G1591" t="s">
        <v>2609</v>
      </c>
      <c r="H1591" t="s">
        <v>2581</v>
      </c>
      <c r="I1591">
        <v>0</v>
      </c>
      <c r="J1591">
        <v>781</v>
      </c>
      <c r="K1591" t="s">
        <v>56</v>
      </c>
      <c r="L1591" t="s">
        <v>2582</v>
      </c>
    </row>
    <row r="1592" spans="1:12" x14ac:dyDescent="0.25">
      <c r="A1592">
        <v>101277</v>
      </c>
      <c r="B1592" t="s">
        <v>262</v>
      </c>
      <c r="C1592" t="s">
        <v>134</v>
      </c>
      <c r="D1592" t="s">
        <v>432</v>
      </c>
      <c r="E1592" t="s">
        <v>3494</v>
      </c>
      <c r="F1592" t="s">
        <v>2643</v>
      </c>
      <c r="G1592" t="s">
        <v>2658</v>
      </c>
      <c r="H1592" t="s">
        <v>2581</v>
      </c>
      <c r="I1592">
        <v>0</v>
      </c>
      <c r="J1592">
        <v>399</v>
      </c>
      <c r="K1592" t="s">
        <v>45</v>
      </c>
      <c r="L1592" t="s">
        <v>26</v>
      </c>
    </row>
    <row r="1593" spans="1:12" x14ac:dyDescent="0.25">
      <c r="A1593">
        <v>100544</v>
      </c>
      <c r="B1593" t="s">
        <v>1303</v>
      </c>
      <c r="C1593" t="s">
        <v>2634</v>
      </c>
      <c r="D1593" t="s">
        <v>2065</v>
      </c>
      <c r="E1593" t="s">
        <v>2066</v>
      </c>
      <c r="F1593" t="s">
        <v>2598</v>
      </c>
      <c r="G1593" t="s">
        <v>2602</v>
      </c>
      <c r="H1593" t="s">
        <v>2587</v>
      </c>
      <c r="I1593">
        <v>0</v>
      </c>
      <c r="J1593">
        <v>788</v>
      </c>
      <c r="K1593" t="s">
        <v>45</v>
      </c>
      <c r="L1593" t="s">
        <v>2588</v>
      </c>
    </row>
    <row r="1594" spans="1:12" x14ac:dyDescent="0.25">
      <c r="A1594">
        <v>101984</v>
      </c>
      <c r="B1594" t="s">
        <v>986</v>
      </c>
      <c r="C1594" t="s">
        <v>28</v>
      </c>
      <c r="D1594" t="s">
        <v>1178</v>
      </c>
      <c r="E1594" t="s">
        <v>3068</v>
      </c>
      <c r="F1594" t="s">
        <v>2579</v>
      </c>
      <c r="G1594" t="s">
        <v>2611</v>
      </c>
      <c r="H1594" t="s">
        <v>2618</v>
      </c>
      <c r="I1594">
        <v>0</v>
      </c>
      <c r="J1594">
        <v>459</v>
      </c>
      <c r="K1594" t="s">
        <v>19</v>
      </c>
    </row>
    <row r="1595" spans="1:12" x14ac:dyDescent="0.25">
      <c r="A1595">
        <v>101518</v>
      </c>
      <c r="B1595" t="s">
        <v>322</v>
      </c>
      <c r="C1595" t="s">
        <v>13</v>
      </c>
      <c r="D1595" t="s">
        <v>1835</v>
      </c>
      <c r="E1595" t="s">
        <v>3495</v>
      </c>
      <c r="F1595" t="s">
        <v>64</v>
      </c>
      <c r="G1595" t="s">
        <v>2633</v>
      </c>
      <c r="H1595" t="s">
        <v>83</v>
      </c>
      <c r="I1595">
        <v>0</v>
      </c>
      <c r="J1595">
        <v>623</v>
      </c>
      <c r="K1595" t="s">
        <v>45</v>
      </c>
      <c r="L1595" t="s">
        <v>2588</v>
      </c>
    </row>
    <row r="1596" spans="1:12" x14ac:dyDescent="0.25">
      <c r="A1596">
        <v>101489</v>
      </c>
      <c r="B1596" t="s">
        <v>832</v>
      </c>
      <c r="C1596" t="s">
        <v>2664</v>
      </c>
      <c r="D1596" t="s">
        <v>2067</v>
      </c>
      <c r="E1596" t="s">
        <v>3496</v>
      </c>
      <c r="F1596" t="s">
        <v>2640</v>
      </c>
      <c r="G1596" t="s">
        <v>81</v>
      </c>
      <c r="H1596" t="s">
        <v>2581</v>
      </c>
      <c r="I1596">
        <v>0</v>
      </c>
      <c r="J1596">
        <v>641</v>
      </c>
      <c r="K1596" t="s">
        <v>32</v>
      </c>
      <c r="L1596" t="s">
        <v>26</v>
      </c>
    </row>
    <row r="1597" spans="1:12" x14ac:dyDescent="0.25">
      <c r="A1597">
        <v>101416</v>
      </c>
      <c r="B1597" t="s">
        <v>908</v>
      </c>
      <c r="C1597" t="s">
        <v>2940</v>
      </c>
      <c r="D1597" t="s">
        <v>387</v>
      </c>
      <c r="E1597" t="s">
        <v>3497</v>
      </c>
      <c r="F1597" t="s">
        <v>2604</v>
      </c>
      <c r="G1597" t="s">
        <v>2609</v>
      </c>
      <c r="H1597" t="s">
        <v>18</v>
      </c>
      <c r="I1597">
        <v>0</v>
      </c>
      <c r="J1597">
        <v>550</v>
      </c>
      <c r="K1597" t="s">
        <v>19</v>
      </c>
      <c r="L1597" t="s">
        <v>2582</v>
      </c>
    </row>
    <row r="1598" spans="1:12" x14ac:dyDescent="0.25">
      <c r="A1598">
        <v>100439</v>
      </c>
      <c r="B1598" t="s">
        <v>1373</v>
      </c>
      <c r="C1598" t="s">
        <v>122</v>
      </c>
      <c r="D1598" t="s">
        <v>2068</v>
      </c>
      <c r="E1598" t="s">
        <v>3498</v>
      </c>
      <c r="F1598" t="s">
        <v>41</v>
      </c>
      <c r="G1598" t="s">
        <v>2617</v>
      </c>
      <c r="H1598" t="s">
        <v>25</v>
      </c>
      <c r="I1598">
        <v>4</v>
      </c>
      <c r="J1598">
        <v>359</v>
      </c>
      <c r="K1598" t="s">
        <v>45</v>
      </c>
      <c r="L1598" t="s">
        <v>20</v>
      </c>
    </row>
    <row r="1599" spans="1:12" x14ac:dyDescent="0.25">
      <c r="A1599">
        <v>101269</v>
      </c>
      <c r="B1599" t="s">
        <v>1402</v>
      </c>
      <c r="C1599" t="s">
        <v>100</v>
      </c>
      <c r="D1599" t="s">
        <v>2069</v>
      </c>
      <c r="E1599" t="s">
        <v>2070</v>
      </c>
      <c r="F1599" t="s">
        <v>2613</v>
      </c>
      <c r="G1599" t="s">
        <v>31</v>
      </c>
      <c r="H1599" t="s">
        <v>2620</v>
      </c>
      <c r="I1599">
        <v>0</v>
      </c>
      <c r="J1599">
        <v>588</v>
      </c>
      <c r="K1599" t="s">
        <v>56</v>
      </c>
      <c r="L1599" t="s">
        <v>20</v>
      </c>
    </row>
    <row r="1600" spans="1:12" x14ac:dyDescent="0.25">
      <c r="A1600">
        <v>100861</v>
      </c>
      <c r="B1600" t="s">
        <v>325</v>
      </c>
      <c r="C1600" t="s">
        <v>126</v>
      </c>
      <c r="D1600" t="s">
        <v>2071</v>
      </c>
      <c r="E1600" t="s">
        <v>2072</v>
      </c>
      <c r="F1600" t="s">
        <v>41</v>
      </c>
      <c r="G1600" t="s">
        <v>2602</v>
      </c>
      <c r="H1600" t="s">
        <v>18</v>
      </c>
      <c r="I1600">
        <v>0</v>
      </c>
      <c r="J1600">
        <v>570</v>
      </c>
      <c r="K1600" t="s">
        <v>32</v>
      </c>
      <c r="L1600" t="s">
        <v>2588</v>
      </c>
    </row>
    <row r="1601" spans="1:12" x14ac:dyDescent="0.25">
      <c r="A1601">
        <v>100951</v>
      </c>
      <c r="B1601" t="s">
        <v>1535</v>
      </c>
      <c r="C1601" t="s">
        <v>122</v>
      </c>
      <c r="D1601" t="s">
        <v>556</v>
      </c>
      <c r="E1601" t="s">
        <v>3499</v>
      </c>
      <c r="F1601" t="s">
        <v>2579</v>
      </c>
      <c r="G1601" t="s">
        <v>2600</v>
      </c>
      <c r="H1601" t="s">
        <v>42</v>
      </c>
      <c r="I1601">
        <v>152</v>
      </c>
      <c r="J1601">
        <v>873</v>
      </c>
      <c r="K1601" t="s">
        <v>56</v>
      </c>
      <c r="L1601" t="s">
        <v>2588</v>
      </c>
    </row>
    <row r="1602" spans="1:12" x14ac:dyDescent="0.25">
      <c r="A1602">
        <v>100327</v>
      </c>
      <c r="B1602" t="s">
        <v>581</v>
      </c>
      <c r="C1602" t="s">
        <v>103</v>
      </c>
      <c r="D1602" t="s">
        <v>1362</v>
      </c>
      <c r="E1602" t="s">
        <v>3500</v>
      </c>
      <c r="F1602" t="s">
        <v>2593</v>
      </c>
      <c r="G1602" t="s">
        <v>2591</v>
      </c>
      <c r="H1602" t="s">
        <v>2630</v>
      </c>
      <c r="I1602">
        <v>13</v>
      </c>
      <c r="J1602">
        <v>435</v>
      </c>
      <c r="K1602" t="s">
        <v>19</v>
      </c>
      <c r="L1602" t="s">
        <v>2582</v>
      </c>
    </row>
    <row r="1603" spans="1:12" x14ac:dyDescent="0.25">
      <c r="A1603">
        <v>100227</v>
      </c>
      <c r="B1603" t="s">
        <v>807</v>
      </c>
      <c r="C1603" t="s">
        <v>85</v>
      </c>
      <c r="D1603" t="s">
        <v>2073</v>
      </c>
      <c r="E1603" t="s">
        <v>2074</v>
      </c>
      <c r="F1603" t="s">
        <v>2593</v>
      </c>
      <c r="G1603" t="s">
        <v>2635</v>
      </c>
      <c r="H1603" t="s">
        <v>2587</v>
      </c>
      <c r="I1603">
        <v>0</v>
      </c>
      <c r="J1603">
        <v>443</v>
      </c>
      <c r="K1603" t="s">
        <v>32</v>
      </c>
      <c r="L1603" t="s">
        <v>26</v>
      </c>
    </row>
    <row r="1604" spans="1:12" x14ac:dyDescent="0.25">
      <c r="A1604">
        <v>101355</v>
      </c>
      <c r="B1604" t="s">
        <v>259</v>
      </c>
      <c r="C1604" t="s">
        <v>218</v>
      </c>
      <c r="D1604" t="s">
        <v>290</v>
      </c>
      <c r="E1604" t="s">
        <v>291</v>
      </c>
      <c r="F1604" t="s">
        <v>2640</v>
      </c>
      <c r="G1604" t="s">
        <v>2652</v>
      </c>
      <c r="H1604" t="s">
        <v>2630</v>
      </c>
      <c r="I1604">
        <v>13</v>
      </c>
      <c r="J1604">
        <v>732</v>
      </c>
      <c r="K1604" t="s">
        <v>45</v>
      </c>
      <c r="L1604" t="s">
        <v>26</v>
      </c>
    </row>
    <row r="1605" spans="1:12" x14ac:dyDescent="0.25">
      <c r="A1605">
        <v>101490</v>
      </c>
      <c r="B1605" t="s">
        <v>177</v>
      </c>
      <c r="C1605" t="s">
        <v>85</v>
      </c>
      <c r="D1605" t="s">
        <v>2075</v>
      </c>
      <c r="E1605" t="s">
        <v>3501</v>
      </c>
      <c r="F1605" t="s">
        <v>50</v>
      </c>
      <c r="G1605" t="s">
        <v>2617</v>
      </c>
      <c r="H1605" t="s">
        <v>25</v>
      </c>
      <c r="I1605">
        <v>22</v>
      </c>
      <c r="J1605">
        <v>375</v>
      </c>
      <c r="K1605" t="s">
        <v>19</v>
      </c>
      <c r="L1605" t="s">
        <v>2588</v>
      </c>
    </row>
    <row r="1606" spans="1:12" x14ac:dyDescent="0.25">
      <c r="A1606">
        <v>100554</v>
      </c>
      <c r="B1606" t="s">
        <v>347</v>
      </c>
      <c r="C1606" t="s">
        <v>95</v>
      </c>
      <c r="D1606" t="s">
        <v>588</v>
      </c>
      <c r="E1606" t="s">
        <v>3502</v>
      </c>
      <c r="F1606" t="s">
        <v>2654</v>
      </c>
      <c r="G1606" t="s">
        <v>2652</v>
      </c>
      <c r="H1606" t="s">
        <v>2623</v>
      </c>
      <c r="I1606">
        <v>166</v>
      </c>
      <c r="J1606">
        <v>699</v>
      </c>
      <c r="K1606" t="s">
        <v>37</v>
      </c>
      <c r="L1606" t="s">
        <v>2582</v>
      </c>
    </row>
    <row r="1607" spans="1:12" x14ac:dyDescent="0.25">
      <c r="A1607">
        <v>100062</v>
      </c>
      <c r="B1607" t="s">
        <v>204</v>
      </c>
      <c r="C1607" t="s">
        <v>152</v>
      </c>
      <c r="D1607" t="s">
        <v>2076</v>
      </c>
      <c r="E1607" t="s">
        <v>2077</v>
      </c>
      <c r="F1607" t="s">
        <v>2640</v>
      </c>
      <c r="G1607" t="s">
        <v>2609</v>
      </c>
      <c r="H1607" t="s">
        <v>2594</v>
      </c>
      <c r="I1607">
        <v>165</v>
      </c>
      <c r="J1607">
        <v>362</v>
      </c>
      <c r="K1607" t="s">
        <v>37</v>
      </c>
      <c r="L1607" t="s">
        <v>20</v>
      </c>
    </row>
    <row r="1608" spans="1:12" x14ac:dyDescent="0.25">
      <c r="A1608">
        <v>101964</v>
      </c>
      <c r="B1608" t="s">
        <v>61</v>
      </c>
      <c r="C1608" t="s">
        <v>62</v>
      </c>
      <c r="D1608" t="s">
        <v>653</v>
      </c>
      <c r="E1608" t="s">
        <v>3503</v>
      </c>
      <c r="F1608" t="s">
        <v>2593</v>
      </c>
      <c r="G1608" t="s">
        <v>2611</v>
      </c>
      <c r="H1608" t="s">
        <v>2630</v>
      </c>
      <c r="I1608">
        <v>25</v>
      </c>
      <c r="J1608">
        <v>542</v>
      </c>
      <c r="K1608" t="s">
        <v>56</v>
      </c>
      <c r="L1608" t="s">
        <v>2582</v>
      </c>
    </row>
    <row r="1609" spans="1:12" x14ac:dyDescent="0.25">
      <c r="A1609">
        <v>101443</v>
      </c>
      <c r="B1609" t="s">
        <v>232</v>
      </c>
      <c r="C1609" t="s">
        <v>152</v>
      </c>
      <c r="D1609" t="s">
        <v>1198</v>
      </c>
      <c r="E1609" t="s">
        <v>2078</v>
      </c>
      <c r="F1609" t="s">
        <v>2593</v>
      </c>
      <c r="G1609" t="s">
        <v>2631</v>
      </c>
      <c r="H1609" t="s">
        <v>2587</v>
      </c>
      <c r="I1609">
        <v>0</v>
      </c>
      <c r="J1609">
        <v>781</v>
      </c>
      <c r="K1609" t="s">
        <v>19</v>
      </c>
      <c r="L1609" t="s">
        <v>20</v>
      </c>
    </row>
    <row r="1610" spans="1:12" x14ac:dyDescent="0.25">
      <c r="A1610">
        <v>101964</v>
      </c>
      <c r="B1610" t="s">
        <v>61</v>
      </c>
      <c r="C1610" t="s">
        <v>62</v>
      </c>
      <c r="D1610" t="s">
        <v>653</v>
      </c>
      <c r="E1610" t="s">
        <v>3503</v>
      </c>
      <c r="F1610" t="s">
        <v>2593</v>
      </c>
      <c r="G1610" t="s">
        <v>2611</v>
      </c>
      <c r="H1610" t="s">
        <v>2630</v>
      </c>
      <c r="I1610">
        <v>25</v>
      </c>
      <c r="J1610">
        <v>542</v>
      </c>
      <c r="K1610" t="s">
        <v>56</v>
      </c>
      <c r="L1610" t="s">
        <v>2582</v>
      </c>
    </row>
    <row r="1611" spans="1:12" x14ac:dyDescent="0.25">
      <c r="A1611">
        <v>100946</v>
      </c>
      <c r="B1611" t="s">
        <v>1259</v>
      </c>
      <c r="C1611" t="s">
        <v>2696</v>
      </c>
      <c r="D1611" t="s">
        <v>1366</v>
      </c>
      <c r="E1611" t="s">
        <v>3119</v>
      </c>
      <c r="F1611" t="s">
        <v>2613</v>
      </c>
      <c r="G1611" t="s">
        <v>2591</v>
      </c>
      <c r="H1611" t="s">
        <v>18</v>
      </c>
      <c r="I1611">
        <v>0</v>
      </c>
      <c r="J1611">
        <v>748</v>
      </c>
      <c r="K1611" t="s">
        <v>32</v>
      </c>
      <c r="L1611" t="s">
        <v>2582</v>
      </c>
    </row>
    <row r="1612" spans="1:12" x14ac:dyDescent="0.25">
      <c r="A1612">
        <v>101563</v>
      </c>
      <c r="B1612" t="s">
        <v>251</v>
      </c>
      <c r="C1612" t="s">
        <v>2621</v>
      </c>
      <c r="D1612" t="s">
        <v>2079</v>
      </c>
      <c r="E1612" t="s">
        <v>3504</v>
      </c>
      <c r="F1612" t="s">
        <v>50</v>
      </c>
      <c r="G1612" t="s">
        <v>2580</v>
      </c>
      <c r="H1612" t="s">
        <v>2587</v>
      </c>
      <c r="I1612">
        <v>0</v>
      </c>
      <c r="J1612">
        <v>673</v>
      </c>
      <c r="K1612" t="s">
        <v>56</v>
      </c>
      <c r="L1612" t="s">
        <v>26</v>
      </c>
    </row>
    <row r="1613" spans="1:12" x14ac:dyDescent="0.25">
      <c r="A1613">
        <v>100156</v>
      </c>
      <c r="B1613" t="s">
        <v>601</v>
      </c>
      <c r="C1613" t="s">
        <v>2703</v>
      </c>
      <c r="D1613" t="s">
        <v>2080</v>
      </c>
      <c r="E1613" t="s">
        <v>2081</v>
      </c>
      <c r="F1613" t="s">
        <v>64</v>
      </c>
      <c r="G1613" t="s">
        <v>31</v>
      </c>
      <c r="H1613" t="s">
        <v>2581</v>
      </c>
      <c r="I1613">
        <v>0</v>
      </c>
      <c r="J1613">
        <v>849</v>
      </c>
      <c r="K1613" t="s">
        <v>37</v>
      </c>
      <c r="L1613" t="s">
        <v>2582</v>
      </c>
    </row>
    <row r="1614" spans="1:12" x14ac:dyDescent="0.25">
      <c r="A1614">
        <v>102054</v>
      </c>
      <c r="B1614" t="s">
        <v>1155</v>
      </c>
      <c r="C1614" t="s">
        <v>218</v>
      </c>
      <c r="D1614" t="s">
        <v>2082</v>
      </c>
      <c r="E1614" t="s">
        <v>2083</v>
      </c>
      <c r="F1614" t="s">
        <v>41</v>
      </c>
      <c r="G1614" t="s">
        <v>2591</v>
      </c>
      <c r="H1614" t="s">
        <v>83</v>
      </c>
      <c r="I1614">
        <v>0</v>
      </c>
      <c r="J1614">
        <v>557</v>
      </c>
      <c r="K1614" t="s">
        <v>37</v>
      </c>
      <c r="L1614" t="s">
        <v>2582</v>
      </c>
    </row>
    <row r="1615" spans="1:12" x14ac:dyDescent="0.25">
      <c r="A1615">
        <v>101696</v>
      </c>
      <c r="B1615" t="s">
        <v>481</v>
      </c>
      <c r="C1615" t="s">
        <v>168</v>
      </c>
      <c r="D1615" t="s">
        <v>2084</v>
      </c>
      <c r="E1615" t="s">
        <v>2085</v>
      </c>
      <c r="F1615" t="s">
        <v>2598</v>
      </c>
      <c r="G1615" t="s">
        <v>2600</v>
      </c>
      <c r="H1615" t="s">
        <v>2585</v>
      </c>
      <c r="I1615">
        <v>11</v>
      </c>
      <c r="J1615">
        <v>548</v>
      </c>
      <c r="K1615" t="s">
        <v>45</v>
      </c>
      <c r="L1615" t="s">
        <v>2588</v>
      </c>
    </row>
    <row r="1616" spans="1:12" x14ac:dyDescent="0.25">
      <c r="A1616">
        <v>102149</v>
      </c>
      <c r="B1616" t="s">
        <v>599</v>
      </c>
      <c r="C1616" t="s">
        <v>52</v>
      </c>
      <c r="D1616" t="s">
        <v>1989</v>
      </c>
      <c r="E1616" t="s">
        <v>3505</v>
      </c>
      <c r="F1616" t="s">
        <v>41</v>
      </c>
      <c r="G1616" t="s">
        <v>2580</v>
      </c>
      <c r="H1616" t="s">
        <v>2587</v>
      </c>
      <c r="I1616">
        <v>0</v>
      </c>
      <c r="J1616">
        <v>552</v>
      </c>
      <c r="K1616" t="s">
        <v>56</v>
      </c>
      <c r="L1616" t="s">
        <v>20</v>
      </c>
    </row>
    <row r="1617" spans="1:12" x14ac:dyDescent="0.25">
      <c r="A1617">
        <v>101107</v>
      </c>
      <c r="B1617" t="s">
        <v>798</v>
      </c>
      <c r="D1617" t="s">
        <v>1167</v>
      </c>
      <c r="E1617" t="s">
        <v>2086</v>
      </c>
      <c r="F1617" t="s">
        <v>30</v>
      </c>
      <c r="G1617" t="s">
        <v>60</v>
      </c>
      <c r="H1617" t="s">
        <v>25</v>
      </c>
      <c r="I1617">
        <v>6</v>
      </c>
      <c r="J1617">
        <v>555</v>
      </c>
      <c r="K1617" t="s">
        <v>19</v>
      </c>
      <c r="L1617" t="s">
        <v>20</v>
      </c>
    </row>
    <row r="1618" spans="1:12" x14ac:dyDescent="0.25">
      <c r="A1618">
        <v>101655</v>
      </c>
      <c r="B1618" t="s">
        <v>460</v>
      </c>
      <c r="C1618" t="s">
        <v>95</v>
      </c>
      <c r="D1618" t="s">
        <v>2087</v>
      </c>
      <c r="E1618" t="s">
        <v>3506</v>
      </c>
      <c r="F1618" t="s">
        <v>41</v>
      </c>
      <c r="G1618" t="s">
        <v>2652</v>
      </c>
      <c r="H1618" t="s">
        <v>2581</v>
      </c>
      <c r="I1618">
        <v>0</v>
      </c>
      <c r="J1618">
        <v>716</v>
      </c>
      <c r="K1618" t="s">
        <v>56</v>
      </c>
      <c r="L1618" t="s">
        <v>2582</v>
      </c>
    </row>
    <row r="1619" spans="1:12" x14ac:dyDescent="0.25">
      <c r="A1619">
        <v>101391</v>
      </c>
      <c r="B1619" t="s">
        <v>427</v>
      </c>
      <c r="C1619" t="s">
        <v>244</v>
      </c>
      <c r="D1619" t="s">
        <v>688</v>
      </c>
      <c r="E1619" t="s">
        <v>2088</v>
      </c>
      <c r="F1619" t="s">
        <v>2648</v>
      </c>
      <c r="G1619" t="s">
        <v>81</v>
      </c>
      <c r="H1619" t="s">
        <v>2581</v>
      </c>
      <c r="I1619">
        <v>0</v>
      </c>
      <c r="J1619">
        <v>740</v>
      </c>
      <c r="K1619" t="s">
        <v>32</v>
      </c>
      <c r="L1619" t="s">
        <v>2582</v>
      </c>
    </row>
    <row r="1620" spans="1:12" x14ac:dyDescent="0.25">
      <c r="A1620">
        <v>100662</v>
      </c>
      <c r="B1620" t="s">
        <v>478</v>
      </c>
      <c r="C1620" t="s">
        <v>218</v>
      </c>
      <c r="D1620" t="s">
        <v>2089</v>
      </c>
      <c r="E1620" t="s">
        <v>3507</v>
      </c>
      <c r="F1620" t="s">
        <v>2593</v>
      </c>
      <c r="G1620" t="s">
        <v>2631</v>
      </c>
      <c r="H1620" t="s">
        <v>2587</v>
      </c>
      <c r="I1620">
        <v>0</v>
      </c>
      <c r="J1620">
        <v>712</v>
      </c>
      <c r="K1620" t="s">
        <v>19</v>
      </c>
      <c r="L1620" t="s">
        <v>26</v>
      </c>
    </row>
    <row r="1621" spans="1:12" x14ac:dyDescent="0.25">
      <c r="A1621">
        <v>100349</v>
      </c>
      <c r="B1621" t="s">
        <v>1203</v>
      </c>
      <c r="C1621" t="s">
        <v>187</v>
      </c>
      <c r="D1621" t="s">
        <v>2090</v>
      </c>
      <c r="E1621" t="s">
        <v>2091</v>
      </c>
      <c r="F1621" t="s">
        <v>2641</v>
      </c>
      <c r="G1621" t="s">
        <v>2602</v>
      </c>
      <c r="H1621" t="s">
        <v>2587</v>
      </c>
      <c r="I1621">
        <v>0</v>
      </c>
      <c r="J1621">
        <v>752</v>
      </c>
      <c r="L1621" t="s">
        <v>2582</v>
      </c>
    </row>
    <row r="1622" spans="1:12" x14ac:dyDescent="0.25">
      <c r="A1622">
        <v>101575</v>
      </c>
      <c r="B1622" t="s">
        <v>451</v>
      </c>
      <c r="C1622" t="s">
        <v>103</v>
      </c>
      <c r="D1622" t="s">
        <v>2092</v>
      </c>
      <c r="E1622" t="s">
        <v>3508</v>
      </c>
      <c r="F1622" t="s">
        <v>2648</v>
      </c>
      <c r="G1622" t="s">
        <v>2607</v>
      </c>
      <c r="H1622" t="s">
        <v>2581</v>
      </c>
      <c r="I1622">
        <v>0</v>
      </c>
      <c r="J1622">
        <v>418</v>
      </c>
      <c r="K1622" t="s">
        <v>19</v>
      </c>
      <c r="L1622" t="s">
        <v>2582</v>
      </c>
    </row>
    <row r="1623" spans="1:12" x14ac:dyDescent="0.25">
      <c r="A1623">
        <v>100298</v>
      </c>
      <c r="B1623" t="s">
        <v>631</v>
      </c>
      <c r="C1623" t="s">
        <v>2786</v>
      </c>
      <c r="D1623" t="s">
        <v>2093</v>
      </c>
      <c r="E1623" t="s">
        <v>2094</v>
      </c>
      <c r="F1623" t="s">
        <v>2613</v>
      </c>
      <c r="G1623" t="s">
        <v>2607</v>
      </c>
      <c r="H1623" t="s">
        <v>18</v>
      </c>
      <c r="I1623">
        <v>0</v>
      </c>
      <c r="J1623">
        <v>544</v>
      </c>
      <c r="K1623" t="s">
        <v>32</v>
      </c>
      <c r="L1623" t="s">
        <v>20</v>
      </c>
    </row>
    <row r="1624" spans="1:12" x14ac:dyDescent="0.25">
      <c r="A1624">
        <v>100167</v>
      </c>
      <c r="B1624" t="s">
        <v>1163</v>
      </c>
      <c r="C1624" t="s">
        <v>13</v>
      </c>
      <c r="D1624" t="s">
        <v>2095</v>
      </c>
      <c r="E1624" t="s">
        <v>2096</v>
      </c>
      <c r="F1624" t="s">
        <v>2643</v>
      </c>
      <c r="G1624" t="s">
        <v>60</v>
      </c>
      <c r="H1624" t="s">
        <v>42</v>
      </c>
      <c r="I1624">
        <v>50</v>
      </c>
      <c r="J1624">
        <v>850</v>
      </c>
      <c r="K1624" t="s">
        <v>45</v>
      </c>
      <c r="L1624" t="s">
        <v>20</v>
      </c>
    </row>
    <row r="1625" spans="1:12" x14ac:dyDescent="0.25">
      <c r="A1625">
        <v>101954</v>
      </c>
      <c r="B1625" t="s">
        <v>703</v>
      </c>
      <c r="C1625" t="s">
        <v>52</v>
      </c>
      <c r="D1625" t="s">
        <v>2097</v>
      </c>
      <c r="E1625" t="s">
        <v>3509</v>
      </c>
      <c r="F1625" t="s">
        <v>2629</v>
      </c>
      <c r="G1625" t="s">
        <v>2658</v>
      </c>
      <c r="H1625" t="s">
        <v>2587</v>
      </c>
      <c r="I1625">
        <v>0</v>
      </c>
      <c r="J1625">
        <v>609</v>
      </c>
      <c r="K1625" t="s">
        <v>19</v>
      </c>
      <c r="L1625" t="s">
        <v>20</v>
      </c>
    </row>
    <row r="1626" spans="1:12" x14ac:dyDescent="0.25">
      <c r="A1626">
        <v>100536</v>
      </c>
      <c r="B1626" t="s">
        <v>1026</v>
      </c>
      <c r="C1626" t="s">
        <v>244</v>
      </c>
      <c r="D1626" t="s">
        <v>2098</v>
      </c>
      <c r="E1626" t="s">
        <v>3510</v>
      </c>
      <c r="F1626" t="s">
        <v>41</v>
      </c>
      <c r="G1626" t="s">
        <v>2591</v>
      </c>
      <c r="H1626" t="s">
        <v>2594</v>
      </c>
      <c r="I1626">
        <v>44</v>
      </c>
      <c r="J1626">
        <v>560</v>
      </c>
      <c r="K1626" t="s">
        <v>45</v>
      </c>
      <c r="L1626" t="s">
        <v>26</v>
      </c>
    </row>
    <row r="1627" spans="1:12" x14ac:dyDescent="0.25">
      <c r="A1627">
        <v>102173</v>
      </c>
      <c r="B1627" t="s">
        <v>825</v>
      </c>
      <c r="C1627" t="s">
        <v>58</v>
      </c>
      <c r="D1627" t="s">
        <v>1753</v>
      </c>
      <c r="E1627" t="s">
        <v>3511</v>
      </c>
      <c r="F1627" t="s">
        <v>30</v>
      </c>
      <c r="G1627" t="s">
        <v>2596</v>
      </c>
      <c r="H1627" t="s">
        <v>2623</v>
      </c>
      <c r="I1627">
        <v>41</v>
      </c>
      <c r="J1627">
        <v>636</v>
      </c>
      <c r="K1627" t="s">
        <v>56</v>
      </c>
      <c r="L1627" t="s">
        <v>2588</v>
      </c>
    </row>
    <row r="1628" spans="1:12" x14ac:dyDescent="0.25">
      <c r="A1628">
        <v>100205</v>
      </c>
      <c r="B1628" t="s">
        <v>1663</v>
      </c>
      <c r="C1628" t="s">
        <v>100</v>
      </c>
      <c r="D1628" t="s">
        <v>2099</v>
      </c>
      <c r="E1628" t="s">
        <v>3512</v>
      </c>
      <c r="F1628" t="s">
        <v>2629</v>
      </c>
      <c r="G1628" t="s">
        <v>31</v>
      </c>
      <c r="H1628" t="s">
        <v>18</v>
      </c>
      <c r="J1628">
        <v>452</v>
      </c>
      <c r="K1628" t="s">
        <v>45</v>
      </c>
      <c r="L1628" t="s">
        <v>20</v>
      </c>
    </row>
    <row r="1629" spans="1:12" x14ac:dyDescent="0.25">
      <c r="A1629">
        <v>101570</v>
      </c>
      <c r="B1629" t="s">
        <v>601</v>
      </c>
      <c r="C1629" t="s">
        <v>100</v>
      </c>
      <c r="D1629" t="s">
        <v>2100</v>
      </c>
      <c r="E1629" t="s">
        <v>2101</v>
      </c>
      <c r="F1629" t="s">
        <v>41</v>
      </c>
      <c r="G1629" t="s">
        <v>2617</v>
      </c>
      <c r="H1629" t="s">
        <v>2620</v>
      </c>
      <c r="I1629">
        <v>0</v>
      </c>
      <c r="J1629">
        <v>849</v>
      </c>
      <c r="L1629" t="s">
        <v>2588</v>
      </c>
    </row>
    <row r="1630" spans="1:12" x14ac:dyDescent="0.25">
      <c r="A1630">
        <v>100907</v>
      </c>
      <c r="B1630" t="s">
        <v>194</v>
      </c>
      <c r="C1630" t="s">
        <v>47</v>
      </c>
      <c r="D1630" t="s">
        <v>2102</v>
      </c>
      <c r="E1630" t="s">
        <v>2103</v>
      </c>
      <c r="F1630" t="s">
        <v>2616</v>
      </c>
      <c r="G1630" t="s">
        <v>2602</v>
      </c>
      <c r="H1630" t="s">
        <v>2620</v>
      </c>
      <c r="I1630">
        <v>0</v>
      </c>
      <c r="J1630">
        <v>308</v>
      </c>
      <c r="K1630" t="s">
        <v>37</v>
      </c>
      <c r="L1630" t="s">
        <v>2582</v>
      </c>
    </row>
    <row r="1631" spans="1:12" x14ac:dyDescent="0.25">
      <c r="A1631">
        <v>100914</v>
      </c>
      <c r="B1631" t="s">
        <v>936</v>
      </c>
      <c r="C1631" t="s">
        <v>110</v>
      </c>
      <c r="D1631" t="s">
        <v>2104</v>
      </c>
      <c r="E1631" t="s">
        <v>3513</v>
      </c>
      <c r="F1631" t="s">
        <v>41</v>
      </c>
      <c r="G1631" t="s">
        <v>2596</v>
      </c>
      <c r="H1631" t="s">
        <v>2620</v>
      </c>
      <c r="I1631">
        <v>0</v>
      </c>
      <c r="J1631">
        <v>508</v>
      </c>
      <c r="K1631" t="s">
        <v>32</v>
      </c>
      <c r="L1631" t="s">
        <v>26</v>
      </c>
    </row>
    <row r="1632" spans="1:12" x14ac:dyDescent="0.25">
      <c r="A1632">
        <v>101630</v>
      </c>
      <c r="B1632" t="s">
        <v>504</v>
      </c>
      <c r="C1632" t="s">
        <v>187</v>
      </c>
      <c r="D1632" t="s">
        <v>634</v>
      </c>
      <c r="E1632" t="s">
        <v>3514</v>
      </c>
      <c r="F1632" t="s">
        <v>2627</v>
      </c>
      <c r="G1632" t="s">
        <v>2591</v>
      </c>
      <c r="H1632" t="s">
        <v>2644</v>
      </c>
      <c r="I1632">
        <v>0</v>
      </c>
      <c r="J1632">
        <v>494</v>
      </c>
      <c r="K1632" t="s">
        <v>19</v>
      </c>
      <c r="L1632" t="s">
        <v>2582</v>
      </c>
    </row>
    <row r="1633" spans="1:12" x14ac:dyDescent="0.25">
      <c r="A1633">
        <v>102163</v>
      </c>
      <c r="B1633" t="s">
        <v>162</v>
      </c>
      <c r="C1633" t="s">
        <v>13</v>
      </c>
      <c r="D1633" t="s">
        <v>2105</v>
      </c>
      <c r="E1633" t="s">
        <v>2106</v>
      </c>
      <c r="F1633" t="s">
        <v>2640</v>
      </c>
      <c r="G1633" t="s">
        <v>2652</v>
      </c>
      <c r="H1633" t="s">
        <v>42</v>
      </c>
      <c r="I1633">
        <v>62</v>
      </c>
      <c r="J1633">
        <v>410</v>
      </c>
      <c r="K1633" t="s">
        <v>45</v>
      </c>
      <c r="L1633" t="s">
        <v>20</v>
      </c>
    </row>
    <row r="1634" spans="1:12" x14ac:dyDescent="0.25">
      <c r="A1634">
        <v>100187</v>
      </c>
      <c r="B1634" t="s">
        <v>545</v>
      </c>
      <c r="C1634" t="s">
        <v>126</v>
      </c>
      <c r="D1634" t="s">
        <v>1256</v>
      </c>
      <c r="E1634" t="s">
        <v>2107</v>
      </c>
      <c r="F1634" t="s">
        <v>2604</v>
      </c>
      <c r="G1634" t="s">
        <v>81</v>
      </c>
      <c r="H1634" t="s">
        <v>2587</v>
      </c>
      <c r="I1634">
        <v>0</v>
      </c>
      <c r="J1634">
        <v>494</v>
      </c>
      <c r="K1634" t="s">
        <v>56</v>
      </c>
      <c r="L1634" t="s">
        <v>20</v>
      </c>
    </row>
    <row r="1635" spans="1:12" x14ac:dyDescent="0.25">
      <c r="A1635">
        <v>100778</v>
      </c>
      <c r="B1635" t="s">
        <v>51</v>
      </c>
      <c r="C1635" t="s">
        <v>52</v>
      </c>
      <c r="D1635" t="s">
        <v>1186</v>
      </c>
      <c r="E1635" t="s">
        <v>2108</v>
      </c>
      <c r="F1635" t="s">
        <v>2627</v>
      </c>
      <c r="G1635" t="s">
        <v>2602</v>
      </c>
      <c r="H1635" t="s">
        <v>18</v>
      </c>
      <c r="I1635">
        <v>0</v>
      </c>
      <c r="J1635">
        <v>567</v>
      </c>
      <c r="K1635" t="s">
        <v>19</v>
      </c>
      <c r="L1635" t="s">
        <v>26</v>
      </c>
    </row>
    <row r="1636" spans="1:12" x14ac:dyDescent="0.25">
      <c r="A1636">
        <v>100431</v>
      </c>
      <c r="B1636" t="s">
        <v>601</v>
      </c>
      <c r="C1636" t="s">
        <v>100</v>
      </c>
      <c r="D1636" t="s">
        <v>1733</v>
      </c>
      <c r="E1636" t="s">
        <v>3328</v>
      </c>
      <c r="F1636" t="s">
        <v>2608</v>
      </c>
      <c r="G1636" t="s">
        <v>2625</v>
      </c>
      <c r="H1636" t="s">
        <v>18</v>
      </c>
      <c r="I1636">
        <v>0</v>
      </c>
      <c r="J1636">
        <v>849</v>
      </c>
      <c r="K1636" t="s">
        <v>56</v>
      </c>
      <c r="L1636" t="s">
        <v>26</v>
      </c>
    </row>
    <row r="1637" spans="1:12" x14ac:dyDescent="0.25">
      <c r="A1637">
        <v>100600</v>
      </c>
      <c r="B1637" t="s">
        <v>451</v>
      </c>
      <c r="C1637" t="s">
        <v>103</v>
      </c>
      <c r="D1637" t="s">
        <v>2109</v>
      </c>
      <c r="E1637" t="s">
        <v>2110</v>
      </c>
      <c r="F1637" t="s">
        <v>2613</v>
      </c>
      <c r="G1637" t="s">
        <v>2584</v>
      </c>
      <c r="H1637" t="s">
        <v>2644</v>
      </c>
      <c r="J1637">
        <v>418</v>
      </c>
      <c r="K1637" t="s">
        <v>45</v>
      </c>
      <c r="L1637" t="s">
        <v>2582</v>
      </c>
    </row>
    <row r="1638" spans="1:12" x14ac:dyDescent="0.25">
      <c r="A1638">
        <v>101034</v>
      </c>
      <c r="B1638" t="s">
        <v>765</v>
      </c>
      <c r="C1638" t="s">
        <v>22</v>
      </c>
      <c r="D1638" t="s">
        <v>2111</v>
      </c>
      <c r="E1638" t="s">
        <v>3515</v>
      </c>
      <c r="F1638" t="s">
        <v>2643</v>
      </c>
      <c r="G1638" t="s">
        <v>2580</v>
      </c>
      <c r="H1638" t="s">
        <v>2587</v>
      </c>
      <c r="I1638">
        <v>0</v>
      </c>
      <c r="J1638">
        <v>851</v>
      </c>
      <c r="L1638" t="s">
        <v>26</v>
      </c>
    </row>
    <row r="1639" spans="1:12" x14ac:dyDescent="0.25">
      <c r="A1639">
        <v>100011</v>
      </c>
      <c r="B1639" t="s">
        <v>179</v>
      </c>
      <c r="C1639" t="s">
        <v>149</v>
      </c>
      <c r="D1639" t="s">
        <v>2041</v>
      </c>
      <c r="E1639" t="s">
        <v>2112</v>
      </c>
      <c r="F1639" t="s">
        <v>41</v>
      </c>
      <c r="G1639" t="s">
        <v>2600</v>
      </c>
      <c r="H1639" t="s">
        <v>2618</v>
      </c>
      <c r="I1639">
        <v>0</v>
      </c>
      <c r="J1639">
        <v>518</v>
      </c>
      <c r="K1639" t="s">
        <v>32</v>
      </c>
      <c r="L1639" t="s">
        <v>2582</v>
      </c>
    </row>
    <row r="1640" spans="1:12" x14ac:dyDescent="0.25">
      <c r="A1640">
        <v>101274</v>
      </c>
      <c r="B1640" t="s">
        <v>563</v>
      </c>
      <c r="C1640" t="s">
        <v>58</v>
      </c>
      <c r="D1640" t="s">
        <v>1459</v>
      </c>
      <c r="E1640" t="s">
        <v>3516</v>
      </c>
      <c r="F1640" t="s">
        <v>2608</v>
      </c>
      <c r="H1640" t="s">
        <v>2620</v>
      </c>
      <c r="I1640">
        <v>0</v>
      </c>
      <c r="J1640">
        <v>893</v>
      </c>
      <c r="K1640" t="s">
        <v>56</v>
      </c>
      <c r="L1640" t="s">
        <v>2582</v>
      </c>
    </row>
    <row r="1641" spans="1:12" x14ac:dyDescent="0.25">
      <c r="A1641">
        <v>101305</v>
      </c>
      <c r="B1641" t="s">
        <v>619</v>
      </c>
      <c r="C1641" t="s">
        <v>244</v>
      </c>
      <c r="D1641" t="s">
        <v>933</v>
      </c>
      <c r="E1641" t="s">
        <v>2113</v>
      </c>
      <c r="F1641" t="s">
        <v>50</v>
      </c>
      <c r="G1641" t="s">
        <v>2631</v>
      </c>
      <c r="H1641" t="s">
        <v>2620</v>
      </c>
      <c r="I1641">
        <v>0</v>
      </c>
      <c r="J1641">
        <v>351</v>
      </c>
      <c r="K1641" t="s">
        <v>45</v>
      </c>
      <c r="L1641" t="s">
        <v>20</v>
      </c>
    </row>
    <row r="1642" spans="1:12" x14ac:dyDescent="0.25">
      <c r="A1642">
        <v>101234</v>
      </c>
      <c r="B1642" t="s">
        <v>534</v>
      </c>
      <c r="C1642" t="s">
        <v>39</v>
      </c>
      <c r="D1642" t="s">
        <v>2114</v>
      </c>
      <c r="E1642" t="s">
        <v>2115</v>
      </c>
      <c r="F1642" t="s">
        <v>41</v>
      </c>
      <c r="G1642" t="s">
        <v>2600</v>
      </c>
      <c r="H1642" t="s">
        <v>18</v>
      </c>
      <c r="I1642">
        <v>0</v>
      </c>
      <c r="J1642">
        <v>592</v>
      </c>
      <c r="K1642" t="s">
        <v>45</v>
      </c>
      <c r="L1642" t="s">
        <v>2582</v>
      </c>
    </row>
    <row r="1643" spans="1:12" x14ac:dyDescent="0.25">
      <c r="A1643">
        <v>100556</v>
      </c>
      <c r="B1643" t="s">
        <v>241</v>
      </c>
      <c r="C1643" t="s">
        <v>2728</v>
      </c>
      <c r="D1643" t="s">
        <v>876</v>
      </c>
      <c r="E1643" t="s">
        <v>2116</v>
      </c>
      <c r="F1643" t="s">
        <v>2643</v>
      </c>
      <c r="G1643" t="s">
        <v>81</v>
      </c>
      <c r="H1643" t="s">
        <v>2587</v>
      </c>
      <c r="J1643">
        <v>468</v>
      </c>
      <c r="K1643" t="s">
        <v>56</v>
      </c>
      <c r="L1643" t="s">
        <v>26</v>
      </c>
    </row>
    <row r="1644" spans="1:12" x14ac:dyDescent="0.25">
      <c r="A1644">
        <v>100290</v>
      </c>
      <c r="B1644" t="s">
        <v>986</v>
      </c>
      <c r="C1644" t="s">
        <v>2723</v>
      </c>
      <c r="D1644" t="s">
        <v>2117</v>
      </c>
      <c r="E1644" t="s">
        <v>3517</v>
      </c>
      <c r="F1644" t="s">
        <v>64</v>
      </c>
      <c r="G1644" t="s">
        <v>2652</v>
      </c>
      <c r="H1644" t="s">
        <v>42</v>
      </c>
      <c r="I1644">
        <v>101</v>
      </c>
      <c r="J1644">
        <v>459</v>
      </c>
      <c r="K1644" t="s">
        <v>37</v>
      </c>
      <c r="L1644" t="s">
        <v>20</v>
      </c>
    </row>
    <row r="1645" spans="1:12" x14ac:dyDescent="0.25">
      <c r="A1645">
        <v>100428</v>
      </c>
      <c r="B1645" t="s">
        <v>1036</v>
      </c>
      <c r="C1645" t="s">
        <v>149</v>
      </c>
      <c r="D1645" t="s">
        <v>991</v>
      </c>
      <c r="E1645" t="s">
        <v>3518</v>
      </c>
      <c r="F1645" t="s">
        <v>2616</v>
      </c>
      <c r="G1645" t="s">
        <v>2631</v>
      </c>
      <c r="H1645" t="s">
        <v>2644</v>
      </c>
      <c r="I1645">
        <v>0</v>
      </c>
      <c r="J1645">
        <v>358</v>
      </c>
      <c r="K1645" t="s">
        <v>19</v>
      </c>
      <c r="L1645" t="s">
        <v>20</v>
      </c>
    </row>
    <row r="1646" spans="1:12" x14ac:dyDescent="0.25">
      <c r="A1646">
        <v>101586</v>
      </c>
      <c r="B1646" t="s">
        <v>794</v>
      </c>
      <c r="C1646" t="s">
        <v>52</v>
      </c>
      <c r="D1646" t="s">
        <v>2118</v>
      </c>
      <c r="E1646" t="s">
        <v>2119</v>
      </c>
      <c r="F1646" t="s">
        <v>2613</v>
      </c>
      <c r="G1646" t="s">
        <v>2635</v>
      </c>
      <c r="H1646" t="s">
        <v>2644</v>
      </c>
      <c r="I1646">
        <v>0</v>
      </c>
      <c r="J1646">
        <v>733</v>
      </c>
      <c r="L1646" t="s">
        <v>2588</v>
      </c>
    </row>
    <row r="1647" spans="1:12" x14ac:dyDescent="0.25">
      <c r="A1647">
        <v>102000</v>
      </c>
      <c r="B1647" t="s">
        <v>148</v>
      </c>
      <c r="D1647" t="s">
        <v>2120</v>
      </c>
      <c r="F1647" t="s">
        <v>2629</v>
      </c>
      <c r="G1647" t="s">
        <v>2602</v>
      </c>
      <c r="H1647" t="s">
        <v>18</v>
      </c>
      <c r="I1647">
        <v>0</v>
      </c>
      <c r="J1647">
        <v>876</v>
      </c>
      <c r="K1647" t="s">
        <v>45</v>
      </c>
      <c r="L1647" t="s">
        <v>26</v>
      </c>
    </row>
    <row r="1648" spans="1:12" x14ac:dyDescent="0.25">
      <c r="A1648">
        <v>101323</v>
      </c>
      <c r="B1648" t="s">
        <v>184</v>
      </c>
      <c r="C1648" t="s">
        <v>62</v>
      </c>
      <c r="D1648" t="s">
        <v>1405</v>
      </c>
      <c r="E1648" t="s">
        <v>3519</v>
      </c>
      <c r="F1648" t="s">
        <v>41</v>
      </c>
      <c r="G1648" t="s">
        <v>60</v>
      </c>
      <c r="H1648" t="s">
        <v>2585</v>
      </c>
      <c r="I1648">
        <v>4</v>
      </c>
      <c r="J1648">
        <v>571</v>
      </c>
      <c r="K1648" t="s">
        <v>45</v>
      </c>
      <c r="L1648" t="s">
        <v>2582</v>
      </c>
    </row>
    <row r="1649" spans="1:12" x14ac:dyDescent="0.25">
      <c r="A1649">
        <v>101592</v>
      </c>
      <c r="B1649" t="s">
        <v>585</v>
      </c>
      <c r="C1649" t="s">
        <v>270</v>
      </c>
      <c r="D1649" t="s">
        <v>1662</v>
      </c>
      <c r="E1649" t="s">
        <v>2121</v>
      </c>
      <c r="F1649" t="s">
        <v>2641</v>
      </c>
      <c r="G1649" t="s">
        <v>81</v>
      </c>
      <c r="H1649" t="s">
        <v>2618</v>
      </c>
      <c r="I1649">
        <v>0</v>
      </c>
      <c r="J1649">
        <v>814</v>
      </c>
      <c r="K1649" t="s">
        <v>32</v>
      </c>
    </row>
    <row r="1650" spans="1:12" x14ac:dyDescent="0.25">
      <c r="A1650">
        <v>100122</v>
      </c>
      <c r="B1650" t="s">
        <v>462</v>
      </c>
      <c r="C1650" t="s">
        <v>168</v>
      </c>
      <c r="D1650" t="s">
        <v>1294</v>
      </c>
      <c r="F1650" t="s">
        <v>50</v>
      </c>
      <c r="G1650" t="s">
        <v>2633</v>
      </c>
      <c r="H1650" t="s">
        <v>83</v>
      </c>
      <c r="I1650">
        <v>0</v>
      </c>
      <c r="J1650">
        <v>716</v>
      </c>
      <c r="K1650" t="s">
        <v>56</v>
      </c>
      <c r="L1650" t="s">
        <v>20</v>
      </c>
    </row>
    <row r="1651" spans="1:12" x14ac:dyDescent="0.25">
      <c r="A1651">
        <v>100657</v>
      </c>
      <c r="B1651" t="s">
        <v>297</v>
      </c>
      <c r="C1651" t="s">
        <v>72</v>
      </c>
      <c r="D1651" t="s">
        <v>2122</v>
      </c>
      <c r="E1651" t="s">
        <v>3520</v>
      </c>
      <c r="F1651" t="s">
        <v>41</v>
      </c>
      <c r="G1651" t="s">
        <v>81</v>
      </c>
      <c r="H1651" t="s">
        <v>2618</v>
      </c>
      <c r="I1651">
        <v>0</v>
      </c>
      <c r="J1651">
        <v>878</v>
      </c>
      <c r="K1651" t="s">
        <v>37</v>
      </c>
      <c r="L1651" t="s">
        <v>2582</v>
      </c>
    </row>
    <row r="1652" spans="1:12" x14ac:dyDescent="0.25">
      <c r="A1652">
        <v>101778</v>
      </c>
      <c r="B1652" t="s">
        <v>292</v>
      </c>
      <c r="C1652" t="s">
        <v>149</v>
      </c>
      <c r="D1652" t="s">
        <v>944</v>
      </c>
      <c r="E1652" t="s">
        <v>3521</v>
      </c>
      <c r="F1652" t="s">
        <v>2604</v>
      </c>
      <c r="G1652" t="s">
        <v>2617</v>
      </c>
      <c r="H1652" t="s">
        <v>83</v>
      </c>
      <c r="I1652">
        <v>0</v>
      </c>
      <c r="J1652">
        <v>466</v>
      </c>
      <c r="K1652" t="s">
        <v>37</v>
      </c>
      <c r="L1652" t="s">
        <v>26</v>
      </c>
    </row>
    <row r="1653" spans="1:12" x14ac:dyDescent="0.25">
      <c r="A1653">
        <v>100152</v>
      </c>
      <c r="B1653" t="s">
        <v>329</v>
      </c>
      <c r="C1653" t="s">
        <v>270</v>
      </c>
      <c r="D1653" t="s">
        <v>1551</v>
      </c>
      <c r="E1653" t="s">
        <v>2123</v>
      </c>
      <c r="F1653" t="s">
        <v>2646</v>
      </c>
      <c r="G1653" t="s">
        <v>55</v>
      </c>
      <c r="H1653" t="s">
        <v>2630</v>
      </c>
      <c r="I1653">
        <v>4</v>
      </c>
      <c r="J1653">
        <v>328</v>
      </c>
      <c r="K1653" t="s">
        <v>32</v>
      </c>
      <c r="L1653" t="s">
        <v>2588</v>
      </c>
    </row>
    <row r="1654" spans="1:12" x14ac:dyDescent="0.25">
      <c r="A1654">
        <v>101960</v>
      </c>
      <c r="B1654" t="s">
        <v>2124</v>
      </c>
      <c r="C1654" t="s">
        <v>2664</v>
      </c>
      <c r="D1654" t="s">
        <v>2125</v>
      </c>
      <c r="E1654" t="s">
        <v>3522</v>
      </c>
      <c r="F1654" t="s">
        <v>2593</v>
      </c>
      <c r="G1654" t="s">
        <v>2682</v>
      </c>
      <c r="H1654" t="s">
        <v>2644</v>
      </c>
      <c r="I1654">
        <v>0</v>
      </c>
      <c r="J1654">
        <v>340</v>
      </c>
      <c r="K1654" t="s">
        <v>56</v>
      </c>
      <c r="L1654" t="s">
        <v>20</v>
      </c>
    </row>
    <row r="1655" spans="1:12" x14ac:dyDescent="0.25">
      <c r="A1655">
        <v>101137</v>
      </c>
      <c r="B1655" t="s">
        <v>329</v>
      </c>
      <c r="C1655" t="s">
        <v>270</v>
      </c>
      <c r="D1655" t="s">
        <v>2126</v>
      </c>
      <c r="E1655" t="s">
        <v>2127</v>
      </c>
      <c r="F1655" t="s">
        <v>2583</v>
      </c>
      <c r="G1655" t="s">
        <v>81</v>
      </c>
      <c r="H1655" t="s">
        <v>2620</v>
      </c>
      <c r="I1655">
        <v>0</v>
      </c>
      <c r="J1655">
        <v>328</v>
      </c>
      <c r="K1655" t="s">
        <v>19</v>
      </c>
      <c r="L1655" t="s">
        <v>2582</v>
      </c>
    </row>
    <row r="1656" spans="1:12" x14ac:dyDescent="0.25">
      <c r="A1656">
        <v>101877</v>
      </c>
      <c r="B1656" t="s">
        <v>241</v>
      </c>
      <c r="C1656" t="s">
        <v>58</v>
      </c>
      <c r="D1656" t="s">
        <v>114</v>
      </c>
      <c r="E1656" t="s">
        <v>2128</v>
      </c>
      <c r="F1656" t="s">
        <v>2583</v>
      </c>
      <c r="G1656" t="s">
        <v>2596</v>
      </c>
      <c r="H1656" t="s">
        <v>83</v>
      </c>
      <c r="I1656">
        <v>0</v>
      </c>
      <c r="J1656">
        <v>468</v>
      </c>
      <c r="K1656" t="s">
        <v>32</v>
      </c>
      <c r="L1656" t="s">
        <v>20</v>
      </c>
    </row>
    <row r="1657" spans="1:12" x14ac:dyDescent="0.25">
      <c r="A1657">
        <v>101448</v>
      </c>
      <c r="B1657" t="s">
        <v>742</v>
      </c>
      <c r="C1657" t="s">
        <v>100</v>
      </c>
      <c r="D1657" t="s">
        <v>2129</v>
      </c>
      <c r="E1657" t="s">
        <v>3523</v>
      </c>
      <c r="F1657" t="s">
        <v>2648</v>
      </c>
      <c r="G1657" t="s">
        <v>2611</v>
      </c>
      <c r="H1657" t="s">
        <v>2618</v>
      </c>
      <c r="I1657">
        <v>0</v>
      </c>
      <c r="J1657">
        <v>571</v>
      </c>
      <c r="L1657" t="s">
        <v>2582</v>
      </c>
    </row>
    <row r="1658" spans="1:12" x14ac:dyDescent="0.25">
      <c r="A1658">
        <v>101511</v>
      </c>
      <c r="B1658" t="s">
        <v>364</v>
      </c>
      <c r="C1658" t="s">
        <v>103</v>
      </c>
      <c r="D1658" t="s">
        <v>522</v>
      </c>
      <c r="E1658" t="s">
        <v>3524</v>
      </c>
      <c r="F1658" t="s">
        <v>2604</v>
      </c>
      <c r="G1658" t="s">
        <v>2609</v>
      </c>
      <c r="H1658" t="s">
        <v>2587</v>
      </c>
      <c r="I1658">
        <v>0</v>
      </c>
      <c r="J1658">
        <v>351</v>
      </c>
      <c r="K1658" t="s">
        <v>32</v>
      </c>
      <c r="L1658" t="s">
        <v>20</v>
      </c>
    </row>
    <row r="1659" spans="1:12" x14ac:dyDescent="0.25">
      <c r="A1659">
        <v>100131</v>
      </c>
      <c r="B1659" t="s">
        <v>592</v>
      </c>
      <c r="C1659" t="s">
        <v>47</v>
      </c>
      <c r="D1659" t="s">
        <v>2130</v>
      </c>
      <c r="E1659" t="s">
        <v>2131</v>
      </c>
      <c r="F1659" t="s">
        <v>2648</v>
      </c>
      <c r="G1659" t="s">
        <v>2617</v>
      </c>
      <c r="H1659" t="s">
        <v>2620</v>
      </c>
      <c r="I1659">
        <v>0</v>
      </c>
      <c r="J1659">
        <v>332</v>
      </c>
      <c r="K1659" t="s">
        <v>32</v>
      </c>
      <c r="L1659" t="s">
        <v>20</v>
      </c>
    </row>
    <row r="1660" spans="1:12" x14ac:dyDescent="0.25">
      <c r="A1660">
        <v>101486</v>
      </c>
      <c r="B1660" t="s">
        <v>162</v>
      </c>
      <c r="C1660" t="s">
        <v>13</v>
      </c>
      <c r="D1660" t="s">
        <v>2132</v>
      </c>
      <c r="E1660" t="s">
        <v>2133</v>
      </c>
      <c r="F1660" t="s">
        <v>50</v>
      </c>
      <c r="G1660" t="s">
        <v>2682</v>
      </c>
      <c r="H1660" t="s">
        <v>83</v>
      </c>
      <c r="I1660">
        <v>0</v>
      </c>
      <c r="J1660">
        <v>410</v>
      </c>
      <c r="K1660" t="s">
        <v>37</v>
      </c>
      <c r="L1660" t="s">
        <v>26</v>
      </c>
    </row>
    <row r="1661" spans="1:12" x14ac:dyDescent="0.25">
      <c r="A1661">
        <v>100851</v>
      </c>
      <c r="B1661" t="s">
        <v>908</v>
      </c>
      <c r="C1661" t="s">
        <v>110</v>
      </c>
      <c r="D1661" t="s">
        <v>1474</v>
      </c>
      <c r="E1661" t="s">
        <v>3525</v>
      </c>
      <c r="F1661" t="s">
        <v>2641</v>
      </c>
      <c r="G1661" t="s">
        <v>2682</v>
      </c>
      <c r="H1661" t="s">
        <v>2620</v>
      </c>
      <c r="I1661">
        <v>0</v>
      </c>
      <c r="J1661">
        <v>550</v>
      </c>
      <c r="K1661" t="s">
        <v>56</v>
      </c>
      <c r="L1661" t="s">
        <v>2582</v>
      </c>
    </row>
    <row r="1662" spans="1:12" x14ac:dyDescent="0.25">
      <c r="A1662">
        <v>100134</v>
      </c>
      <c r="B1662" t="s">
        <v>367</v>
      </c>
      <c r="C1662" t="s">
        <v>103</v>
      </c>
      <c r="E1662" t="s">
        <v>2134</v>
      </c>
      <c r="F1662" t="s">
        <v>30</v>
      </c>
      <c r="G1662" t="s">
        <v>2625</v>
      </c>
      <c r="H1662" t="s">
        <v>42</v>
      </c>
      <c r="I1662">
        <v>123</v>
      </c>
      <c r="J1662">
        <v>621</v>
      </c>
      <c r="K1662" t="s">
        <v>37</v>
      </c>
      <c r="L1662" t="s">
        <v>2582</v>
      </c>
    </row>
    <row r="1663" spans="1:12" x14ac:dyDescent="0.25">
      <c r="A1663">
        <v>100001</v>
      </c>
      <c r="B1663" t="s">
        <v>266</v>
      </c>
      <c r="C1663" t="s">
        <v>122</v>
      </c>
      <c r="D1663" t="s">
        <v>295</v>
      </c>
      <c r="E1663" t="s">
        <v>2135</v>
      </c>
      <c r="F1663" t="s">
        <v>2579</v>
      </c>
      <c r="G1663" t="s">
        <v>55</v>
      </c>
      <c r="H1663" t="s">
        <v>2618</v>
      </c>
      <c r="I1663">
        <v>0</v>
      </c>
      <c r="J1663">
        <v>504</v>
      </c>
      <c r="K1663" t="s">
        <v>56</v>
      </c>
      <c r="L1663" t="s">
        <v>2582</v>
      </c>
    </row>
    <row r="1664" spans="1:12" x14ac:dyDescent="0.25">
      <c r="A1664">
        <v>102041</v>
      </c>
      <c r="B1664" t="s">
        <v>129</v>
      </c>
      <c r="C1664" t="s">
        <v>13</v>
      </c>
      <c r="D1664" t="s">
        <v>2136</v>
      </c>
      <c r="E1664" t="s">
        <v>3526</v>
      </c>
      <c r="F1664" t="s">
        <v>41</v>
      </c>
      <c r="G1664" t="s">
        <v>2617</v>
      </c>
      <c r="H1664" t="s">
        <v>2587</v>
      </c>
      <c r="I1664">
        <v>0</v>
      </c>
      <c r="J1664">
        <v>336</v>
      </c>
      <c r="K1664" t="s">
        <v>19</v>
      </c>
      <c r="L1664" t="s">
        <v>26</v>
      </c>
    </row>
    <row r="1665" spans="1:12" x14ac:dyDescent="0.25">
      <c r="A1665">
        <v>102034</v>
      </c>
      <c r="B1665" t="s">
        <v>177</v>
      </c>
      <c r="C1665" t="s">
        <v>85</v>
      </c>
      <c r="D1665" t="s">
        <v>484</v>
      </c>
      <c r="E1665" t="s">
        <v>3527</v>
      </c>
      <c r="F1665" t="s">
        <v>2579</v>
      </c>
      <c r="H1665" t="s">
        <v>2620</v>
      </c>
      <c r="I1665">
        <v>0</v>
      </c>
      <c r="J1665">
        <v>375</v>
      </c>
      <c r="K1665" t="s">
        <v>56</v>
      </c>
      <c r="L1665" t="s">
        <v>20</v>
      </c>
    </row>
    <row r="1666" spans="1:12" x14ac:dyDescent="0.25">
      <c r="A1666">
        <v>101961</v>
      </c>
      <c r="B1666" t="s">
        <v>779</v>
      </c>
      <c r="C1666" t="s">
        <v>39</v>
      </c>
      <c r="D1666" t="s">
        <v>1815</v>
      </c>
      <c r="E1666" t="s">
        <v>3528</v>
      </c>
      <c r="F1666" t="s">
        <v>30</v>
      </c>
      <c r="G1666" t="s">
        <v>2611</v>
      </c>
      <c r="H1666" t="s">
        <v>2623</v>
      </c>
      <c r="I1666">
        <v>86</v>
      </c>
      <c r="J1666">
        <v>402</v>
      </c>
      <c r="K1666" t="s">
        <v>37</v>
      </c>
    </row>
    <row r="1667" spans="1:12" x14ac:dyDescent="0.25">
      <c r="A1667">
        <v>100700</v>
      </c>
      <c r="B1667" t="s">
        <v>91</v>
      </c>
      <c r="C1667" t="s">
        <v>58</v>
      </c>
      <c r="D1667" t="s">
        <v>964</v>
      </c>
      <c r="E1667" t="s">
        <v>2137</v>
      </c>
      <c r="F1667" t="s">
        <v>2593</v>
      </c>
      <c r="G1667" t="s">
        <v>2591</v>
      </c>
      <c r="H1667" t="s">
        <v>2581</v>
      </c>
      <c r="I1667">
        <v>0</v>
      </c>
      <c r="J1667">
        <v>769</v>
      </c>
      <c r="K1667" t="s">
        <v>19</v>
      </c>
      <c r="L1667" t="s">
        <v>2582</v>
      </c>
    </row>
    <row r="1668" spans="1:12" x14ac:dyDescent="0.25">
      <c r="A1668">
        <v>101783</v>
      </c>
      <c r="B1668" t="s">
        <v>506</v>
      </c>
      <c r="C1668" t="s">
        <v>58</v>
      </c>
      <c r="D1668" t="s">
        <v>203</v>
      </c>
      <c r="E1668" t="s">
        <v>3529</v>
      </c>
      <c r="F1668" t="s">
        <v>50</v>
      </c>
      <c r="G1668" t="s">
        <v>2607</v>
      </c>
      <c r="H1668" t="s">
        <v>2587</v>
      </c>
      <c r="I1668">
        <v>0</v>
      </c>
      <c r="J1668">
        <v>394</v>
      </c>
      <c r="K1668" t="s">
        <v>32</v>
      </c>
      <c r="L1668" t="s">
        <v>26</v>
      </c>
    </row>
    <row r="1669" spans="1:12" x14ac:dyDescent="0.25">
      <c r="A1669">
        <v>101705</v>
      </c>
      <c r="B1669" t="s">
        <v>682</v>
      </c>
      <c r="C1669" t="s">
        <v>152</v>
      </c>
      <c r="D1669" t="s">
        <v>1103</v>
      </c>
      <c r="E1669" t="s">
        <v>2138</v>
      </c>
      <c r="F1669" t="s">
        <v>41</v>
      </c>
      <c r="G1669" t="s">
        <v>2658</v>
      </c>
      <c r="H1669" t="s">
        <v>2620</v>
      </c>
      <c r="I1669">
        <v>0</v>
      </c>
      <c r="J1669">
        <v>863</v>
      </c>
      <c r="K1669" t="s">
        <v>37</v>
      </c>
      <c r="L1669" t="s">
        <v>2582</v>
      </c>
    </row>
    <row r="1670" spans="1:12" x14ac:dyDescent="0.25">
      <c r="A1670">
        <v>101096</v>
      </c>
      <c r="B1670" t="s">
        <v>1175</v>
      </c>
      <c r="C1670" t="s">
        <v>2649</v>
      </c>
      <c r="D1670" t="s">
        <v>2139</v>
      </c>
      <c r="E1670" t="s">
        <v>3530</v>
      </c>
      <c r="F1670" t="s">
        <v>41</v>
      </c>
      <c r="G1670" t="s">
        <v>2596</v>
      </c>
      <c r="H1670" t="s">
        <v>18</v>
      </c>
      <c r="I1670">
        <v>0</v>
      </c>
      <c r="J1670">
        <v>573</v>
      </c>
      <c r="K1670" t="s">
        <v>56</v>
      </c>
      <c r="L1670" t="s">
        <v>2582</v>
      </c>
    </row>
    <row r="1671" spans="1:12" x14ac:dyDescent="0.25">
      <c r="A1671">
        <v>100239</v>
      </c>
      <c r="B1671" t="s">
        <v>236</v>
      </c>
      <c r="C1671" t="s">
        <v>47</v>
      </c>
      <c r="D1671" t="s">
        <v>2140</v>
      </c>
      <c r="E1671" t="s">
        <v>3531</v>
      </c>
      <c r="F1671" t="s">
        <v>2613</v>
      </c>
      <c r="G1671" t="s">
        <v>2652</v>
      </c>
      <c r="H1671" t="s">
        <v>25</v>
      </c>
      <c r="I1671">
        <v>29</v>
      </c>
      <c r="J1671">
        <v>797</v>
      </c>
      <c r="K1671" t="s">
        <v>19</v>
      </c>
      <c r="L1671" t="s">
        <v>2582</v>
      </c>
    </row>
    <row r="1672" spans="1:12" x14ac:dyDescent="0.25">
      <c r="A1672">
        <v>101436</v>
      </c>
      <c r="B1672" t="s">
        <v>953</v>
      </c>
      <c r="C1672" t="s">
        <v>270</v>
      </c>
      <c r="D1672" t="s">
        <v>1221</v>
      </c>
      <c r="E1672" t="s">
        <v>3532</v>
      </c>
      <c r="F1672" t="s">
        <v>2616</v>
      </c>
      <c r="G1672" t="s">
        <v>2600</v>
      </c>
      <c r="H1672" t="s">
        <v>83</v>
      </c>
      <c r="I1672">
        <v>0</v>
      </c>
      <c r="J1672">
        <v>759</v>
      </c>
      <c r="K1672" t="s">
        <v>56</v>
      </c>
      <c r="L1672" t="s">
        <v>20</v>
      </c>
    </row>
    <row r="1673" spans="1:12" x14ac:dyDescent="0.25">
      <c r="A1673">
        <v>100323</v>
      </c>
      <c r="B1673" t="s">
        <v>1535</v>
      </c>
      <c r="C1673" t="s">
        <v>122</v>
      </c>
      <c r="D1673" t="s">
        <v>1900</v>
      </c>
      <c r="E1673" t="s">
        <v>2141</v>
      </c>
      <c r="F1673" t="s">
        <v>2648</v>
      </c>
      <c r="G1673" t="s">
        <v>2584</v>
      </c>
      <c r="H1673" t="s">
        <v>2620</v>
      </c>
      <c r="I1673">
        <v>0</v>
      </c>
      <c r="J1673">
        <v>873</v>
      </c>
      <c r="K1673" t="s">
        <v>56</v>
      </c>
      <c r="L1673" t="s">
        <v>20</v>
      </c>
    </row>
    <row r="1674" spans="1:12" x14ac:dyDescent="0.25">
      <c r="A1674">
        <v>100002</v>
      </c>
      <c r="B1674" t="s">
        <v>497</v>
      </c>
      <c r="C1674" t="s">
        <v>2649</v>
      </c>
      <c r="D1674" t="s">
        <v>2142</v>
      </c>
      <c r="E1674" t="s">
        <v>2143</v>
      </c>
      <c r="F1674" t="s">
        <v>30</v>
      </c>
      <c r="G1674" t="s">
        <v>2614</v>
      </c>
      <c r="H1674" t="s">
        <v>2581</v>
      </c>
      <c r="I1674">
        <v>0</v>
      </c>
      <c r="J1674">
        <v>465</v>
      </c>
      <c r="K1674" t="s">
        <v>37</v>
      </c>
      <c r="L1674" t="s">
        <v>2588</v>
      </c>
    </row>
    <row r="1675" spans="1:12" x14ac:dyDescent="0.25">
      <c r="A1675">
        <v>101741</v>
      </c>
      <c r="B1675" t="s">
        <v>506</v>
      </c>
      <c r="C1675" t="s">
        <v>58</v>
      </c>
      <c r="D1675" t="s">
        <v>165</v>
      </c>
      <c r="E1675" t="s">
        <v>3533</v>
      </c>
      <c r="F1675" t="s">
        <v>41</v>
      </c>
      <c r="G1675" t="s">
        <v>2607</v>
      </c>
      <c r="H1675" t="s">
        <v>2618</v>
      </c>
      <c r="I1675">
        <v>0</v>
      </c>
      <c r="J1675">
        <v>394</v>
      </c>
      <c r="K1675" t="s">
        <v>37</v>
      </c>
      <c r="L1675" t="s">
        <v>2588</v>
      </c>
    </row>
    <row r="1676" spans="1:12" x14ac:dyDescent="0.25">
      <c r="A1676">
        <v>101460</v>
      </c>
      <c r="B1676" t="s">
        <v>315</v>
      </c>
      <c r="C1676" t="s">
        <v>2686</v>
      </c>
      <c r="D1676" t="s">
        <v>2144</v>
      </c>
      <c r="E1676" t="s">
        <v>2145</v>
      </c>
      <c r="F1676" t="s">
        <v>50</v>
      </c>
      <c r="G1676" t="s">
        <v>2631</v>
      </c>
      <c r="H1676" t="s">
        <v>2630</v>
      </c>
      <c r="I1676">
        <v>20</v>
      </c>
      <c r="J1676">
        <v>509</v>
      </c>
      <c r="K1676" t="s">
        <v>37</v>
      </c>
      <c r="L1676" t="s">
        <v>26</v>
      </c>
    </row>
    <row r="1677" spans="1:12" x14ac:dyDescent="0.25">
      <c r="A1677">
        <v>100957</v>
      </c>
      <c r="B1677" t="s">
        <v>179</v>
      </c>
      <c r="C1677" t="s">
        <v>149</v>
      </c>
      <c r="D1677" t="s">
        <v>2146</v>
      </c>
      <c r="E1677" t="s">
        <v>2147</v>
      </c>
      <c r="F1677" t="s">
        <v>2654</v>
      </c>
      <c r="H1677" t="s">
        <v>25</v>
      </c>
      <c r="I1677">
        <v>27</v>
      </c>
      <c r="J1677">
        <v>518</v>
      </c>
      <c r="K1677" t="s">
        <v>37</v>
      </c>
      <c r="L1677" t="s">
        <v>2588</v>
      </c>
    </row>
    <row r="1678" spans="1:12" x14ac:dyDescent="0.25">
      <c r="A1678">
        <v>101477</v>
      </c>
      <c r="B1678" t="s">
        <v>357</v>
      </c>
      <c r="C1678" t="s">
        <v>62</v>
      </c>
      <c r="D1678" t="s">
        <v>2148</v>
      </c>
      <c r="E1678" t="s">
        <v>2149</v>
      </c>
      <c r="F1678" t="s">
        <v>2593</v>
      </c>
      <c r="G1678" t="s">
        <v>2580</v>
      </c>
      <c r="H1678" t="s">
        <v>83</v>
      </c>
      <c r="I1678">
        <v>0</v>
      </c>
      <c r="J1678">
        <v>345</v>
      </c>
      <c r="K1678" t="s">
        <v>37</v>
      </c>
      <c r="L1678" t="s">
        <v>2588</v>
      </c>
    </row>
    <row r="1679" spans="1:12" x14ac:dyDescent="0.25">
      <c r="A1679">
        <v>101063</v>
      </c>
      <c r="B1679" t="s">
        <v>512</v>
      </c>
      <c r="C1679" t="s">
        <v>152</v>
      </c>
      <c r="D1679" t="s">
        <v>2150</v>
      </c>
      <c r="E1679" t="s">
        <v>3534</v>
      </c>
      <c r="F1679" t="s">
        <v>41</v>
      </c>
      <c r="G1679" t="s">
        <v>2658</v>
      </c>
      <c r="H1679" t="s">
        <v>2581</v>
      </c>
      <c r="I1679">
        <v>0</v>
      </c>
      <c r="J1679">
        <v>853</v>
      </c>
      <c r="K1679" t="s">
        <v>45</v>
      </c>
      <c r="L1679" t="s">
        <v>20</v>
      </c>
    </row>
    <row r="1680" spans="1:12" x14ac:dyDescent="0.25">
      <c r="A1680">
        <v>100184</v>
      </c>
      <c r="B1680" t="s">
        <v>34</v>
      </c>
      <c r="C1680" t="s">
        <v>13</v>
      </c>
      <c r="D1680" t="s">
        <v>314</v>
      </c>
      <c r="E1680" t="s">
        <v>3535</v>
      </c>
      <c r="F1680" t="s">
        <v>2593</v>
      </c>
      <c r="G1680" t="s">
        <v>2596</v>
      </c>
      <c r="H1680" t="s">
        <v>2620</v>
      </c>
      <c r="I1680">
        <v>0</v>
      </c>
      <c r="J1680">
        <v>672</v>
      </c>
      <c r="K1680" t="s">
        <v>45</v>
      </c>
      <c r="L1680" t="s">
        <v>20</v>
      </c>
    </row>
    <row r="1681" spans="1:12" x14ac:dyDescent="0.25">
      <c r="A1681">
        <v>101242</v>
      </c>
      <c r="B1681" t="s">
        <v>225</v>
      </c>
      <c r="C1681" t="s">
        <v>142</v>
      </c>
      <c r="D1681" t="s">
        <v>2151</v>
      </c>
      <c r="E1681" t="s">
        <v>3536</v>
      </c>
      <c r="F1681" t="s">
        <v>2654</v>
      </c>
      <c r="G1681" t="s">
        <v>2600</v>
      </c>
      <c r="H1681" t="s">
        <v>2620</v>
      </c>
      <c r="I1681">
        <v>0</v>
      </c>
      <c r="J1681">
        <v>741</v>
      </c>
      <c r="K1681" t="s">
        <v>32</v>
      </c>
      <c r="L1681" t="s">
        <v>20</v>
      </c>
    </row>
    <row r="1682" spans="1:12" x14ac:dyDescent="0.25">
      <c r="A1682">
        <v>101716</v>
      </c>
      <c r="B1682" t="s">
        <v>141</v>
      </c>
      <c r="C1682" t="s">
        <v>142</v>
      </c>
      <c r="D1682" t="s">
        <v>1166</v>
      </c>
      <c r="E1682" t="s">
        <v>3537</v>
      </c>
      <c r="F1682" t="s">
        <v>2629</v>
      </c>
      <c r="G1682" t="s">
        <v>2602</v>
      </c>
      <c r="H1682" t="s">
        <v>83</v>
      </c>
      <c r="I1682">
        <v>0</v>
      </c>
      <c r="J1682">
        <v>430</v>
      </c>
      <c r="K1682" t="s">
        <v>32</v>
      </c>
      <c r="L1682" t="s">
        <v>2588</v>
      </c>
    </row>
    <row r="1683" spans="1:12" x14ac:dyDescent="0.25">
      <c r="A1683">
        <v>101736</v>
      </c>
      <c r="B1683" t="s">
        <v>708</v>
      </c>
      <c r="C1683" t="s">
        <v>270</v>
      </c>
      <c r="D1683" t="s">
        <v>2152</v>
      </c>
      <c r="E1683" t="s">
        <v>3538</v>
      </c>
      <c r="F1683" t="s">
        <v>30</v>
      </c>
      <c r="H1683" t="s">
        <v>2594</v>
      </c>
      <c r="I1683">
        <v>113</v>
      </c>
      <c r="J1683">
        <v>451</v>
      </c>
      <c r="K1683" t="s">
        <v>45</v>
      </c>
      <c r="L1683" t="s">
        <v>20</v>
      </c>
    </row>
    <row r="1684" spans="1:12" x14ac:dyDescent="0.25">
      <c r="A1684">
        <v>100307</v>
      </c>
      <c r="B1684" t="s">
        <v>786</v>
      </c>
      <c r="C1684" t="s">
        <v>95</v>
      </c>
      <c r="D1684" t="s">
        <v>2153</v>
      </c>
      <c r="E1684" t="s">
        <v>2154</v>
      </c>
      <c r="F1684" t="s">
        <v>2593</v>
      </c>
      <c r="G1684" t="s">
        <v>2599</v>
      </c>
      <c r="H1684" t="s">
        <v>2630</v>
      </c>
      <c r="I1684">
        <v>25</v>
      </c>
      <c r="J1684">
        <v>835</v>
      </c>
      <c r="K1684" t="s">
        <v>19</v>
      </c>
      <c r="L1684" t="s">
        <v>26</v>
      </c>
    </row>
    <row r="1685" spans="1:12" x14ac:dyDescent="0.25">
      <c r="A1685">
        <v>100730</v>
      </c>
      <c r="B1685" t="s">
        <v>460</v>
      </c>
      <c r="C1685" t="s">
        <v>95</v>
      </c>
      <c r="D1685" t="s">
        <v>2155</v>
      </c>
      <c r="E1685" t="s">
        <v>2156</v>
      </c>
      <c r="F1685" t="s">
        <v>2640</v>
      </c>
      <c r="G1685" t="s">
        <v>2584</v>
      </c>
      <c r="H1685" t="s">
        <v>2581</v>
      </c>
      <c r="I1685">
        <v>0</v>
      </c>
      <c r="J1685">
        <v>716</v>
      </c>
      <c r="K1685" t="s">
        <v>19</v>
      </c>
      <c r="L1685" t="s">
        <v>26</v>
      </c>
    </row>
    <row r="1686" spans="1:12" x14ac:dyDescent="0.25">
      <c r="A1686">
        <v>102038</v>
      </c>
      <c r="B1686" t="s">
        <v>767</v>
      </c>
      <c r="C1686" t="s">
        <v>110</v>
      </c>
      <c r="D1686" t="s">
        <v>123</v>
      </c>
      <c r="E1686" t="s">
        <v>3539</v>
      </c>
      <c r="F1686" t="s">
        <v>2613</v>
      </c>
      <c r="G1686" t="s">
        <v>2611</v>
      </c>
      <c r="H1686" t="s">
        <v>83</v>
      </c>
      <c r="I1686">
        <v>0</v>
      </c>
      <c r="J1686">
        <v>543</v>
      </c>
      <c r="K1686" t="s">
        <v>37</v>
      </c>
      <c r="L1686" t="s">
        <v>26</v>
      </c>
    </row>
    <row r="1687" spans="1:12" x14ac:dyDescent="0.25">
      <c r="A1687">
        <v>101010</v>
      </c>
      <c r="B1687" t="s">
        <v>322</v>
      </c>
      <c r="C1687" t="s">
        <v>2786</v>
      </c>
      <c r="D1687" t="s">
        <v>2157</v>
      </c>
      <c r="E1687" t="s">
        <v>3540</v>
      </c>
      <c r="F1687" t="s">
        <v>2646</v>
      </c>
      <c r="G1687" t="s">
        <v>2635</v>
      </c>
      <c r="H1687" t="s">
        <v>2581</v>
      </c>
      <c r="I1687">
        <v>0</v>
      </c>
      <c r="J1687">
        <v>623</v>
      </c>
      <c r="K1687" t="s">
        <v>37</v>
      </c>
      <c r="L1687" t="s">
        <v>20</v>
      </c>
    </row>
    <row r="1688" spans="1:12" x14ac:dyDescent="0.25">
      <c r="A1688">
        <v>100550</v>
      </c>
      <c r="B1688" t="s">
        <v>1168</v>
      </c>
      <c r="C1688" t="s">
        <v>218</v>
      </c>
      <c r="D1688" t="s">
        <v>1508</v>
      </c>
      <c r="E1688" t="s">
        <v>3541</v>
      </c>
      <c r="F1688" t="s">
        <v>64</v>
      </c>
      <c r="G1688" t="s">
        <v>2658</v>
      </c>
      <c r="H1688" t="s">
        <v>2581</v>
      </c>
      <c r="I1688">
        <v>0</v>
      </c>
      <c r="J1688">
        <v>606</v>
      </c>
      <c r="K1688" t="s">
        <v>56</v>
      </c>
      <c r="L1688" t="s">
        <v>20</v>
      </c>
    </row>
    <row r="1689" spans="1:12" x14ac:dyDescent="0.25">
      <c r="A1689">
        <v>101338</v>
      </c>
      <c r="B1689" t="s">
        <v>1259</v>
      </c>
      <c r="C1689" t="s">
        <v>47</v>
      </c>
      <c r="D1689" t="s">
        <v>572</v>
      </c>
      <c r="E1689" t="s">
        <v>3542</v>
      </c>
      <c r="F1689" t="s">
        <v>41</v>
      </c>
      <c r="G1689" t="s">
        <v>2602</v>
      </c>
      <c r="H1689" t="s">
        <v>2644</v>
      </c>
      <c r="I1689">
        <v>0</v>
      </c>
      <c r="J1689">
        <v>748</v>
      </c>
      <c r="L1689" t="s">
        <v>2588</v>
      </c>
    </row>
    <row r="1690" spans="1:12" x14ac:dyDescent="0.25">
      <c r="A1690">
        <v>100970</v>
      </c>
      <c r="B1690" t="s">
        <v>592</v>
      </c>
      <c r="C1690" t="s">
        <v>47</v>
      </c>
      <c r="D1690" t="s">
        <v>356</v>
      </c>
      <c r="E1690" t="s">
        <v>3543</v>
      </c>
      <c r="F1690" t="s">
        <v>2629</v>
      </c>
      <c r="G1690" t="s">
        <v>60</v>
      </c>
      <c r="H1690" t="s">
        <v>2597</v>
      </c>
      <c r="I1690">
        <v>14</v>
      </c>
      <c r="J1690">
        <v>332</v>
      </c>
      <c r="K1690" t="s">
        <v>32</v>
      </c>
      <c r="L1690" t="s">
        <v>2588</v>
      </c>
    </row>
    <row r="1691" spans="1:12" x14ac:dyDescent="0.25">
      <c r="A1691">
        <v>101360</v>
      </c>
      <c r="B1691" t="s">
        <v>525</v>
      </c>
      <c r="C1691" t="s">
        <v>58</v>
      </c>
      <c r="D1691" t="s">
        <v>2158</v>
      </c>
      <c r="E1691" t="s">
        <v>3544</v>
      </c>
      <c r="F1691" t="s">
        <v>2590</v>
      </c>
      <c r="G1691" t="s">
        <v>2635</v>
      </c>
      <c r="H1691" t="s">
        <v>2618</v>
      </c>
      <c r="I1691">
        <v>0</v>
      </c>
      <c r="J1691">
        <v>501</v>
      </c>
      <c r="K1691" t="s">
        <v>19</v>
      </c>
      <c r="L1691" t="s">
        <v>26</v>
      </c>
    </row>
    <row r="1692" spans="1:12" x14ac:dyDescent="0.25">
      <c r="A1692">
        <v>101356</v>
      </c>
      <c r="B1692" t="s">
        <v>43</v>
      </c>
      <c r="C1692" t="s">
        <v>22</v>
      </c>
      <c r="D1692" t="s">
        <v>1905</v>
      </c>
      <c r="E1692" t="s">
        <v>3545</v>
      </c>
      <c r="F1692" t="s">
        <v>2583</v>
      </c>
      <c r="G1692" t="s">
        <v>2609</v>
      </c>
      <c r="H1692" t="s">
        <v>2618</v>
      </c>
      <c r="I1692">
        <v>0</v>
      </c>
      <c r="J1692">
        <v>396</v>
      </c>
      <c r="K1692" t="s">
        <v>37</v>
      </c>
      <c r="L1692" t="s">
        <v>20</v>
      </c>
    </row>
    <row r="1693" spans="1:12" x14ac:dyDescent="0.25">
      <c r="A1693">
        <v>101061</v>
      </c>
      <c r="B1693" t="s">
        <v>628</v>
      </c>
      <c r="C1693" t="s">
        <v>47</v>
      </c>
      <c r="D1693" t="s">
        <v>1844</v>
      </c>
      <c r="E1693" t="s">
        <v>3546</v>
      </c>
      <c r="F1693" t="s">
        <v>2608</v>
      </c>
      <c r="G1693" t="s">
        <v>2635</v>
      </c>
      <c r="H1693" t="s">
        <v>2620</v>
      </c>
      <c r="J1693">
        <v>852</v>
      </c>
      <c r="K1693" t="s">
        <v>37</v>
      </c>
      <c r="L1693" t="s">
        <v>2588</v>
      </c>
    </row>
    <row r="1694" spans="1:12" x14ac:dyDescent="0.25">
      <c r="A1694">
        <v>100111</v>
      </c>
      <c r="B1694" t="s">
        <v>292</v>
      </c>
      <c r="C1694" t="s">
        <v>2730</v>
      </c>
      <c r="D1694" t="s">
        <v>373</v>
      </c>
      <c r="E1694" t="s">
        <v>2731</v>
      </c>
      <c r="F1694" t="s">
        <v>2593</v>
      </c>
      <c r="G1694" t="s">
        <v>81</v>
      </c>
      <c r="H1694" t="s">
        <v>18</v>
      </c>
      <c r="I1694">
        <v>0</v>
      </c>
      <c r="J1694">
        <v>466</v>
      </c>
      <c r="K1694" t="s">
        <v>45</v>
      </c>
      <c r="L1694" t="s">
        <v>20</v>
      </c>
    </row>
    <row r="1695" spans="1:12" x14ac:dyDescent="0.25">
      <c r="A1695">
        <v>101804</v>
      </c>
      <c r="B1695" t="s">
        <v>506</v>
      </c>
      <c r="C1695" t="s">
        <v>58</v>
      </c>
      <c r="D1695" t="s">
        <v>2159</v>
      </c>
      <c r="E1695" t="s">
        <v>2160</v>
      </c>
      <c r="F1695" t="s">
        <v>2593</v>
      </c>
      <c r="G1695" t="s">
        <v>2631</v>
      </c>
      <c r="H1695" t="s">
        <v>2644</v>
      </c>
      <c r="I1695">
        <v>0</v>
      </c>
      <c r="J1695">
        <v>394</v>
      </c>
      <c r="K1695" t="s">
        <v>19</v>
      </c>
      <c r="L1695" t="s">
        <v>2588</v>
      </c>
    </row>
    <row r="1696" spans="1:12" x14ac:dyDescent="0.25">
      <c r="A1696">
        <v>100889</v>
      </c>
      <c r="B1696" t="s">
        <v>217</v>
      </c>
      <c r="C1696" t="s">
        <v>218</v>
      </c>
      <c r="D1696" t="s">
        <v>163</v>
      </c>
      <c r="E1696" t="s">
        <v>1727</v>
      </c>
      <c r="F1696" t="s">
        <v>2613</v>
      </c>
      <c r="G1696" t="s">
        <v>2611</v>
      </c>
      <c r="H1696" t="s">
        <v>18</v>
      </c>
      <c r="I1696">
        <v>0</v>
      </c>
      <c r="J1696">
        <v>894</v>
      </c>
      <c r="K1696" t="s">
        <v>19</v>
      </c>
      <c r="L1696" t="s">
        <v>20</v>
      </c>
    </row>
    <row r="1697" spans="1:12" x14ac:dyDescent="0.25">
      <c r="A1697">
        <v>101932</v>
      </c>
      <c r="B1697" t="s">
        <v>179</v>
      </c>
      <c r="C1697" t="s">
        <v>149</v>
      </c>
      <c r="D1697" t="s">
        <v>1133</v>
      </c>
      <c r="E1697" t="s">
        <v>2161</v>
      </c>
      <c r="F1697" t="s">
        <v>2640</v>
      </c>
      <c r="H1697" t="s">
        <v>2620</v>
      </c>
      <c r="I1697">
        <v>0</v>
      </c>
      <c r="J1697">
        <v>518</v>
      </c>
      <c r="K1697" t="s">
        <v>19</v>
      </c>
      <c r="L1697" t="s">
        <v>20</v>
      </c>
    </row>
    <row r="1698" spans="1:12" x14ac:dyDescent="0.25">
      <c r="A1698">
        <v>100916</v>
      </c>
      <c r="B1698" t="s">
        <v>553</v>
      </c>
      <c r="C1698" t="s">
        <v>72</v>
      </c>
      <c r="D1698" t="s">
        <v>956</v>
      </c>
      <c r="E1698" t="s">
        <v>2162</v>
      </c>
      <c r="F1698" t="s">
        <v>2641</v>
      </c>
      <c r="G1698" t="s">
        <v>60</v>
      </c>
      <c r="H1698" t="s">
        <v>2587</v>
      </c>
      <c r="I1698">
        <v>0</v>
      </c>
      <c r="J1698">
        <v>638</v>
      </c>
      <c r="K1698" t="s">
        <v>56</v>
      </c>
      <c r="L1698" t="s">
        <v>20</v>
      </c>
    </row>
    <row r="1699" spans="1:12" x14ac:dyDescent="0.25">
      <c r="A1699">
        <v>102048</v>
      </c>
      <c r="B1699" t="s">
        <v>497</v>
      </c>
      <c r="C1699" t="s">
        <v>142</v>
      </c>
      <c r="D1699" t="s">
        <v>2163</v>
      </c>
      <c r="E1699" t="s">
        <v>2164</v>
      </c>
      <c r="F1699" t="s">
        <v>41</v>
      </c>
      <c r="G1699" t="s">
        <v>2682</v>
      </c>
      <c r="H1699" t="s">
        <v>25</v>
      </c>
      <c r="I1699">
        <v>12</v>
      </c>
      <c r="J1699">
        <v>465</v>
      </c>
      <c r="K1699" t="s">
        <v>45</v>
      </c>
      <c r="L1699" t="s">
        <v>20</v>
      </c>
    </row>
    <row r="1700" spans="1:12" x14ac:dyDescent="0.25">
      <c r="A1700">
        <v>100927</v>
      </c>
      <c r="B1700" t="s">
        <v>489</v>
      </c>
      <c r="C1700" t="s">
        <v>126</v>
      </c>
      <c r="D1700" t="s">
        <v>1438</v>
      </c>
      <c r="E1700" t="s">
        <v>2165</v>
      </c>
      <c r="F1700" t="s">
        <v>2654</v>
      </c>
      <c r="G1700" t="s">
        <v>2625</v>
      </c>
      <c r="H1700" t="s">
        <v>2585</v>
      </c>
      <c r="I1700">
        <v>21</v>
      </c>
      <c r="J1700">
        <v>843</v>
      </c>
      <c r="K1700" t="s">
        <v>32</v>
      </c>
    </row>
    <row r="1701" spans="1:12" x14ac:dyDescent="0.25">
      <c r="A1701">
        <v>100746</v>
      </c>
      <c r="B1701" t="s">
        <v>286</v>
      </c>
      <c r="C1701" t="s">
        <v>168</v>
      </c>
      <c r="D1701" t="s">
        <v>2075</v>
      </c>
      <c r="E1701" t="s">
        <v>2166</v>
      </c>
      <c r="F1701" t="s">
        <v>2627</v>
      </c>
      <c r="G1701" t="s">
        <v>31</v>
      </c>
      <c r="H1701" t="s">
        <v>2597</v>
      </c>
      <c r="I1701">
        <v>8</v>
      </c>
      <c r="J1701">
        <v>434</v>
      </c>
      <c r="K1701" t="s">
        <v>56</v>
      </c>
    </row>
    <row r="1702" spans="1:12" x14ac:dyDescent="0.25">
      <c r="A1702">
        <v>101822</v>
      </c>
      <c r="B1702" t="s">
        <v>138</v>
      </c>
      <c r="C1702" t="s">
        <v>2699</v>
      </c>
      <c r="D1702" t="s">
        <v>2167</v>
      </c>
      <c r="E1702" t="s">
        <v>2168</v>
      </c>
      <c r="F1702" t="s">
        <v>30</v>
      </c>
      <c r="G1702" t="s">
        <v>2609</v>
      </c>
      <c r="H1702" t="s">
        <v>2620</v>
      </c>
      <c r="I1702">
        <v>0</v>
      </c>
      <c r="J1702">
        <v>623</v>
      </c>
      <c r="K1702" t="s">
        <v>56</v>
      </c>
      <c r="L1702" t="s">
        <v>2588</v>
      </c>
    </row>
    <row r="1703" spans="1:12" x14ac:dyDescent="0.25">
      <c r="A1703">
        <v>100776</v>
      </c>
      <c r="B1703" t="s">
        <v>43</v>
      </c>
      <c r="C1703" t="s">
        <v>22</v>
      </c>
      <c r="D1703" t="s">
        <v>2169</v>
      </c>
      <c r="E1703" t="s">
        <v>3547</v>
      </c>
      <c r="F1703" t="s">
        <v>2613</v>
      </c>
      <c r="G1703" t="s">
        <v>2596</v>
      </c>
      <c r="H1703" t="s">
        <v>2620</v>
      </c>
      <c r="I1703">
        <v>0</v>
      </c>
      <c r="J1703">
        <v>396</v>
      </c>
      <c r="K1703" t="s">
        <v>32</v>
      </c>
      <c r="L1703" t="s">
        <v>20</v>
      </c>
    </row>
    <row r="1704" spans="1:12" x14ac:dyDescent="0.25">
      <c r="A1704">
        <v>101732</v>
      </c>
      <c r="B1704" t="s">
        <v>928</v>
      </c>
      <c r="C1704" t="s">
        <v>110</v>
      </c>
      <c r="D1704" t="s">
        <v>2170</v>
      </c>
      <c r="E1704" t="s">
        <v>2171</v>
      </c>
      <c r="F1704" t="s">
        <v>2604</v>
      </c>
      <c r="G1704" t="s">
        <v>2591</v>
      </c>
      <c r="H1704" t="s">
        <v>83</v>
      </c>
      <c r="I1704">
        <v>0</v>
      </c>
      <c r="J1704">
        <v>409</v>
      </c>
      <c r="K1704" t="s">
        <v>56</v>
      </c>
      <c r="L1704" t="s">
        <v>2582</v>
      </c>
    </row>
    <row r="1705" spans="1:12" x14ac:dyDescent="0.25">
      <c r="A1705">
        <v>102056</v>
      </c>
      <c r="B1705" t="s">
        <v>280</v>
      </c>
      <c r="C1705" t="s">
        <v>187</v>
      </c>
      <c r="D1705" t="s">
        <v>2172</v>
      </c>
      <c r="E1705" t="s">
        <v>3548</v>
      </c>
      <c r="F1705" t="s">
        <v>2593</v>
      </c>
      <c r="G1705" t="s">
        <v>2633</v>
      </c>
      <c r="H1705" t="s">
        <v>2620</v>
      </c>
      <c r="I1705">
        <v>0</v>
      </c>
      <c r="J1705">
        <v>621</v>
      </c>
      <c r="K1705" t="s">
        <v>56</v>
      </c>
      <c r="L1705" t="s">
        <v>20</v>
      </c>
    </row>
    <row r="1706" spans="1:12" x14ac:dyDescent="0.25">
      <c r="A1706">
        <v>100578</v>
      </c>
      <c r="B1706" t="s">
        <v>84</v>
      </c>
      <c r="C1706" t="s">
        <v>2699</v>
      </c>
      <c r="D1706" t="s">
        <v>2173</v>
      </c>
      <c r="E1706" t="s">
        <v>3549</v>
      </c>
      <c r="F1706" t="s">
        <v>2616</v>
      </c>
      <c r="G1706" t="s">
        <v>2635</v>
      </c>
      <c r="H1706" t="s">
        <v>2587</v>
      </c>
      <c r="I1706">
        <v>0</v>
      </c>
      <c r="J1706">
        <v>400</v>
      </c>
      <c r="K1706" t="s">
        <v>19</v>
      </c>
      <c r="L1706" t="s">
        <v>20</v>
      </c>
    </row>
    <row r="1707" spans="1:12" x14ac:dyDescent="0.25">
      <c r="A1707">
        <v>100055</v>
      </c>
      <c r="B1707" t="s">
        <v>102</v>
      </c>
      <c r="C1707" t="s">
        <v>2667</v>
      </c>
      <c r="D1707" t="s">
        <v>1003</v>
      </c>
      <c r="E1707" t="s">
        <v>3352</v>
      </c>
      <c r="F1707" t="s">
        <v>50</v>
      </c>
      <c r="G1707" t="s">
        <v>2614</v>
      </c>
      <c r="H1707" t="s">
        <v>18</v>
      </c>
      <c r="I1707">
        <v>0</v>
      </c>
      <c r="J1707">
        <v>733</v>
      </c>
      <c r="K1707" t="s">
        <v>32</v>
      </c>
      <c r="L1707" t="s">
        <v>2582</v>
      </c>
    </row>
    <row r="1708" spans="1:12" x14ac:dyDescent="0.25">
      <c r="A1708">
        <v>101458</v>
      </c>
      <c r="B1708" t="s">
        <v>382</v>
      </c>
      <c r="C1708" t="s">
        <v>152</v>
      </c>
      <c r="D1708" t="s">
        <v>2174</v>
      </c>
      <c r="E1708" t="s">
        <v>2175</v>
      </c>
      <c r="F1708" t="s">
        <v>30</v>
      </c>
      <c r="G1708" t="s">
        <v>60</v>
      </c>
      <c r="H1708" t="s">
        <v>2581</v>
      </c>
      <c r="I1708">
        <v>0</v>
      </c>
      <c r="J1708">
        <v>797</v>
      </c>
      <c r="K1708" t="s">
        <v>45</v>
      </c>
      <c r="L1708" t="s">
        <v>2582</v>
      </c>
    </row>
    <row r="1709" spans="1:12" x14ac:dyDescent="0.25">
      <c r="A1709">
        <v>101188</v>
      </c>
      <c r="B1709" t="s">
        <v>34</v>
      </c>
      <c r="C1709" t="s">
        <v>13</v>
      </c>
      <c r="D1709" t="s">
        <v>1761</v>
      </c>
      <c r="E1709" t="s">
        <v>3337</v>
      </c>
      <c r="F1709" t="s">
        <v>2583</v>
      </c>
      <c r="G1709" t="s">
        <v>2602</v>
      </c>
      <c r="H1709" t="s">
        <v>2620</v>
      </c>
      <c r="I1709">
        <v>0</v>
      </c>
      <c r="J1709">
        <v>672</v>
      </c>
      <c r="K1709" t="s">
        <v>45</v>
      </c>
      <c r="L1709" t="s">
        <v>2582</v>
      </c>
    </row>
    <row r="1710" spans="1:12" x14ac:dyDescent="0.25">
      <c r="A1710">
        <v>100264</v>
      </c>
      <c r="B1710" t="s">
        <v>1535</v>
      </c>
      <c r="C1710" t="s">
        <v>122</v>
      </c>
      <c r="D1710" t="s">
        <v>2176</v>
      </c>
      <c r="E1710" t="s">
        <v>3550</v>
      </c>
      <c r="F1710" t="s">
        <v>2579</v>
      </c>
      <c r="G1710" t="s">
        <v>31</v>
      </c>
      <c r="H1710" t="s">
        <v>18</v>
      </c>
      <c r="I1710">
        <v>0</v>
      </c>
      <c r="J1710">
        <v>873</v>
      </c>
      <c r="K1710" t="s">
        <v>37</v>
      </c>
      <c r="L1710" t="s">
        <v>26</v>
      </c>
    </row>
    <row r="1711" spans="1:12" x14ac:dyDescent="0.25">
      <c r="A1711">
        <v>101256</v>
      </c>
      <c r="B1711" t="s">
        <v>349</v>
      </c>
      <c r="C1711" t="s">
        <v>28</v>
      </c>
      <c r="D1711" t="s">
        <v>1637</v>
      </c>
      <c r="E1711" t="s">
        <v>3551</v>
      </c>
      <c r="F1711" t="s">
        <v>2593</v>
      </c>
      <c r="G1711" t="s">
        <v>2602</v>
      </c>
      <c r="H1711" t="s">
        <v>2587</v>
      </c>
      <c r="I1711">
        <v>0</v>
      </c>
      <c r="J1711">
        <v>708</v>
      </c>
      <c r="K1711" t="s">
        <v>19</v>
      </c>
      <c r="L1711" t="s">
        <v>2588</v>
      </c>
    </row>
    <row r="1712" spans="1:12" x14ac:dyDescent="0.25">
      <c r="A1712">
        <v>100303</v>
      </c>
      <c r="B1712" t="s">
        <v>537</v>
      </c>
      <c r="C1712" t="s">
        <v>187</v>
      </c>
      <c r="D1712" t="s">
        <v>567</v>
      </c>
      <c r="E1712" t="s">
        <v>2177</v>
      </c>
      <c r="F1712" t="s">
        <v>2627</v>
      </c>
      <c r="G1712" t="s">
        <v>2633</v>
      </c>
      <c r="H1712" t="s">
        <v>2644</v>
      </c>
      <c r="I1712">
        <v>0</v>
      </c>
      <c r="J1712">
        <v>874</v>
      </c>
      <c r="K1712" t="s">
        <v>56</v>
      </c>
      <c r="L1712" t="s">
        <v>20</v>
      </c>
    </row>
    <row r="1713" spans="1:12" x14ac:dyDescent="0.25">
      <c r="A1713">
        <v>100928</v>
      </c>
      <c r="B1713" t="s">
        <v>576</v>
      </c>
      <c r="C1713" t="s">
        <v>22</v>
      </c>
      <c r="D1713" t="s">
        <v>698</v>
      </c>
      <c r="E1713" t="s">
        <v>3552</v>
      </c>
      <c r="F1713" t="s">
        <v>2604</v>
      </c>
      <c r="G1713" t="s">
        <v>2580</v>
      </c>
      <c r="H1713" t="s">
        <v>2620</v>
      </c>
      <c r="I1713">
        <v>0</v>
      </c>
      <c r="J1713">
        <v>418</v>
      </c>
      <c r="K1713" t="s">
        <v>37</v>
      </c>
      <c r="L1713" t="s">
        <v>2588</v>
      </c>
    </row>
    <row r="1714" spans="1:12" x14ac:dyDescent="0.25">
      <c r="A1714">
        <v>101200</v>
      </c>
      <c r="B1714" t="s">
        <v>678</v>
      </c>
      <c r="C1714" t="s">
        <v>270</v>
      </c>
      <c r="D1714" t="s">
        <v>1891</v>
      </c>
      <c r="E1714" t="s">
        <v>3553</v>
      </c>
      <c r="F1714" t="s">
        <v>30</v>
      </c>
      <c r="G1714" t="s">
        <v>2682</v>
      </c>
      <c r="H1714" t="s">
        <v>2585</v>
      </c>
      <c r="I1714">
        <v>23</v>
      </c>
      <c r="J1714">
        <v>883</v>
      </c>
      <c r="K1714" t="s">
        <v>32</v>
      </c>
      <c r="L1714" t="s">
        <v>26</v>
      </c>
    </row>
    <row r="1715" spans="1:12" x14ac:dyDescent="0.25">
      <c r="A1715">
        <v>101937</v>
      </c>
      <c r="B1715" t="s">
        <v>955</v>
      </c>
      <c r="C1715" t="s">
        <v>39</v>
      </c>
      <c r="D1715" t="s">
        <v>990</v>
      </c>
      <c r="E1715" t="s">
        <v>3554</v>
      </c>
      <c r="F1715" t="s">
        <v>2627</v>
      </c>
      <c r="G1715" t="s">
        <v>2635</v>
      </c>
      <c r="H1715" t="s">
        <v>2620</v>
      </c>
      <c r="J1715">
        <v>406</v>
      </c>
      <c r="K1715" t="s">
        <v>56</v>
      </c>
      <c r="L1715" t="s">
        <v>2582</v>
      </c>
    </row>
    <row r="1716" spans="1:12" x14ac:dyDescent="0.25">
      <c r="A1716">
        <v>100150</v>
      </c>
      <c r="B1716" t="s">
        <v>619</v>
      </c>
      <c r="C1716" t="s">
        <v>2818</v>
      </c>
      <c r="D1716" t="s">
        <v>690</v>
      </c>
      <c r="E1716" t="s">
        <v>3555</v>
      </c>
      <c r="F1716" t="s">
        <v>30</v>
      </c>
      <c r="G1716" t="s">
        <v>2625</v>
      </c>
      <c r="H1716" t="s">
        <v>18</v>
      </c>
      <c r="I1716">
        <v>0</v>
      </c>
      <c r="J1716">
        <v>351</v>
      </c>
      <c r="K1716" t="s">
        <v>32</v>
      </c>
      <c r="L1716" t="s">
        <v>2588</v>
      </c>
    </row>
    <row r="1717" spans="1:12" x14ac:dyDescent="0.25">
      <c r="A1717">
        <v>101447</v>
      </c>
      <c r="B1717" t="s">
        <v>198</v>
      </c>
      <c r="C1717" t="s">
        <v>134</v>
      </c>
      <c r="D1717" t="s">
        <v>2178</v>
      </c>
      <c r="E1717" t="s">
        <v>2179</v>
      </c>
      <c r="F1717" t="s">
        <v>2593</v>
      </c>
      <c r="G1717" t="s">
        <v>55</v>
      </c>
      <c r="H1717" t="s">
        <v>83</v>
      </c>
      <c r="I1717">
        <v>0</v>
      </c>
      <c r="J1717">
        <v>555</v>
      </c>
      <c r="K1717" t="s">
        <v>56</v>
      </c>
      <c r="L1717" t="s">
        <v>2588</v>
      </c>
    </row>
    <row r="1718" spans="1:12" x14ac:dyDescent="0.25">
      <c r="A1718">
        <v>101803</v>
      </c>
      <c r="B1718" t="s">
        <v>537</v>
      </c>
      <c r="C1718" t="s">
        <v>187</v>
      </c>
      <c r="D1718" t="s">
        <v>2180</v>
      </c>
      <c r="E1718" t="s">
        <v>2181</v>
      </c>
      <c r="F1718" t="s">
        <v>2627</v>
      </c>
      <c r="G1718" t="s">
        <v>2602</v>
      </c>
      <c r="H1718" t="s">
        <v>2597</v>
      </c>
      <c r="I1718">
        <v>11</v>
      </c>
      <c r="J1718">
        <v>874</v>
      </c>
      <c r="K1718" t="s">
        <v>37</v>
      </c>
      <c r="L1718" t="s">
        <v>2588</v>
      </c>
    </row>
    <row r="1719" spans="1:12" x14ac:dyDescent="0.25">
      <c r="A1719">
        <v>100072</v>
      </c>
      <c r="B1719" t="s">
        <v>179</v>
      </c>
      <c r="C1719" t="s">
        <v>2730</v>
      </c>
      <c r="D1719" t="s">
        <v>2097</v>
      </c>
      <c r="E1719" t="s">
        <v>2182</v>
      </c>
      <c r="F1719" t="s">
        <v>2627</v>
      </c>
      <c r="G1719" t="s">
        <v>2611</v>
      </c>
      <c r="H1719" t="s">
        <v>2581</v>
      </c>
      <c r="I1719">
        <v>0</v>
      </c>
      <c r="J1719">
        <v>518</v>
      </c>
      <c r="L1719" t="s">
        <v>26</v>
      </c>
    </row>
    <row r="1720" spans="1:12" x14ac:dyDescent="0.25">
      <c r="A1720">
        <v>101193</v>
      </c>
      <c r="B1720" t="s">
        <v>786</v>
      </c>
      <c r="C1720" t="s">
        <v>95</v>
      </c>
      <c r="D1720" t="s">
        <v>14</v>
      </c>
      <c r="E1720" t="s">
        <v>2183</v>
      </c>
      <c r="F1720" t="s">
        <v>2604</v>
      </c>
      <c r="G1720" t="s">
        <v>2617</v>
      </c>
      <c r="H1720" t="s">
        <v>2581</v>
      </c>
      <c r="I1720">
        <v>0</v>
      </c>
      <c r="J1720">
        <v>835</v>
      </c>
      <c r="K1720" t="s">
        <v>45</v>
      </c>
      <c r="L1720" t="s">
        <v>2582</v>
      </c>
    </row>
    <row r="1721" spans="1:12" x14ac:dyDescent="0.25">
      <c r="A1721">
        <v>100456</v>
      </c>
      <c r="B1721" t="s">
        <v>545</v>
      </c>
      <c r="C1721" t="s">
        <v>126</v>
      </c>
      <c r="D1721" t="s">
        <v>2184</v>
      </c>
      <c r="E1721" t="s">
        <v>2185</v>
      </c>
      <c r="F1721" t="s">
        <v>41</v>
      </c>
      <c r="G1721" t="s">
        <v>2609</v>
      </c>
      <c r="H1721" t="s">
        <v>83</v>
      </c>
      <c r="I1721">
        <v>0</v>
      </c>
      <c r="J1721">
        <v>494</v>
      </c>
      <c r="K1721" t="s">
        <v>56</v>
      </c>
      <c r="L1721" t="s">
        <v>26</v>
      </c>
    </row>
    <row r="1722" spans="1:12" x14ac:dyDescent="0.25">
      <c r="A1722">
        <v>100090</v>
      </c>
      <c r="B1722" t="s">
        <v>87</v>
      </c>
      <c r="C1722" t="s">
        <v>2696</v>
      </c>
      <c r="D1722" t="s">
        <v>1443</v>
      </c>
      <c r="E1722" t="s">
        <v>2186</v>
      </c>
      <c r="F1722" t="s">
        <v>41</v>
      </c>
      <c r="G1722" t="s">
        <v>2607</v>
      </c>
      <c r="H1722" t="s">
        <v>2620</v>
      </c>
      <c r="I1722">
        <v>0</v>
      </c>
      <c r="J1722">
        <v>892</v>
      </c>
      <c r="K1722" t="s">
        <v>45</v>
      </c>
      <c r="L1722" t="s">
        <v>2588</v>
      </c>
    </row>
    <row r="1723" spans="1:12" x14ac:dyDescent="0.25">
      <c r="A1723">
        <v>100118</v>
      </c>
      <c r="B1723" t="s">
        <v>610</v>
      </c>
      <c r="C1723" t="s">
        <v>126</v>
      </c>
      <c r="D1723" t="s">
        <v>2187</v>
      </c>
      <c r="E1723" t="s">
        <v>2188</v>
      </c>
      <c r="F1723" t="s">
        <v>2648</v>
      </c>
      <c r="G1723" t="s">
        <v>2584</v>
      </c>
      <c r="H1723" t="s">
        <v>2587</v>
      </c>
      <c r="I1723">
        <v>0</v>
      </c>
      <c r="J1723">
        <v>315</v>
      </c>
      <c r="K1723" t="s">
        <v>32</v>
      </c>
      <c r="L1723" t="s">
        <v>20</v>
      </c>
    </row>
    <row r="1724" spans="1:12" x14ac:dyDescent="0.25">
      <c r="A1724">
        <v>101512</v>
      </c>
      <c r="B1724" t="s">
        <v>75</v>
      </c>
      <c r="C1724" t="s">
        <v>39</v>
      </c>
      <c r="D1724" t="s">
        <v>2189</v>
      </c>
      <c r="E1724" t="s">
        <v>2190</v>
      </c>
      <c r="F1724" t="s">
        <v>2641</v>
      </c>
      <c r="G1724" t="s">
        <v>81</v>
      </c>
      <c r="H1724" t="s">
        <v>18</v>
      </c>
      <c r="I1724">
        <v>0</v>
      </c>
      <c r="J1724">
        <v>554</v>
      </c>
      <c r="K1724" t="s">
        <v>19</v>
      </c>
      <c r="L1724" t="s">
        <v>2582</v>
      </c>
    </row>
    <row r="1725" spans="1:12" x14ac:dyDescent="0.25">
      <c r="A1725">
        <v>100322</v>
      </c>
      <c r="B1725" t="s">
        <v>607</v>
      </c>
      <c r="C1725" t="s">
        <v>2664</v>
      </c>
      <c r="D1725" t="s">
        <v>2117</v>
      </c>
      <c r="E1725" t="s">
        <v>3556</v>
      </c>
      <c r="F1725" t="s">
        <v>2604</v>
      </c>
      <c r="G1725" t="s">
        <v>2631</v>
      </c>
      <c r="H1725" t="s">
        <v>2587</v>
      </c>
      <c r="I1725">
        <v>0</v>
      </c>
      <c r="J1725">
        <v>458</v>
      </c>
      <c r="K1725" t="s">
        <v>32</v>
      </c>
      <c r="L1725" t="s">
        <v>26</v>
      </c>
    </row>
    <row r="1726" spans="1:12" x14ac:dyDescent="0.25">
      <c r="A1726">
        <v>100975</v>
      </c>
      <c r="B1726" t="s">
        <v>682</v>
      </c>
      <c r="C1726" t="s">
        <v>2949</v>
      </c>
      <c r="D1726" t="s">
        <v>2055</v>
      </c>
      <c r="E1726" t="s">
        <v>3557</v>
      </c>
      <c r="F1726" t="s">
        <v>64</v>
      </c>
      <c r="G1726" t="s">
        <v>2617</v>
      </c>
      <c r="H1726" t="s">
        <v>2587</v>
      </c>
      <c r="I1726">
        <v>0</v>
      </c>
      <c r="J1726">
        <v>863</v>
      </c>
      <c r="K1726" t="s">
        <v>56</v>
      </c>
      <c r="L1726" t="s">
        <v>20</v>
      </c>
    </row>
    <row r="1727" spans="1:12" x14ac:dyDescent="0.25">
      <c r="A1727">
        <v>102021</v>
      </c>
      <c r="B1727" t="s">
        <v>825</v>
      </c>
      <c r="C1727" t="s">
        <v>58</v>
      </c>
      <c r="D1727" t="s">
        <v>1117</v>
      </c>
      <c r="E1727" t="s">
        <v>3558</v>
      </c>
      <c r="F1727" t="s">
        <v>50</v>
      </c>
      <c r="G1727" t="s">
        <v>2580</v>
      </c>
      <c r="H1727" t="s">
        <v>2597</v>
      </c>
      <c r="I1727">
        <v>12</v>
      </c>
      <c r="J1727">
        <v>636</v>
      </c>
      <c r="K1727" t="s">
        <v>37</v>
      </c>
      <c r="L1727" t="s">
        <v>26</v>
      </c>
    </row>
    <row r="1728" spans="1:12" x14ac:dyDescent="0.25">
      <c r="A1728">
        <v>100460</v>
      </c>
      <c r="B1728" t="s">
        <v>61</v>
      </c>
      <c r="C1728" t="s">
        <v>62</v>
      </c>
      <c r="D1728" t="s">
        <v>1108</v>
      </c>
      <c r="E1728" t="s">
        <v>2191</v>
      </c>
      <c r="F1728" t="s">
        <v>2627</v>
      </c>
      <c r="G1728" t="s">
        <v>2633</v>
      </c>
      <c r="H1728" t="s">
        <v>2581</v>
      </c>
      <c r="I1728">
        <v>0</v>
      </c>
      <c r="J1728">
        <v>542</v>
      </c>
      <c r="K1728" t="s">
        <v>37</v>
      </c>
      <c r="L1728" t="s">
        <v>26</v>
      </c>
    </row>
    <row r="1729" spans="1:12" x14ac:dyDescent="0.25">
      <c r="A1729">
        <v>100489</v>
      </c>
      <c r="B1729" t="s">
        <v>360</v>
      </c>
      <c r="C1729" t="s">
        <v>149</v>
      </c>
      <c r="D1729" t="s">
        <v>361</v>
      </c>
      <c r="E1729" t="s">
        <v>362</v>
      </c>
      <c r="F1729" t="s">
        <v>41</v>
      </c>
      <c r="G1729" t="s">
        <v>55</v>
      </c>
      <c r="H1729" t="s">
        <v>2581</v>
      </c>
      <c r="I1729">
        <v>0</v>
      </c>
      <c r="J1729">
        <v>621</v>
      </c>
      <c r="K1729" t="s">
        <v>45</v>
      </c>
      <c r="L1729" t="s">
        <v>20</v>
      </c>
    </row>
    <row r="1730" spans="1:12" x14ac:dyDescent="0.25">
      <c r="A1730">
        <v>101871</v>
      </c>
      <c r="B1730" t="s">
        <v>965</v>
      </c>
      <c r="C1730" t="s">
        <v>110</v>
      </c>
      <c r="D1730" t="s">
        <v>966</v>
      </c>
      <c r="E1730" t="s">
        <v>967</v>
      </c>
      <c r="F1730" t="s">
        <v>41</v>
      </c>
      <c r="G1730" t="s">
        <v>2631</v>
      </c>
      <c r="H1730" t="s">
        <v>18</v>
      </c>
      <c r="J1730">
        <v>821</v>
      </c>
      <c r="K1730" t="s">
        <v>32</v>
      </c>
      <c r="L1730" t="s">
        <v>2582</v>
      </c>
    </row>
    <row r="1731" spans="1:12" x14ac:dyDescent="0.25">
      <c r="A1731">
        <v>101598</v>
      </c>
      <c r="B1731" t="s">
        <v>825</v>
      </c>
      <c r="C1731" t="s">
        <v>58</v>
      </c>
      <c r="D1731" t="s">
        <v>2002</v>
      </c>
      <c r="E1731" t="s">
        <v>3559</v>
      </c>
      <c r="F1731" t="s">
        <v>2640</v>
      </c>
      <c r="G1731" t="s">
        <v>2625</v>
      </c>
      <c r="H1731" t="s">
        <v>2581</v>
      </c>
      <c r="I1731">
        <v>0</v>
      </c>
      <c r="J1731">
        <v>636</v>
      </c>
      <c r="K1731" t="s">
        <v>19</v>
      </c>
      <c r="L1731" t="s">
        <v>26</v>
      </c>
    </row>
    <row r="1732" spans="1:12" x14ac:dyDescent="0.25">
      <c r="A1732">
        <v>100242</v>
      </c>
      <c r="B1732" t="s">
        <v>510</v>
      </c>
      <c r="C1732" t="s">
        <v>244</v>
      </c>
      <c r="D1732" t="s">
        <v>960</v>
      </c>
      <c r="E1732" t="s">
        <v>3560</v>
      </c>
      <c r="F1732" t="s">
        <v>2643</v>
      </c>
      <c r="G1732" t="s">
        <v>2580</v>
      </c>
      <c r="H1732" t="s">
        <v>2644</v>
      </c>
      <c r="I1732">
        <v>0</v>
      </c>
      <c r="J1732">
        <v>411</v>
      </c>
      <c r="K1732" t="s">
        <v>19</v>
      </c>
      <c r="L1732" t="s">
        <v>2588</v>
      </c>
    </row>
    <row r="1733" spans="1:12" x14ac:dyDescent="0.25">
      <c r="A1733">
        <v>100699</v>
      </c>
      <c r="B1733" t="s">
        <v>68</v>
      </c>
      <c r="C1733" t="s">
        <v>52</v>
      </c>
      <c r="D1733" t="s">
        <v>1133</v>
      </c>
      <c r="E1733" t="s">
        <v>3561</v>
      </c>
      <c r="F1733" t="s">
        <v>2629</v>
      </c>
      <c r="G1733" t="s">
        <v>2631</v>
      </c>
      <c r="H1733" t="s">
        <v>2587</v>
      </c>
      <c r="I1733">
        <v>0</v>
      </c>
      <c r="J1733">
        <v>309</v>
      </c>
      <c r="K1733" t="s">
        <v>56</v>
      </c>
      <c r="L1733" t="s">
        <v>2582</v>
      </c>
    </row>
    <row r="1734" spans="1:12" x14ac:dyDescent="0.25">
      <c r="A1734">
        <v>100842</v>
      </c>
      <c r="B1734" t="s">
        <v>667</v>
      </c>
      <c r="C1734" t="s">
        <v>122</v>
      </c>
      <c r="D1734" t="s">
        <v>2192</v>
      </c>
      <c r="E1734" t="s">
        <v>2193</v>
      </c>
      <c r="F1734" t="s">
        <v>2583</v>
      </c>
      <c r="G1734" t="s">
        <v>2596</v>
      </c>
      <c r="H1734" t="s">
        <v>2620</v>
      </c>
      <c r="I1734">
        <v>0</v>
      </c>
      <c r="J1734">
        <v>896</v>
      </c>
      <c r="K1734" t="s">
        <v>32</v>
      </c>
      <c r="L1734" t="s">
        <v>2582</v>
      </c>
    </row>
    <row r="1735" spans="1:12" x14ac:dyDescent="0.25">
      <c r="A1735">
        <v>102121</v>
      </c>
      <c r="B1735" t="s">
        <v>418</v>
      </c>
      <c r="C1735" t="s">
        <v>52</v>
      </c>
      <c r="D1735" t="s">
        <v>1266</v>
      </c>
      <c r="E1735" t="s">
        <v>3562</v>
      </c>
      <c r="F1735" t="s">
        <v>2648</v>
      </c>
      <c r="G1735" t="s">
        <v>2614</v>
      </c>
      <c r="H1735" t="s">
        <v>2620</v>
      </c>
      <c r="I1735">
        <v>0</v>
      </c>
      <c r="J1735">
        <v>371</v>
      </c>
      <c r="K1735" t="s">
        <v>19</v>
      </c>
      <c r="L1735" t="s">
        <v>2588</v>
      </c>
    </row>
    <row r="1736" spans="1:12" x14ac:dyDescent="0.25">
      <c r="A1736">
        <v>100703</v>
      </c>
      <c r="B1736" t="s">
        <v>1535</v>
      </c>
      <c r="C1736" t="s">
        <v>122</v>
      </c>
      <c r="D1736" t="s">
        <v>2194</v>
      </c>
      <c r="E1736" t="s">
        <v>2195</v>
      </c>
      <c r="F1736" t="s">
        <v>64</v>
      </c>
      <c r="G1736" t="s">
        <v>2611</v>
      </c>
      <c r="H1736" t="s">
        <v>2618</v>
      </c>
      <c r="I1736">
        <v>0</v>
      </c>
      <c r="J1736">
        <v>873</v>
      </c>
      <c r="K1736" t="s">
        <v>32</v>
      </c>
      <c r="L1736" t="s">
        <v>20</v>
      </c>
    </row>
    <row r="1737" spans="1:12" x14ac:dyDescent="0.25">
      <c r="A1737">
        <v>101934</v>
      </c>
      <c r="B1737" t="s">
        <v>371</v>
      </c>
      <c r="C1737" t="s">
        <v>52</v>
      </c>
      <c r="D1737" t="s">
        <v>1489</v>
      </c>
      <c r="E1737" t="s">
        <v>2755</v>
      </c>
      <c r="F1737" t="s">
        <v>2579</v>
      </c>
      <c r="G1737" t="s">
        <v>2580</v>
      </c>
      <c r="H1737" t="s">
        <v>2597</v>
      </c>
      <c r="I1737">
        <v>18</v>
      </c>
      <c r="J1737">
        <v>339</v>
      </c>
      <c r="K1737" t="s">
        <v>45</v>
      </c>
      <c r="L1737" t="s">
        <v>26</v>
      </c>
    </row>
    <row r="1738" spans="1:12" x14ac:dyDescent="0.25">
      <c r="A1738">
        <v>100585</v>
      </c>
      <c r="B1738" t="s">
        <v>322</v>
      </c>
      <c r="C1738" t="s">
        <v>2786</v>
      </c>
      <c r="E1738" t="s">
        <v>2196</v>
      </c>
      <c r="F1738" t="s">
        <v>50</v>
      </c>
      <c r="G1738" t="s">
        <v>2658</v>
      </c>
      <c r="H1738" t="s">
        <v>2587</v>
      </c>
      <c r="I1738">
        <v>0</v>
      </c>
      <c r="J1738">
        <v>623</v>
      </c>
      <c r="K1738" t="s">
        <v>56</v>
      </c>
      <c r="L1738" t="s">
        <v>20</v>
      </c>
    </row>
    <row r="1739" spans="1:12" x14ac:dyDescent="0.25">
      <c r="A1739">
        <v>100980</v>
      </c>
      <c r="B1739" t="s">
        <v>563</v>
      </c>
      <c r="C1739" t="s">
        <v>2728</v>
      </c>
      <c r="D1739" t="s">
        <v>2197</v>
      </c>
      <c r="E1739" t="s">
        <v>3563</v>
      </c>
      <c r="F1739" t="s">
        <v>2608</v>
      </c>
      <c r="G1739" t="s">
        <v>31</v>
      </c>
      <c r="H1739" t="s">
        <v>2587</v>
      </c>
      <c r="I1739">
        <v>0</v>
      </c>
      <c r="J1739">
        <v>893</v>
      </c>
      <c r="K1739" t="s">
        <v>56</v>
      </c>
      <c r="L1739" t="s">
        <v>26</v>
      </c>
    </row>
    <row r="1740" spans="1:12" x14ac:dyDescent="0.25">
      <c r="A1740">
        <v>100693</v>
      </c>
      <c r="B1740" t="s">
        <v>12</v>
      </c>
      <c r="C1740" t="s">
        <v>13</v>
      </c>
      <c r="D1740" t="s">
        <v>2198</v>
      </c>
      <c r="E1740" t="s">
        <v>2199</v>
      </c>
      <c r="F1740" t="s">
        <v>2604</v>
      </c>
      <c r="G1740" t="s">
        <v>2625</v>
      </c>
      <c r="H1740" t="s">
        <v>18</v>
      </c>
      <c r="I1740">
        <v>0</v>
      </c>
      <c r="J1740">
        <v>753</v>
      </c>
      <c r="K1740" t="s">
        <v>32</v>
      </c>
      <c r="L1740" t="s">
        <v>26</v>
      </c>
    </row>
    <row r="1741" spans="1:12" x14ac:dyDescent="0.25">
      <c r="A1741">
        <v>100271</v>
      </c>
      <c r="B1741" t="s">
        <v>184</v>
      </c>
      <c r="C1741" t="s">
        <v>62</v>
      </c>
      <c r="D1741" t="s">
        <v>490</v>
      </c>
      <c r="E1741" t="s">
        <v>2921</v>
      </c>
      <c r="F1741" t="s">
        <v>2613</v>
      </c>
      <c r="G1741" t="s">
        <v>2602</v>
      </c>
      <c r="H1741" t="s">
        <v>2620</v>
      </c>
      <c r="I1741">
        <v>0</v>
      </c>
      <c r="J1741">
        <v>571</v>
      </c>
      <c r="K1741" t="s">
        <v>45</v>
      </c>
      <c r="L1741" t="s">
        <v>20</v>
      </c>
    </row>
    <row r="1742" spans="1:12" x14ac:dyDescent="0.25">
      <c r="A1742">
        <v>101136</v>
      </c>
      <c r="B1742" t="s">
        <v>908</v>
      </c>
      <c r="C1742" t="s">
        <v>110</v>
      </c>
      <c r="D1742" t="s">
        <v>2200</v>
      </c>
      <c r="E1742" t="s">
        <v>3564</v>
      </c>
      <c r="F1742" t="s">
        <v>2590</v>
      </c>
      <c r="G1742" t="s">
        <v>2652</v>
      </c>
      <c r="H1742" t="s">
        <v>18</v>
      </c>
      <c r="I1742">
        <v>0</v>
      </c>
      <c r="J1742">
        <v>550</v>
      </c>
      <c r="K1742" t="s">
        <v>45</v>
      </c>
      <c r="L1742" t="s">
        <v>2582</v>
      </c>
    </row>
    <row r="1743" spans="1:12" x14ac:dyDescent="0.25">
      <c r="A1743">
        <v>100596</v>
      </c>
      <c r="B1743" t="s">
        <v>719</v>
      </c>
      <c r="C1743" t="s">
        <v>22</v>
      </c>
      <c r="D1743" t="s">
        <v>395</v>
      </c>
      <c r="E1743" t="s">
        <v>2201</v>
      </c>
      <c r="F1743" t="s">
        <v>2629</v>
      </c>
      <c r="G1743" t="s">
        <v>2625</v>
      </c>
      <c r="H1743" t="s">
        <v>2620</v>
      </c>
      <c r="I1743">
        <v>0</v>
      </c>
      <c r="J1743">
        <v>461</v>
      </c>
      <c r="K1743" t="s">
        <v>32</v>
      </c>
      <c r="L1743" t="s">
        <v>2588</v>
      </c>
    </row>
    <row r="1744" spans="1:12" x14ac:dyDescent="0.25">
      <c r="A1744">
        <v>100786</v>
      </c>
      <c r="B1744" t="s">
        <v>390</v>
      </c>
      <c r="C1744" t="s">
        <v>110</v>
      </c>
      <c r="D1744" t="s">
        <v>449</v>
      </c>
      <c r="E1744" t="s">
        <v>3565</v>
      </c>
      <c r="F1744" t="s">
        <v>2640</v>
      </c>
      <c r="H1744" t="s">
        <v>18</v>
      </c>
      <c r="I1744">
        <v>0</v>
      </c>
      <c r="J1744">
        <v>773</v>
      </c>
      <c r="K1744" t="s">
        <v>45</v>
      </c>
      <c r="L1744" t="s">
        <v>2588</v>
      </c>
    </row>
    <row r="1745" spans="1:12" x14ac:dyDescent="0.25">
      <c r="A1745">
        <v>101541</v>
      </c>
      <c r="B1745" t="s">
        <v>667</v>
      </c>
      <c r="C1745" t="s">
        <v>122</v>
      </c>
      <c r="D1745" t="s">
        <v>2202</v>
      </c>
      <c r="E1745" t="s">
        <v>2203</v>
      </c>
      <c r="F1745" t="s">
        <v>2641</v>
      </c>
      <c r="G1745" t="s">
        <v>2596</v>
      </c>
      <c r="H1745" t="s">
        <v>2630</v>
      </c>
      <c r="I1745">
        <v>16</v>
      </c>
      <c r="J1745">
        <v>896</v>
      </c>
      <c r="K1745" t="s">
        <v>19</v>
      </c>
      <c r="L1745" t="s">
        <v>26</v>
      </c>
    </row>
    <row r="1746" spans="1:12" x14ac:dyDescent="0.25">
      <c r="A1746">
        <v>101251</v>
      </c>
      <c r="B1746" t="s">
        <v>1163</v>
      </c>
      <c r="C1746" t="s">
        <v>2786</v>
      </c>
      <c r="D1746" t="s">
        <v>400</v>
      </c>
      <c r="E1746" t="s">
        <v>3566</v>
      </c>
      <c r="F1746" t="s">
        <v>2608</v>
      </c>
      <c r="G1746" t="s">
        <v>2591</v>
      </c>
      <c r="H1746" t="s">
        <v>2623</v>
      </c>
      <c r="I1746">
        <v>125</v>
      </c>
      <c r="J1746">
        <v>850</v>
      </c>
      <c r="K1746" t="s">
        <v>19</v>
      </c>
      <c r="L1746" t="s">
        <v>2582</v>
      </c>
    </row>
    <row r="1747" spans="1:12" x14ac:dyDescent="0.25">
      <c r="A1747">
        <v>100497</v>
      </c>
      <c r="B1747" t="s">
        <v>138</v>
      </c>
      <c r="C1747" t="s">
        <v>85</v>
      </c>
      <c r="D1747" t="s">
        <v>613</v>
      </c>
      <c r="F1747" t="s">
        <v>2654</v>
      </c>
      <c r="G1747" t="s">
        <v>2607</v>
      </c>
      <c r="H1747" t="s">
        <v>2587</v>
      </c>
      <c r="I1747">
        <v>0</v>
      </c>
      <c r="J1747">
        <v>623</v>
      </c>
      <c r="K1747" t="s">
        <v>45</v>
      </c>
      <c r="L1747" t="s">
        <v>2582</v>
      </c>
    </row>
    <row r="1748" spans="1:12" x14ac:dyDescent="0.25">
      <c r="A1748">
        <v>101523</v>
      </c>
      <c r="B1748" t="s">
        <v>616</v>
      </c>
      <c r="C1748" t="s">
        <v>95</v>
      </c>
      <c r="D1748" t="s">
        <v>1293</v>
      </c>
      <c r="E1748" t="s">
        <v>2204</v>
      </c>
      <c r="F1748" t="s">
        <v>2579</v>
      </c>
      <c r="G1748" t="s">
        <v>60</v>
      </c>
      <c r="H1748" t="s">
        <v>42</v>
      </c>
      <c r="I1748">
        <v>63</v>
      </c>
      <c r="J1748">
        <v>898</v>
      </c>
      <c r="K1748" t="s">
        <v>37</v>
      </c>
      <c r="L1748" t="s">
        <v>2588</v>
      </c>
    </row>
    <row r="1749" spans="1:12" x14ac:dyDescent="0.25">
      <c r="A1749">
        <v>100221</v>
      </c>
      <c r="B1749" t="s">
        <v>463</v>
      </c>
      <c r="C1749" t="s">
        <v>126</v>
      </c>
      <c r="D1749" t="s">
        <v>1949</v>
      </c>
      <c r="E1749" t="s">
        <v>2205</v>
      </c>
      <c r="F1749" t="s">
        <v>2640</v>
      </c>
      <c r="G1749" t="s">
        <v>2635</v>
      </c>
      <c r="H1749" t="s">
        <v>83</v>
      </c>
      <c r="I1749">
        <v>0</v>
      </c>
      <c r="J1749">
        <v>765</v>
      </c>
      <c r="K1749" t="s">
        <v>56</v>
      </c>
      <c r="L1749" t="s">
        <v>2588</v>
      </c>
    </row>
    <row r="1750" spans="1:12" x14ac:dyDescent="0.25">
      <c r="A1750">
        <v>100405</v>
      </c>
      <c r="B1750" t="s">
        <v>525</v>
      </c>
      <c r="C1750" t="s">
        <v>58</v>
      </c>
      <c r="D1750" t="s">
        <v>2206</v>
      </c>
      <c r="E1750" t="s">
        <v>3567</v>
      </c>
      <c r="F1750" t="s">
        <v>50</v>
      </c>
      <c r="G1750" t="s">
        <v>31</v>
      </c>
      <c r="H1750" t="s">
        <v>2620</v>
      </c>
      <c r="J1750">
        <v>501</v>
      </c>
      <c r="K1750" t="s">
        <v>19</v>
      </c>
      <c r="L1750" t="s">
        <v>20</v>
      </c>
    </row>
    <row r="1751" spans="1:12" x14ac:dyDescent="0.25">
      <c r="A1751">
        <v>101220</v>
      </c>
      <c r="B1751" t="s">
        <v>259</v>
      </c>
      <c r="C1751" t="s">
        <v>218</v>
      </c>
      <c r="D1751" t="s">
        <v>1706</v>
      </c>
      <c r="E1751" t="s">
        <v>3568</v>
      </c>
      <c r="F1751" t="s">
        <v>2593</v>
      </c>
      <c r="G1751" t="s">
        <v>2580</v>
      </c>
      <c r="H1751" t="s">
        <v>2587</v>
      </c>
      <c r="I1751">
        <v>0</v>
      </c>
      <c r="J1751">
        <v>732</v>
      </c>
      <c r="K1751" t="s">
        <v>37</v>
      </c>
      <c r="L1751" t="s">
        <v>26</v>
      </c>
    </row>
    <row r="1752" spans="1:12" x14ac:dyDescent="0.25">
      <c r="A1752">
        <v>101361</v>
      </c>
      <c r="B1752" t="s">
        <v>167</v>
      </c>
      <c r="C1752" t="s">
        <v>168</v>
      </c>
      <c r="D1752" t="s">
        <v>410</v>
      </c>
      <c r="E1752" t="s">
        <v>2207</v>
      </c>
      <c r="F1752" t="s">
        <v>50</v>
      </c>
      <c r="G1752" t="s">
        <v>2682</v>
      </c>
      <c r="H1752" t="s">
        <v>2618</v>
      </c>
      <c r="I1752">
        <v>0</v>
      </c>
      <c r="J1752">
        <v>658</v>
      </c>
      <c r="K1752" t="s">
        <v>45</v>
      </c>
      <c r="L1752" t="s">
        <v>2582</v>
      </c>
    </row>
    <row r="1753" spans="1:12" x14ac:dyDescent="0.25">
      <c r="A1753">
        <v>100878</v>
      </c>
      <c r="B1753" t="s">
        <v>167</v>
      </c>
      <c r="C1753" t="s">
        <v>168</v>
      </c>
      <c r="D1753" t="s">
        <v>199</v>
      </c>
      <c r="E1753" t="s">
        <v>2072</v>
      </c>
      <c r="F1753" t="s">
        <v>2593</v>
      </c>
      <c r="G1753" t="s">
        <v>2652</v>
      </c>
      <c r="H1753" t="s">
        <v>83</v>
      </c>
      <c r="I1753">
        <v>0</v>
      </c>
      <c r="J1753">
        <v>658</v>
      </c>
      <c r="K1753" t="s">
        <v>32</v>
      </c>
      <c r="L1753" t="s">
        <v>20</v>
      </c>
    </row>
    <row r="1754" spans="1:12" x14ac:dyDescent="0.25">
      <c r="A1754">
        <v>100921</v>
      </c>
      <c r="B1754" t="s">
        <v>288</v>
      </c>
      <c r="C1754" t="s">
        <v>85</v>
      </c>
      <c r="D1754" t="s">
        <v>2208</v>
      </c>
      <c r="E1754" t="s">
        <v>3569</v>
      </c>
      <c r="F1754" t="s">
        <v>2648</v>
      </c>
      <c r="G1754" t="s">
        <v>2599</v>
      </c>
      <c r="H1754" t="s">
        <v>2587</v>
      </c>
      <c r="I1754">
        <v>0</v>
      </c>
      <c r="J1754">
        <v>746</v>
      </c>
      <c r="K1754" t="s">
        <v>32</v>
      </c>
      <c r="L1754" t="s">
        <v>2582</v>
      </c>
    </row>
    <row r="1755" spans="1:12" x14ac:dyDescent="0.25">
      <c r="A1755">
        <v>101842</v>
      </c>
      <c r="B1755" t="s">
        <v>1177</v>
      </c>
      <c r="C1755" t="s">
        <v>62</v>
      </c>
      <c r="D1755" t="s">
        <v>2209</v>
      </c>
      <c r="E1755" t="s">
        <v>3570</v>
      </c>
      <c r="F1755" t="s">
        <v>2641</v>
      </c>
      <c r="G1755" t="s">
        <v>2682</v>
      </c>
      <c r="H1755" t="s">
        <v>2581</v>
      </c>
      <c r="I1755">
        <v>0</v>
      </c>
      <c r="J1755">
        <v>482</v>
      </c>
      <c r="K1755" t="s">
        <v>32</v>
      </c>
      <c r="L1755" t="s">
        <v>2588</v>
      </c>
    </row>
    <row r="1756" spans="1:12" x14ac:dyDescent="0.25">
      <c r="A1756">
        <v>100985</v>
      </c>
      <c r="B1756" t="s">
        <v>599</v>
      </c>
      <c r="C1756" t="s">
        <v>52</v>
      </c>
      <c r="D1756" t="s">
        <v>2210</v>
      </c>
      <c r="E1756" t="s">
        <v>3571</v>
      </c>
      <c r="F1756" t="s">
        <v>64</v>
      </c>
      <c r="H1756" t="s">
        <v>2587</v>
      </c>
      <c r="I1756">
        <v>0</v>
      </c>
      <c r="J1756">
        <v>552</v>
      </c>
      <c r="K1756" t="s">
        <v>56</v>
      </c>
      <c r="L1756" t="s">
        <v>2588</v>
      </c>
    </row>
    <row r="1757" spans="1:12" x14ac:dyDescent="0.25">
      <c r="A1757">
        <v>101949</v>
      </c>
      <c r="B1757" t="s">
        <v>286</v>
      </c>
      <c r="C1757" t="s">
        <v>168</v>
      </c>
      <c r="D1757" t="s">
        <v>1353</v>
      </c>
      <c r="E1757" t="s">
        <v>3572</v>
      </c>
      <c r="F1757" t="s">
        <v>41</v>
      </c>
      <c r="G1757" t="s">
        <v>2596</v>
      </c>
      <c r="H1757" t="s">
        <v>2581</v>
      </c>
      <c r="I1757">
        <v>0</v>
      </c>
      <c r="J1757">
        <v>434</v>
      </c>
      <c r="K1757" t="s">
        <v>19</v>
      </c>
      <c r="L1757" t="s">
        <v>2588</v>
      </c>
    </row>
    <row r="1758" spans="1:12" x14ac:dyDescent="0.25">
      <c r="A1758">
        <v>101838</v>
      </c>
      <c r="B1758" t="s">
        <v>1177</v>
      </c>
      <c r="C1758" t="s">
        <v>62</v>
      </c>
      <c r="D1758" t="s">
        <v>101</v>
      </c>
      <c r="E1758" t="s">
        <v>379</v>
      </c>
      <c r="F1758" t="s">
        <v>2598</v>
      </c>
      <c r="G1758" t="s">
        <v>2611</v>
      </c>
      <c r="H1758" t="s">
        <v>83</v>
      </c>
      <c r="I1758">
        <v>0</v>
      </c>
      <c r="J1758">
        <v>482</v>
      </c>
      <c r="K1758" t="s">
        <v>32</v>
      </c>
      <c r="L1758" t="s">
        <v>26</v>
      </c>
    </row>
    <row r="1759" spans="1:12" x14ac:dyDescent="0.25">
      <c r="A1759">
        <v>101162</v>
      </c>
      <c r="B1759" t="s">
        <v>61</v>
      </c>
      <c r="C1759" t="s">
        <v>62</v>
      </c>
      <c r="D1759" t="s">
        <v>1024</v>
      </c>
      <c r="E1759" t="s">
        <v>3573</v>
      </c>
      <c r="F1759" t="s">
        <v>64</v>
      </c>
      <c r="G1759" t="s">
        <v>2602</v>
      </c>
      <c r="H1759" t="s">
        <v>2644</v>
      </c>
      <c r="I1759">
        <v>0</v>
      </c>
      <c r="J1759">
        <v>542</v>
      </c>
      <c r="L1759" t="s">
        <v>26</v>
      </c>
    </row>
    <row r="1760" spans="1:12" x14ac:dyDescent="0.25">
      <c r="A1760">
        <v>100313</v>
      </c>
      <c r="B1760" t="s">
        <v>151</v>
      </c>
      <c r="C1760" t="s">
        <v>152</v>
      </c>
      <c r="D1760" t="s">
        <v>2211</v>
      </c>
      <c r="E1760" t="s">
        <v>3574</v>
      </c>
      <c r="F1760" t="s">
        <v>2616</v>
      </c>
      <c r="G1760" t="s">
        <v>2625</v>
      </c>
      <c r="H1760" t="s">
        <v>2581</v>
      </c>
      <c r="I1760">
        <v>0</v>
      </c>
      <c r="J1760">
        <v>534</v>
      </c>
      <c r="K1760" t="s">
        <v>37</v>
      </c>
      <c r="L1760" t="s">
        <v>26</v>
      </c>
    </row>
    <row r="1761" spans="1:12" x14ac:dyDescent="0.25">
      <c r="A1761">
        <v>101553</v>
      </c>
      <c r="B1761" t="s">
        <v>329</v>
      </c>
      <c r="C1761" t="s">
        <v>270</v>
      </c>
      <c r="D1761" t="s">
        <v>1619</v>
      </c>
      <c r="E1761" t="s">
        <v>3481</v>
      </c>
      <c r="F1761" t="s">
        <v>2641</v>
      </c>
      <c r="G1761" t="s">
        <v>2617</v>
      </c>
      <c r="H1761" t="s">
        <v>2587</v>
      </c>
      <c r="J1761">
        <v>328</v>
      </c>
      <c r="K1761" t="s">
        <v>32</v>
      </c>
      <c r="L1761" t="s">
        <v>2588</v>
      </c>
    </row>
    <row r="1762" spans="1:12" x14ac:dyDescent="0.25">
      <c r="A1762">
        <v>102052</v>
      </c>
      <c r="B1762" t="s">
        <v>576</v>
      </c>
      <c r="C1762" t="s">
        <v>22</v>
      </c>
      <c r="D1762" t="s">
        <v>853</v>
      </c>
      <c r="E1762" t="s">
        <v>2212</v>
      </c>
      <c r="F1762" t="s">
        <v>2643</v>
      </c>
      <c r="G1762" t="s">
        <v>2599</v>
      </c>
      <c r="H1762" t="s">
        <v>42</v>
      </c>
      <c r="I1762">
        <v>153</v>
      </c>
      <c r="J1762">
        <v>418</v>
      </c>
      <c r="K1762" t="s">
        <v>19</v>
      </c>
      <c r="L1762" t="s">
        <v>2582</v>
      </c>
    </row>
    <row r="1763" spans="1:12" x14ac:dyDescent="0.25">
      <c r="A1763">
        <v>100508</v>
      </c>
      <c r="B1763" t="s">
        <v>767</v>
      </c>
      <c r="C1763" t="s">
        <v>110</v>
      </c>
      <c r="D1763" t="s">
        <v>956</v>
      </c>
      <c r="E1763" t="s">
        <v>2213</v>
      </c>
      <c r="F1763" t="s">
        <v>2641</v>
      </c>
      <c r="G1763" t="s">
        <v>2635</v>
      </c>
      <c r="H1763" t="s">
        <v>2587</v>
      </c>
      <c r="I1763">
        <v>0</v>
      </c>
      <c r="J1763">
        <v>543</v>
      </c>
      <c r="K1763" t="s">
        <v>56</v>
      </c>
      <c r="L1763" t="s">
        <v>2582</v>
      </c>
    </row>
    <row r="1764" spans="1:12" x14ac:dyDescent="0.25">
      <c r="A1764">
        <v>101786</v>
      </c>
      <c r="B1764" t="s">
        <v>807</v>
      </c>
      <c r="C1764" t="s">
        <v>85</v>
      </c>
      <c r="D1764" t="s">
        <v>2214</v>
      </c>
      <c r="E1764" t="s">
        <v>3575</v>
      </c>
      <c r="F1764" t="s">
        <v>2654</v>
      </c>
      <c r="G1764" t="s">
        <v>2609</v>
      </c>
      <c r="H1764" t="s">
        <v>83</v>
      </c>
      <c r="I1764">
        <v>0</v>
      </c>
      <c r="J1764">
        <v>443</v>
      </c>
      <c r="K1764" t="s">
        <v>37</v>
      </c>
      <c r="L1764" t="s">
        <v>26</v>
      </c>
    </row>
    <row r="1765" spans="1:12" x14ac:dyDescent="0.25">
      <c r="A1765">
        <v>100394</v>
      </c>
      <c r="B1765" t="s">
        <v>136</v>
      </c>
      <c r="C1765" t="s">
        <v>58</v>
      </c>
      <c r="D1765" t="s">
        <v>1678</v>
      </c>
      <c r="E1765" t="s">
        <v>3576</v>
      </c>
      <c r="F1765" t="s">
        <v>2579</v>
      </c>
      <c r="G1765" t="s">
        <v>2611</v>
      </c>
      <c r="H1765" t="s">
        <v>2581</v>
      </c>
      <c r="I1765">
        <v>0</v>
      </c>
      <c r="J1765">
        <v>540</v>
      </c>
      <c r="K1765" t="s">
        <v>56</v>
      </c>
      <c r="L1765" t="s">
        <v>2588</v>
      </c>
    </row>
    <row r="1766" spans="1:12" x14ac:dyDescent="0.25">
      <c r="A1766">
        <v>101407</v>
      </c>
      <c r="B1766" t="s">
        <v>385</v>
      </c>
      <c r="C1766" t="s">
        <v>85</v>
      </c>
      <c r="D1766" t="s">
        <v>1236</v>
      </c>
      <c r="E1766" t="s">
        <v>3577</v>
      </c>
      <c r="F1766" t="s">
        <v>2629</v>
      </c>
      <c r="G1766" t="s">
        <v>55</v>
      </c>
      <c r="H1766" t="s">
        <v>18</v>
      </c>
      <c r="I1766">
        <v>0</v>
      </c>
      <c r="J1766">
        <v>490</v>
      </c>
      <c r="K1766" t="s">
        <v>32</v>
      </c>
      <c r="L1766" t="s">
        <v>26</v>
      </c>
    </row>
    <row r="1767" spans="1:12" x14ac:dyDescent="0.25">
      <c r="A1767">
        <v>101034</v>
      </c>
      <c r="B1767" t="s">
        <v>765</v>
      </c>
      <c r="C1767" t="s">
        <v>22</v>
      </c>
      <c r="D1767" t="s">
        <v>2111</v>
      </c>
      <c r="E1767" t="s">
        <v>3515</v>
      </c>
      <c r="F1767" t="s">
        <v>2643</v>
      </c>
      <c r="G1767" t="s">
        <v>2580</v>
      </c>
      <c r="H1767" t="s">
        <v>2587</v>
      </c>
      <c r="I1767">
        <v>0</v>
      </c>
      <c r="J1767">
        <v>851</v>
      </c>
      <c r="L1767" t="s">
        <v>26</v>
      </c>
    </row>
    <row r="1768" spans="1:12" x14ac:dyDescent="0.25">
      <c r="A1768">
        <v>100410</v>
      </c>
      <c r="B1768" t="s">
        <v>528</v>
      </c>
      <c r="C1768" t="s">
        <v>103</v>
      </c>
      <c r="D1768" t="s">
        <v>132</v>
      </c>
      <c r="E1768" t="s">
        <v>3578</v>
      </c>
      <c r="F1768" t="s">
        <v>30</v>
      </c>
      <c r="G1768" t="s">
        <v>2607</v>
      </c>
      <c r="H1768" t="s">
        <v>2587</v>
      </c>
      <c r="I1768">
        <v>0</v>
      </c>
      <c r="J1768">
        <v>583</v>
      </c>
      <c r="K1768" t="s">
        <v>19</v>
      </c>
      <c r="L1768" t="s">
        <v>26</v>
      </c>
    </row>
    <row r="1769" spans="1:12" x14ac:dyDescent="0.25">
      <c r="A1769">
        <v>100678</v>
      </c>
      <c r="B1769" t="s">
        <v>558</v>
      </c>
      <c r="C1769" t="s">
        <v>218</v>
      </c>
      <c r="D1769" t="s">
        <v>837</v>
      </c>
      <c r="E1769" t="s">
        <v>3579</v>
      </c>
      <c r="F1769" t="s">
        <v>41</v>
      </c>
      <c r="H1769" t="s">
        <v>2623</v>
      </c>
      <c r="I1769">
        <v>86</v>
      </c>
      <c r="J1769">
        <v>784</v>
      </c>
      <c r="K1769" t="s">
        <v>56</v>
      </c>
      <c r="L1769" t="s">
        <v>2582</v>
      </c>
    </row>
    <row r="1770" spans="1:12" x14ac:dyDescent="0.25">
      <c r="A1770">
        <v>100953</v>
      </c>
      <c r="B1770" t="s">
        <v>21</v>
      </c>
      <c r="C1770" t="s">
        <v>22</v>
      </c>
      <c r="D1770" t="s">
        <v>1244</v>
      </c>
      <c r="E1770" t="s">
        <v>2215</v>
      </c>
      <c r="F1770" t="s">
        <v>2598</v>
      </c>
      <c r="G1770" t="s">
        <v>2625</v>
      </c>
      <c r="H1770" t="s">
        <v>2620</v>
      </c>
      <c r="I1770">
        <v>0</v>
      </c>
      <c r="J1770">
        <v>771</v>
      </c>
      <c r="K1770" t="s">
        <v>45</v>
      </c>
      <c r="L1770" t="s">
        <v>2582</v>
      </c>
    </row>
    <row r="1771" spans="1:12" x14ac:dyDescent="0.25">
      <c r="A1771">
        <v>102198</v>
      </c>
      <c r="B1771" t="s">
        <v>121</v>
      </c>
      <c r="C1771" t="s">
        <v>122</v>
      </c>
      <c r="D1771" t="s">
        <v>1176</v>
      </c>
      <c r="E1771" t="s">
        <v>3580</v>
      </c>
      <c r="F1771" t="s">
        <v>2598</v>
      </c>
      <c r="G1771" t="s">
        <v>2599</v>
      </c>
      <c r="H1771" t="s">
        <v>83</v>
      </c>
      <c r="I1771">
        <v>0</v>
      </c>
      <c r="J1771">
        <v>823</v>
      </c>
      <c r="K1771" t="s">
        <v>45</v>
      </c>
      <c r="L1771" t="s">
        <v>2588</v>
      </c>
    </row>
    <row r="1772" spans="1:12" x14ac:dyDescent="0.25">
      <c r="A1772">
        <v>100329</v>
      </c>
      <c r="B1772" t="s">
        <v>288</v>
      </c>
      <c r="C1772" t="s">
        <v>2699</v>
      </c>
      <c r="D1772" t="s">
        <v>2216</v>
      </c>
      <c r="E1772" t="s">
        <v>3581</v>
      </c>
      <c r="F1772" t="s">
        <v>2629</v>
      </c>
      <c r="G1772" t="s">
        <v>2633</v>
      </c>
      <c r="H1772" t="s">
        <v>2585</v>
      </c>
      <c r="I1772">
        <v>15</v>
      </c>
      <c r="J1772">
        <v>746</v>
      </c>
      <c r="K1772" t="s">
        <v>56</v>
      </c>
      <c r="L1772" t="s">
        <v>2582</v>
      </c>
    </row>
    <row r="1773" spans="1:12" x14ac:dyDescent="0.25">
      <c r="A1773">
        <v>101037</v>
      </c>
      <c r="B1773" t="s">
        <v>236</v>
      </c>
      <c r="C1773" t="s">
        <v>47</v>
      </c>
      <c r="D1773" t="s">
        <v>660</v>
      </c>
      <c r="E1773" t="s">
        <v>2217</v>
      </c>
      <c r="F1773" t="s">
        <v>2583</v>
      </c>
      <c r="G1773" t="s">
        <v>2609</v>
      </c>
      <c r="H1773" t="s">
        <v>2581</v>
      </c>
      <c r="I1773">
        <v>0</v>
      </c>
      <c r="J1773">
        <v>797</v>
      </c>
      <c r="K1773" t="s">
        <v>37</v>
      </c>
      <c r="L1773" t="s">
        <v>2582</v>
      </c>
    </row>
    <row r="1774" spans="1:12" x14ac:dyDescent="0.25">
      <c r="A1774">
        <v>100086</v>
      </c>
      <c r="B1774" t="s">
        <v>805</v>
      </c>
      <c r="C1774" t="s">
        <v>2632</v>
      </c>
      <c r="D1774" t="s">
        <v>2136</v>
      </c>
      <c r="E1774" t="s">
        <v>3582</v>
      </c>
      <c r="F1774" t="s">
        <v>64</v>
      </c>
      <c r="G1774" t="s">
        <v>2631</v>
      </c>
      <c r="H1774" t="s">
        <v>18</v>
      </c>
      <c r="I1774">
        <v>0</v>
      </c>
      <c r="J1774">
        <v>352</v>
      </c>
      <c r="K1774" t="s">
        <v>19</v>
      </c>
      <c r="L1774" t="s">
        <v>2582</v>
      </c>
    </row>
    <row r="1775" spans="1:12" x14ac:dyDescent="0.25">
      <c r="A1775">
        <v>100084</v>
      </c>
      <c r="B1775" t="s">
        <v>21</v>
      </c>
      <c r="C1775" t="s">
        <v>22</v>
      </c>
      <c r="D1775" t="s">
        <v>1524</v>
      </c>
      <c r="E1775" t="s">
        <v>3583</v>
      </c>
      <c r="F1775" t="s">
        <v>2627</v>
      </c>
      <c r="G1775" t="s">
        <v>2658</v>
      </c>
      <c r="H1775" t="s">
        <v>2623</v>
      </c>
      <c r="I1775">
        <v>64</v>
      </c>
      <c r="J1775">
        <v>771</v>
      </c>
      <c r="K1775" t="s">
        <v>56</v>
      </c>
      <c r="L1775" t="s">
        <v>2582</v>
      </c>
    </row>
    <row r="1776" spans="1:12" x14ac:dyDescent="0.25">
      <c r="A1776">
        <v>100207</v>
      </c>
      <c r="B1776" t="s">
        <v>329</v>
      </c>
      <c r="C1776" t="s">
        <v>270</v>
      </c>
      <c r="D1776" t="s">
        <v>228</v>
      </c>
      <c r="E1776" t="s">
        <v>3584</v>
      </c>
      <c r="F1776" t="s">
        <v>2654</v>
      </c>
      <c r="G1776" t="s">
        <v>2607</v>
      </c>
      <c r="H1776" t="s">
        <v>18</v>
      </c>
      <c r="I1776">
        <v>0</v>
      </c>
      <c r="J1776">
        <v>328</v>
      </c>
      <c r="K1776" t="s">
        <v>37</v>
      </c>
      <c r="L1776" t="s">
        <v>2588</v>
      </c>
    </row>
    <row r="1777" spans="1:12" x14ac:dyDescent="0.25">
      <c r="A1777">
        <v>100104</v>
      </c>
      <c r="B1777" t="s">
        <v>294</v>
      </c>
      <c r="C1777" t="s">
        <v>100</v>
      </c>
      <c r="D1777" t="s">
        <v>1633</v>
      </c>
      <c r="E1777" t="s">
        <v>3585</v>
      </c>
      <c r="F1777" t="s">
        <v>2654</v>
      </c>
      <c r="H1777" t="s">
        <v>18</v>
      </c>
      <c r="I1777">
        <v>0</v>
      </c>
      <c r="J1777">
        <v>377</v>
      </c>
      <c r="K1777" t="s">
        <v>32</v>
      </c>
      <c r="L1777" t="s">
        <v>2582</v>
      </c>
    </row>
    <row r="1778" spans="1:12" x14ac:dyDescent="0.25">
      <c r="A1778">
        <v>101334</v>
      </c>
      <c r="B1778" t="s">
        <v>338</v>
      </c>
      <c r="C1778" t="s">
        <v>22</v>
      </c>
      <c r="D1778" t="s">
        <v>2218</v>
      </c>
      <c r="E1778" t="s">
        <v>3586</v>
      </c>
      <c r="F1778" t="s">
        <v>2641</v>
      </c>
      <c r="G1778" t="s">
        <v>2625</v>
      </c>
      <c r="H1778" t="s">
        <v>2597</v>
      </c>
      <c r="I1778">
        <v>26</v>
      </c>
      <c r="J1778">
        <v>832</v>
      </c>
      <c r="K1778" t="s">
        <v>32</v>
      </c>
      <c r="L1778" t="s">
        <v>26</v>
      </c>
    </row>
    <row r="1779" spans="1:12" x14ac:dyDescent="0.25">
      <c r="A1779">
        <v>101219</v>
      </c>
      <c r="B1779" t="s">
        <v>43</v>
      </c>
      <c r="C1779" t="s">
        <v>22</v>
      </c>
      <c r="D1779" t="s">
        <v>2219</v>
      </c>
      <c r="E1779" t="s">
        <v>2220</v>
      </c>
      <c r="F1779" t="s">
        <v>2616</v>
      </c>
      <c r="H1779" t="s">
        <v>2585</v>
      </c>
      <c r="I1779">
        <v>16</v>
      </c>
      <c r="J1779">
        <v>396</v>
      </c>
      <c r="K1779" t="s">
        <v>45</v>
      </c>
      <c r="L1779" t="s">
        <v>20</v>
      </c>
    </row>
    <row r="1780" spans="1:12" x14ac:dyDescent="0.25">
      <c r="A1780">
        <v>100735</v>
      </c>
      <c r="B1780" t="s">
        <v>207</v>
      </c>
      <c r="C1780" t="s">
        <v>103</v>
      </c>
      <c r="D1780" t="s">
        <v>1718</v>
      </c>
      <c r="E1780" t="s">
        <v>3587</v>
      </c>
      <c r="F1780" t="s">
        <v>2608</v>
      </c>
      <c r="G1780" t="s">
        <v>2607</v>
      </c>
      <c r="H1780" t="s">
        <v>2585</v>
      </c>
      <c r="I1780">
        <v>18</v>
      </c>
      <c r="J1780">
        <v>360</v>
      </c>
      <c r="K1780" t="s">
        <v>56</v>
      </c>
      <c r="L1780" t="s">
        <v>2582</v>
      </c>
    </row>
    <row r="1781" spans="1:12" x14ac:dyDescent="0.25">
      <c r="A1781">
        <v>101690</v>
      </c>
      <c r="B1781" t="s">
        <v>545</v>
      </c>
      <c r="C1781" t="s">
        <v>126</v>
      </c>
      <c r="D1781" t="s">
        <v>945</v>
      </c>
      <c r="E1781" t="s">
        <v>3588</v>
      </c>
      <c r="F1781" t="s">
        <v>50</v>
      </c>
      <c r="G1781" t="s">
        <v>81</v>
      </c>
      <c r="H1781" t="s">
        <v>2587</v>
      </c>
      <c r="I1781">
        <v>0</v>
      </c>
      <c r="J1781">
        <v>494</v>
      </c>
      <c r="K1781" t="s">
        <v>45</v>
      </c>
      <c r="L1781" t="s">
        <v>2588</v>
      </c>
    </row>
    <row r="1782" spans="1:12" x14ac:dyDescent="0.25">
      <c r="A1782">
        <v>101205</v>
      </c>
      <c r="B1782" t="s">
        <v>553</v>
      </c>
      <c r="C1782" t="s">
        <v>72</v>
      </c>
      <c r="D1782" t="s">
        <v>1178</v>
      </c>
      <c r="E1782" t="s">
        <v>3589</v>
      </c>
      <c r="F1782" t="s">
        <v>2608</v>
      </c>
      <c r="G1782" t="s">
        <v>2580</v>
      </c>
      <c r="H1782" t="s">
        <v>2618</v>
      </c>
      <c r="I1782">
        <v>0</v>
      </c>
      <c r="J1782">
        <v>638</v>
      </c>
      <c r="K1782" t="s">
        <v>45</v>
      </c>
      <c r="L1782" t="s">
        <v>2588</v>
      </c>
    </row>
    <row r="1783" spans="1:12" x14ac:dyDescent="0.25">
      <c r="A1783">
        <v>100695</v>
      </c>
      <c r="B1783" t="s">
        <v>349</v>
      </c>
      <c r="C1783" t="s">
        <v>28</v>
      </c>
      <c r="D1783" t="s">
        <v>752</v>
      </c>
      <c r="E1783" t="s">
        <v>2221</v>
      </c>
      <c r="F1783" t="s">
        <v>50</v>
      </c>
      <c r="H1783" t="s">
        <v>83</v>
      </c>
      <c r="J1783">
        <v>708</v>
      </c>
      <c r="K1783" t="s">
        <v>37</v>
      </c>
      <c r="L1783" t="s">
        <v>26</v>
      </c>
    </row>
    <row r="1784" spans="1:12" x14ac:dyDescent="0.25">
      <c r="A1784">
        <v>101190</v>
      </c>
      <c r="B1784" t="s">
        <v>545</v>
      </c>
      <c r="C1784" t="s">
        <v>126</v>
      </c>
      <c r="D1784" t="s">
        <v>1821</v>
      </c>
      <c r="E1784" t="s">
        <v>3590</v>
      </c>
      <c r="F1784" t="s">
        <v>2598</v>
      </c>
      <c r="G1784" t="s">
        <v>31</v>
      </c>
      <c r="H1784" t="s">
        <v>2618</v>
      </c>
      <c r="I1784">
        <v>0</v>
      </c>
      <c r="J1784">
        <v>494</v>
      </c>
      <c r="K1784" t="s">
        <v>19</v>
      </c>
      <c r="L1784" t="s">
        <v>2582</v>
      </c>
    </row>
    <row r="1785" spans="1:12" x14ac:dyDescent="0.25">
      <c r="A1785">
        <v>100498</v>
      </c>
      <c r="B1785" t="s">
        <v>525</v>
      </c>
      <c r="C1785" t="s">
        <v>58</v>
      </c>
      <c r="D1785" t="s">
        <v>239</v>
      </c>
      <c r="E1785" t="s">
        <v>3591</v>
      </c>
      <c r="F1785" t="s">
        <v>50</v>
      </c>
      <c r="G1785" t="s">
        <v>2580</v>
      </c>
      <c r="H1785" t="s">
        <v>42</v>
      </c>
      <c r="I1785">
        <v>45</v>
      </c>
      <c r="J1785">
        <v>501</v>
      </c>
      <c r="K1785" t="s">
        <v>32</v>
      </c>
      <c r="L1785" t="s">
        <v>2582</v>
      </c>
    </row>
    <row r="1786" spans="1:12" x14ac:dyDescent="0.25">
      <c r="A1786">
        <v>101341</v>
      </c>
      <c r="B1786" t="s">
        <v>89</v>
      </c>
      <c r="C1786" t="s">
        <v>72</v>
      </c>
      <c r="D1786" t="s">
        <v>524</v>
      </c>
      <c r="E1786" t="s">
        <v>3592</v>
      </c>
      <c r="F1786" t="s">
        <v>2627</v>
      </c>
      <c r="G1786" t="s">
        <v>2617</v>
      </c>
      <c r="H1786" t="s">
        <v>2597</v>
      </c>
      <c r="I1786">
        <v>18</v>
      </c>
      <c r="J1786">
        <v>358</v>
      </c>
      <c r="K1786" t="s">
        <v>19</v>
      </c>
      <c r="L1786" t="s">
        <v>26</v>
      </c>
    </row>
    <row r="1787" spans="1:12" x14ac:dyDescent="0.25">
      <c r="A1787">
        <v>101166</v>
      </c>
      <c r="B1787" t="s">
        <v>109</v>
      </c>
      <c r="C1787" t="s">
        <v>110</v>
      </c>
      <c r="D1787" t="s">
        <v>2222</v>
      </c>
      <c r="E1787" t="s">
        <v>3593</v>
      </c>
      <c r="F1787" t="s">
        <v>41</v>
      </c>
      <c r="G1787" t="s">
        <v>2600</v>
      </c>
      <c r="H1787" t="s">
        <v>2623</v>
      </c>
      <c r="I1787">
        <v>56</v>
      </c>
      <c r="J1787">
        <v>591</v>
      </c>
      <c r="K1787" t="s">
        <v>37</v>
      </c>
      <c r="L1787" t="s">
        <v>2582</v>
      </c>
    </row>
    <row r="1788" spans="1:12" x14ac:dyDescent="0.25">
      <c r="A1788">
        <v>101349</v>
      </c>
      <c r="B1788" t="s">
        <v>1451</v>
      </c>
      <c r="C1788" t="s">
        <v>52</v>
      </c>
      <c r="D1788" t="s">
        <v>2223</v>
      </c>
      <c r="E1788" t="s">
        <v>2224</v>
      </c>
      <c r="F1788" t="s">
        <v>2643</v>
      </c>
      <c r="G1788" t="s">
        <v>2602</v>
      </c>
      <c r="H1788" t="s">
        <v>2620</v>
      </c>
      <c r="I1788">
        <v>0</v>
      </c>
      <c r="J1788">
        <v>362</v>
      </c>
      <c r="K1788" t="s">
        <v>45</v>
      </c>
      <c r="L1788" t="s">
        <v>26</v>
      </c>
    </row>
    <row r="1789" spans="1:12" x14ac:dyDescent="0.25">
      <c r="A1789">
        <v>100328</v>
      </c>
      <c r="B1789" t="s">
        <v>210</v>
      </c>
      <c r="C1789" t="s">
        <v>2743</v>
      </c>
      <c r="E1789" t="s">
        <v>2225</v>
      </c>
      <c r="F1789" t="s">
        <v>2608</v>
      </c>
      <c r="H1789" t="s">
        <v>18</v>
      </c>
      <c r="I1789">
        <v>0</v>
      </c>
      <c r="J1789">
        <v>369</v>
      </c>
      <c r="K1789" t="s">
        <v>19</v>
      </c>
      <c r="L1789" t="s">
        <v>26</v>
      </c>
    </row>
    <row r="1790" spans="1:12" x14ac:dyDescent="0.25">
      <c r="A1790">
        <v>100831</v>
      </c>
      <c r="B1790" t="s">
        <v>1303</v>
      </c>
      <c r="C1790" t="s">
        <v>126</v>
      </c>
      <c r="D1790" t="s">
        <v>2226</v>
      </c>
      <c r="E1790" t="s">
        <v>2227</v>
      </c>
      <c r="F1790" t="s">
        <v>2613</v>
      </c>
      <c r="G1790" t="s">
        <v>2596</v>
      </c>
      <c r="H1790" t="s">
        <v>2587</v>
      </c>
      <c r="I1790">
        <v>0</v>
      </c>
      <c r="J1790">
        <v>788</v>
      </c>
      <c r="K1790" t="s">
        <v>32</v>
      </c>
      <c r="L1790" t="s">
        <v>2582</v>
      </c>
    </row>
    <row r="1791" spans="1:12" x14ac:dyDescent="0.25">
      <c r="A1791">
        <v>100661</v>
      </c>
      <c r="B1791" t="s">
        <v>863</v>
      </c>
      <c r="C1791" t="s">
        <v>39</v>
      </c>
      <c r="D1791" t="s">
        <v>2228</v>
      </c>
      <c r="F1791" t="s">
        <v>2579</v>
      </c>
      <c r="G1791" t="s">
        <v>2652</v>
      </c>
      <c r="H1791" t="s">
        <v>2587</v>
      </c>
      <c r="I1791">
        <v>0</v>
      </c>
      <c r="J1791">
        <v>427</v>
      </c>
      <c r="K1791" t="s">
        <v>32</v>
      </c>
      <c r="L1791" t="s">
        <v>26</v>
      </c>
    </row>
    <row r="1792" spans="1:12" x14ac:dyDescent="0.25">
      <c r="A1792">
        <v>100347</v>
      </c>
      <c r="B1792" t="s">
        <v>769</v>
      </c>
      <c r="C1792" t="s">
        <v>72</v>
      </c>
      <c r="D1792" t="s">
        <v>2229</v>
      </c>
      <c r="E1792" t="s">
        <v>3594</v>
      </c>
      <c r="F1792" t="s">
        <v>2640</v>
      </c>
      <c r="G1792" t="s">
        <v>2682</v>
      </c>
      <c r="H1792" t="s">
        <v>83</v>
      </c>
      <c r="I1792">
        <v>0</v>
      </c>
      <c r="J1792">
        <v>496</v>
      </c>
      <c r="K1792" t="s">
        <v>19</v>
      </c>
      <c r="L1792" t="s">
        <v>20</v>
      </c>
    </row>
    <row r="1793" spans="1:12" x14ac:dyDescent="0.25">
      <c r="A1793">
        <v>100211</v>
      </c>
      <c r="B1793" t="s">
        <v>388</v>
      </c>
      <c r="C1793" t="s">
        <v>142</v>
      </c>
      <c r="D1793" t="s">
        <v>2230</v>
      </c>
      <c r="E1793" t="s">
        <v>3595</v>
      </c>
      <c r="F1793" t="s">
        <v>50</v>
      </c>
      <c r="G1793" t="s">
        <v>2635</v>
      </c>
      <c r="H1793" t="s">
        <v>2620</v>
      </c>
      <c r="I1793">
        <v>0</v>
      </c>
      <c r="J1793">
        <v>662</v>
      </c>
      <c r="K1793" t="s">
        <v>32</v>
      </c>
      <c r="L1793" t="s">
        <v>20</v>
      </c>
    </row>
    <row r="1794" spans="1:12" x14ac:dyDescent="0.25">
      <c r="A1794">
        <v>100568</v>
      </c>
      <c r="B1794" t="s">
        <v>463</v>
      </c>
      <c r="C1794" t="s">
        <v>126</v>
      </c>
      <c r="D1794" t="s">
        <v>2231</v>
      </c>
      <c r="E1794" t="s">
        <v>3596</v>
      </c>
      <c r="F1794" t="s">
        <v>41</v>
      </c>
      <c r="G1794" t="s">
        <v>2631</v>
      </c>
      <c r="H1794" t="s">
        <v>2620</v>
      </c>
      <c r="I1794">
        <v>0</v>
      </c>
      <c r="J1794">
        <v>765</v>
      </c>
      <c r="K1794" t="s">
        <v>56</v>
      </c>
      <c r="L1794" t="s">
        <v>26</v>
      </c>
    </row>
    <row r="1795" spans="1:12" x14ac:dyDescent="0.25">
      <c r="A1795">
        <v>100143</v>
      </c>
      <c r="B1795" t="s">
        <v>525</v>
      </c>
      <c r="C1795" t="s">
        <v>58</v>
      </c>
      <c r="D1795" t="s">
        <v>1085</v>
      </c>
      <c r="E1795" t="s">
        <v>3597</v>
      </c>
      <c r="F1795" t="s">
        <v>2593</v>
      </c>
      <c r="G1795" t="s">
        <v>2652</v>
      </c>
      <c r="H1795" t="s">
        <v>25</v>
      </c>
      <c r="I1795">
        <v>19</v>
      </c>
      <c r="J1795">
        <v>501</v>
      </c>
      <c r="L1795" t="s">
        <v>2582</v>
      </c>
    </row>
    <row r="1796" spans="1:12" x14ac:dyDescent="0.25">
      <c r="A1796">
        <v>100515</v>
      </c>
      <c r="B1796" t="s">
        <v>592</v>
      </c>
      <c r="C1796" t="s">
        <v>47</v>
      </c>
      <c r="D1796" t="s">
        <v>2232</v>
      </c>
      <c r="E1796" t="s">
        <v>3598</v>
      </c>
      <c r="F1796" t="s">
        <v>2640</v>
      </c>
      <c r="G1796" t="s">
        <v>2658</v>
      </c>
      <c r="H1796" t="s">
        <v>18</v>
      </c>
      <c r="I1796">
        <v>0</v>
      </c>
      <c r="J1796">
        <v>332</v>
      </c>
      <c r="K1796" t="s">
        <v>37</v>
      </c>
      <c r="L1796" t="s">
        <v>2582</v>
      </c>
    </row>
    <row r="1797" spans="1:12" x14ac:dyDescent="0.25">
      <c r="A1797">
        <v>101387</v>
      </c>
      <c r="B1797" t="s">
        <v>595</v>
      </c>
      <c r="C1797" t="s">
        <v>22</v>
      </c>
      <c r="D1797" t="s">
        <v>889</v>
      </c>
      <c r="E1797" t="s">
        <v>2233</v>
      </c>
      <c r="F1797" t="s">
        <v>41</v>
      </c>
      <c r="G1797" t="s">
        <v>60</v>
      </c>
      <c r="H1797" t="s">
        <v>2585</v>
      </c>
      <c r="I1797">
        <v>9</v>
      </c>
      <c r="J1797">
        <v>372</v>
      </c>
      <c r="K1797" t="s">
        <v>56</v>
      </c>
      <c r="L1797" t="s">
        <v>20</v>
      </c>
    </row>
    <row r="1798" spans="1:12" x14ac:dyDescent="0.25">
      <c r="A1798">
        <v>101029</v>
      </c>
      <c r="B1798" t="s">
        <v>678</v>
      </c>
      <c r="C1798" t="s">
        <v>270</v>
      </c>
      <c r="D1798" t="s">
        <v>764</v>
      </c>
      <c r="E1798" t="s">
        <v>2234</v>
      </c>
      <c r="F1798" t="s">
        <v>41</v>
      </c>
      <c r="G1798" t="s">
        <v>2609</v>
      </c>
      <c r="H1798" t="s">
        <v>2585</v>
      </c>
      <c r="I1798">
        <v>19</v>
      </c>
      <c r="J1798">
        <v>883</v>
      </c>
      <c r="K1798" t="s">
        <v>19</v>
      </c>
      <c r="L1798" t="s">
        <v>2582</v>
      </c>
    </row>
    <row r="1799" spans="1:12" x14ac:dyDescent="0.25">
      <c r="A1799">
        <v>101069</v>
      </c>
      <c r="B1799" t="s">
        <v>682</v>
      </c>
      <c r="C1799" t="s">
        <v>152</v>
      </c>
      <c r="D1799" t="s">
        <v>1039</v>
      </c>
      <c r="E1799" t="s">
        <v>2235</v>
      </c>
      <c r="F1799" t="s">
        <v>2629</v>
      </c>
      <c r="G1799" t="s">
        <v>2614</v>
      </c>
      <c r="H1799" t="s">
        <v>2587</v>
      </c>
      <c r="I1799">
        <v>0</v>
      </c>
      <c r="J1799">
        <v>863</v>
      </c>
      <c r="K1799" t="s">
        <v>45</v>
      </c>
      <c r="L1799" t="s">
        <v>2582</v>
      </c>
    </row>
    <row r="1800" spans="1:12" x14ac:dyDescent="0.25">
      <c r="A1800">
        <v>100865</v>
      </c>
      <c r="B1800" t="s">
        <v>832</v>
      </c>
      <c r="C1800" t="s">
        <v>134</v>
      </c>
      <c r="D1800" t="s">
        <v>2236</v>
      </c>
      <c r="E1800" t="s">
        <v>3599</v>
      </c>
      <c r="F1800" t="s">
        <v>2627</v>
      </c>
      <c r="G1800" t="s">
        <v>2625</v>
      </c>
      <c r="H1800" t="s">
        <v>83</v>
      </c>
      <c r="I1800">
        <v>0</v>
      </c>
      <c r="J1800">
        <v>641</v>
      </c>
      <c r="K1800" t="s">
        <v>37</v>
      </c>
      <c r="L1800" t="s">
        <v>2582</v>
      </c>
    </row>
    <row r="1801" spans="1:12" x14ac:dyDescent="0.25">
      <c r="A1801">
        <v>101306</v>
      </c>
      <c r="B1801" t="s">
        <v>563</v>
      </c>
      <c r="C1801" t="s">
        <v>58</v>
      </c>
      <c r="D1801" t="s">
        <v>188</v>
      </c>
      <c r="E1801" t="s">
        <v>3600</v>
      </c>
      <c r="F1801" t="s">
        <v>2598</v>
      </c>
      <c r="G1801" t="s">
        <v>2596</v>
      </c>
      <c r="H1801" t="s">
        <v>25</v>
      </c>
      <c r="I1801">
        <v>26</v>
      </c>
      <c r="J1801">
        <v>893</v>
      </c>
      <c r="K1801" t="s">
        <v>32</v>
      </c>
      <c r="L1801" t="s">
        <v>26</v>
      </c>
    </row>
    <row r="1802" spans="1:12" x14ac:dyDescent="0.25">
      <c r="A1802">
        <v>100892</v>
      </c>
      <c r="B1802" t="s">
        <v>207</v>
      </c>
      <c r="C1802" t="s">
        <v>103</v>
      </c>
      <c r="D1802" t="s">
        <v>1474</v>
      </c>
      <c r="E1802" t="s">
        <v>2237</v>
      </c>
      <c r="F1802" t="s">
        <v>50</v>
      </c>
      <c r="G1802" t="s">
        <v>2633</v>
      </c>
      <c r="H1802" t="s">
        <v>2644</v>
      </c>
      <c r="I1802">
        <v>0</v>
      </c>
      <c r="J1802">
        <v>360</v>
      </c>
      <c r="K1802" t="s">
        <v>37</v>
      </c>
      <c r="L1802" t="s">
        <v>2588</v>
      </c>
    </row>
    <row r="1803" spans="1:12" x14ac:dyDescent="0.25">
      <c r="A1803">
        <v>101227</v>
      </c>
      <c r="B1803" t="s">
        <v>162</v>
      </c>
      <c r="C1803" t="s">
        <v>2786</v>
      </c>
      <c r="D1803" t="s">
        <v>2238</v>
      </c>
      <c r="E1803" t="s">
        <v>3601</v>
      </c>
      <c r="F1803" t="s">
        <v>2590</v>
      </c>
      <c r="H1803" t="s">
        <v>25</v>
      </c>
      <c r="I1803">
        <v>19</v>
      </c>
      <c r="J1803">
        <v>410</v>
      </c>
      <c r="K1803" t="s">
        <v>32</v>
      </c>
      <c r="L1803" t="s">
        <v>2582</v>
      </c>
    </row>
    <row r="1804" spans="1:12" x14ac:dyDescent="0.25">
      <c r="A1804">
        <v>100815</v>
      </c>
      <c r="B1804" t="s">
        <v>875</v>
      </c>
      <c r="D1804" t="s">
        <v>1514</v>
      </c>
      <c r="E1804" t="s">
        <v>2239</v>
      </c>
      <c r="F1804" t="s">
        <v>2654</v>
      </c>
      <c r="G1804" t="s">
        <v>2584</v>
      </c>
      <c r="H1804" t="s">
        <v>18</v>
      </c>
      <c r="I1804">
        <v>0</v>
      </c>
      <c r="J1804">
        <v>678</v>
      </c>
      <c r="K1804" t="s">
        <v>37</v>
      </c>
    </row>
    <row r="1805" spans="1:12" x14ac:dyDescent="0.25">
      <c r="A1805">
        <v>101922</v>
      </c>
      <c r="B1805" t="s">
        <v>631</v>
      </c>
      <c r="C1805" t="s">
        <v>13</v>
      </c>
      <c r="D1805" t="s">
        <v>2209</v>
      </c>
      <c r="E1805" t="s">
        <v>2240</v>
      </c>
      <c r="F1805" t="s">
        <v>2590</v>
      </c>
      <c r="G1805" t="s">
        <v>2611</v>
      </c>
      <c r="H1805" t="s">
        <v>2587</v>
      </c>
      <c r="I1805">
        <v>0</v>
      </c>
      <c r="J1805">
        <v>544</v>
      </c>
      <c r="K1805" t="s">
        <v>45</v>
      </c>
      <c r="L1805" t="s">
        <v>20</v>
      </c>
    </row>
    <row r="1806" spans="1:12" x14ac:dyDescent="0.25">
      <c r="A1806">
        <v>101383</v>
      </c>
      <c r="B1806" t="s">
        <v>1259</v>
      </c>
      <c r="C1806" t="s">
        <v>47</v>
      </c>
      <c r="D1806" t="s">
        <v>2241</v>
      </c>
      <c r="E1806" t="s">
        <v>2242</v>
      </c>
      <c r="F1806" t="s">
        <v>2583</v>
      </c>
      <c r="G1806" t="s">
        <v>81</v>
      </c>
      <c r="H1806" t="s">
        <v>18</v>
      </c>
      <c r="I1806">
        <v>0</v>
      </c>
      <c r="J1806">
        <v>748</v>
      </c>
      <c r="K1806" t="s">
        <v>45</v>
      </c>
      <c r="L1806" t="s">
        <v>26</v>
      </c>
    </row>
    <row r="1807" spans="1:12" x14ac:dyDescent="0.25">
      <c r="A1807">
        <v>100564</v>
      </c>
      <c r="B1807" t="s">
        <v>247</v>
      </c>
      <c r="C1807" t="s">
        <v>126</v>
      </c>
      <c r="D1807" t="s">
        <v>1240</v>
      </c>
      <c r="E1807" t="s">
        <v>3602</v>
      </c>
      <c r="F1807" t="s">
        <v>2616</v>
      </c>
      <c r="G1807" t="s">
        <v>2635</v>
      </c>
      <c r="H1807" t="s">
        <v>2594</v>
      </c>
      <c r="I1807">
        <v>59</v>
      </c>
      <c r="J1807">
        <v>527</v>
      </c>
      <c r="K1807" t="s">
        <v>32</v>
      </c>
      <c r="L1807" t="s">
        <v>2588</v>
      </c>
    </row>
    <row r="1808" spans="1:12" x14ac:dyDescent="0.25">
      <c r="A1808">
        <v>101837</v>
      </c>
      <c r="B1808" t="s">
        <v>344</v>
      </c>
      <c r="C1808" t="s">
        <v>244</v>
      </c>
      <c r="D1808" t="s">
        <v>2117</v>
      </c>
      <c r="E1808" t="s">
        <v>3603</v>
      </c>
      <c r="F1808" t="s">
        <v>64</v>
      </c>
      <c r="G1808" t="s">
        <v>2596</v>
      </c>
      <c r="H1808" t="s">
        <v>42</v>
      </c>
      <c r="I1808">
        <v>144</v>
      </c>
      <c r="J1808">
        <v>792</v>
      </c>
      <c r="K1808" t="s">
        <v>37</v>
      </c>
      <c r="L1808" t="s">
        <v>2582</v>
      </c>
    </row>
    <row r="1809" spans="1:12" x14ac:dyDescent="0.25">
      <c r="A1809">
        <v>100372</v>
      </c>
      <c r="B1809" t="s">
        <v>280</v>
      </c>
      <c r="C1809" t="s">
        <v>187</v>
      </c>
      <c r="D1809" t="s">
        <v>1850</v>
      </c>
      <c r="E1809" t="s">
        <v>3604</v>
      </c>
      <c r="F1809" t="s">
        <v>41</v>
      </c>
      <c r="G1809" t="s">
        <v>31</v>
      </c>
      <c r="H1809" t="s">
        <v>2581</v>
      </c>
      <c r="I1809">
        <v>0</v>
      </c>
      <c r="J1809">
        <v>621</v>
      </c>
      <c r="K1809" t="s">
        <v>56</v>
      </c>
      <c r="L1809" t="s">
        <v>2588</v>
      </c>
    </row>
    <row r="1810" spans="1:12" x14ac:dyDescent="0.25">
      <c r="A1810">
        <v>101182</v>
      </c>
      <c r="B1810" t="s">
        <v>141</v>
      </c>
      <c r="C1810" t="s">
        <v>142</v>
      </c>
      <c r="D1810" t="s">
        <v>2243</v>
      </c>
      <c r="E1810" t="s">
        <v>3605</v>
      </c>
      <c r="F1810" t="s">
        <v>2593</v>
      </c>
      <c r="G1810" t="s">
        <v>2633</v>
      </c>
      <c r="H1810" t="s">
        <v>2581</v>
      </c>
      <c r="I1810">
        <v>0</v>
      </c>
      <c r="J1810">
        <v>430</v>
      </c>
      <c r="K1810" t="s">
        <v>32</v>
      </c>
      <c r="L1810" t="s">
        <v>2588</v>
      </c>
    </row>
    <row r="1811" spans="1:12" x14ac:dyDescent="0.25">
      <c r="A1811">
        <v>101012</v>
      </c>
      <c r="B1811" t="s">
        <v>243</v>
      </c>
      <c r="C1811" t="s">
        <v>244</v>
      </c>
      <c r="D1811" t="s">
        <v>2244</v>
      </c>
      <c r="E1811" t="s">
        <v>2245</v>
      </c>
      <c r="F1811" t="s">
        <v>2608</v>
      </c>
      <c r="G1811" t="s">
        <v>55</v>
      </c>
      <c r="H1811" t="s">
        <v>2618</v>
      </c>
      <c r="I1811">
        <v>0</v>
      </c>
      <c r="J1811">
        <v>729</v>
      </c>
      <c r="K1811" t="s">
        <v>56</v>
      </c>
      <c r="L1811" t="s">
        <v>26</v>
      </c>
    </row>
    <row r="1812" spans="1:12" x14ac:dyDescent="0.25">
      <c r="A1812">
        <v>101304</v>
      </c>
      <c r="B1812" t="s">
        <v>786</v>
      </c>
      <c r="C1812" t="s">
        <v>95</v>
      </c>
      <c r="D1812" t="s">
        <v>482</v>
      </c>
      <c r="E1812" t="s">
        <v>2246</v>
      </c>
      <c r="F1812" t="s">
        <v>2627</v>
      </c>
      <c r="G1812" t="s">
        <v>2635</v>
      </c>
      <c r="H1812" t="s">
        <v>18</v>
      </c>
      <c r="J1812">
        <v>835</v>
      </c>
      <c r="K1812" t="s">
        <v>32</v>
      </c>
      <c r="L1812" t="s">
        <v>26</v>
      </c>
    </row>
    <row r="1813" spans="1:12" x14ac:dyDescent="0.25">
      <c r="A1813">
        <v>100891</v>
      </c>
      <c r="B1813" t="s">
        <v>259</v>
      </c>
      <c r="C1813" t="s">
        <v>218</v>
      </c>
      <c r="D1813" t="s">
        <v>2247</v>
      </c>
      <c r="E1813" t="s">
        <v>2248</v>
      </c>
      <c r="F1813" t="s">
        <v>41</v>
      </c>
      <c r="G1813" t="s">
        <v>2611</v>
      </c>
      <c r="H1813" t="s">
        <v>18</v>
      </c>
      <c r="I1813">
        <v>0</v>
      </c>
      <c r="J1813">
        <v>732</v>
      </c>
      <c r="K1813" t="s">
        <v>45</v>
      </c>
      <c r="L1813" t="s">
        <v>26</v>
      </c>
    </row>
    <row r="1814" spans="1:12" x14ac:dyDescent="0.25">
      <c r="A1814">
        <v>100744</v>
      </c>
      <c r="B1814" t="s">
        <v>212</v>
      </c>
      <c r="C1814" t="s">
        <v>95</v>
      </c>
      <c r="D1814" t="s">
        <v>1814</v>
      </c>
      <c r="E1814" t="s">
        <v>3606</v>
      </c>
      <c r="F1814" t="s">
        <v>2643</v>
      </c>
      <c r="G1814" t="s">
        <v>60</v>
      </c>
      <c r="H1814" t="s">
        <v>2581</v>
      </c>
      <c r="I1814">
        <v>0</v>
      </c>
      <c r="J1814">
        <v>662</v>
      </c>
      <c r="K1814" t="s">
        <v>56</v>
      </c>
      <c r="L1814" t="s">
        <v>2582</v>
      </c>
    </row>
    <row r="1815" spans="1:12" x14ac:dyDescent="0.25">
      <c r="A1815">
        <v>101262</v>
      </c>
      <c r="B1815" t="s">
        <v>596</v>
      </c>
      <c r="C1815" t="s">
        <v>22</v>
      </c>
      <c r="D1815" t="s">
        <v>687</v>
      </c>
      <c r="E1815" t="s">
        <v>3607</v>
      </c>
      <c r="F1815" t="s">
        <v>2579</v>
      </c>
      <c r="G1815" t="s">
        <v>2617</v>
      </c>
      <c r="H1815" t="s">
        <v>2644</v>
      </c>
      <c r="I1815">
        <v>0</v>
      </c>
      <c r="J1815">
        <v>603</v>
      </c>
      <c r="K1815" t="s">
        <v>37</v>
      </c>
      <c r="L1815" t="s">
        <v>2588</v>
      </c>
    </row>
    <row r="1816" spans="1:12" x14ac:dyDescent="0.25">
      <c r="A1816">
        <v>102013</v>
      </c>
      <c r="B1816" t="s">
        <v>347</v>
      </c>
      <c r="C1816" t="s">
        <v>95</v>
      </c>
      <c r="D1816" t="s">
        <v>2249</v>
      </c>
      <c r="E1816" t="s">
        <v>2250</v>
      </c>
      <c r="F1816" t="s">
        <v>2646</v>
      </c>
      <c r="G1816" t="s">
        <v>2591</v>
      </c>
      <c r="H1816" t="s">
        <v>2581</v>
      </c>
      <c r="I1816">
        <v>0</v>
      </c>
      <c r="J1816">
        <v>699</v>
      </c>
      <c r="K1816" t="s">
        <v>56</v>
      </c>
      <c r="L1816" t="s">
        <v>2588</v>
      </c>
    </row>
    <row r="1817" spans="1:12" x14ac:dyDescent="0.25">
      <c r="A1817">
        <v>100684</v>
      </c>
      <c r="B1817" t="s">
        <v>474</v>
      </c>
      <c r="C1817" t="s">
        <v>270</v>
      </c>
      <c r="D1817" t="s">
        <v>2251</v>
      </c>
      <c r="E1817" t="s">
        <v>2252</v>
      </c>
      <c r="F1817" t="s">
        <v>2648</v>
      </c>
      <c r="G1817" t="s">
        <v>2599</v>
      </c>
      <c r="H1817" t="s">
        <v>2618</v>
      </c>
      <c r="I1817">
        <v>0</v>
      </c>
      <c r="J1817">
        <v>483</v>
      </c>
      <c r="K1817" t="s">
        <v>19</v>
      </c>
      <c r="L1817" t="s">
        <v>2582</v>
      </c>
    </row>
    <row r="1818" spans="1:12" x14ac:dyDescent="0.25">
      <c r="A1818">
        <v>101298</v>
      </c>
      <c r="B1818" t="s">
        <v>1373</v>
      </c>
      <c r="D1818" t="s">
        <v>2253</v>
      </c>
      <c r="E1818" t="s">
        <v>3608</v>
      </c>
      <c r="F1818" t="s">
        <v>41</v>
      </c>
      <c r="G1818" t="s">
        <v>2596</v>
      </c>
      <c r="H1818" t="s">
        <v>18</v>
      </c>
      <c r="I1818">
        <v>0</v>
      </c>
      <c r="J1818">
        <v>359</v>
      </c>
      <c r="K1818" t="s">
        <v>37</v>
      </c>
      <c r="L1818" t="s">
        <v>2588</v>
      </c>
    </row>
    <row r="1819" spans="1:12" x14ac:dyDescent="0.25">
      <c r="A1819">
        <v>101413</v>
      </c>
      <c r="B1819" t="s">
        <v>385</v>
      </c>
      <c r="C1819" t="s">
        <v>85</v>
      </c>
      <c r="D1819" t="s">
        <v>82</v>
      </c>
      <c r="E1819" t="s">
        <v>3609</v>
      </c>
      <c r="F1819" t="s">
        <v>2613</v>
      </c>
      <c r="G1819" t="s">
        <v>2609</v>
      </c>
      <c r="H1819" t="s">
        <v>2581</v>
      </c>
      <c r="I1819">
        <v>0</v>
      </c>
      <c r="J1819">
        <v>490</v>
      </c>
      <c r="K1819" t="s">
        <v>56</v>
      </c>
      <c r="L1819" t="s">
        <v>26</v>
      </c>
    </row>
    <row r="1820" spans="1:12" x14ac:dyDescent="0.25">
      <c r="A1820">
        <v>100633</v>
      </c>
      <c r="B1820" t="s">
        <v>225</v>
      </c>
      <c r="C1820" t="s">
        <v>142</v>
      </c>
      <c r="D1820" t="s">
        <v>2222</v>
      </c>
      <c r="E1820" t="s">
        <v>3610</v>
      </c>
      <c r="F1820" t="s">
        <v>2608</v>
      </c>
      <c r="G1820" t="s">
        <v>2682</v>
      </c>
      <c r="H1820" t="s">
        <v>2618</v>
      </c>
      <c r="I1820">
        <v>0</v>
      </c>
      <c r="J1820">
        <v>741</v>
      </c>
      <c r="K1820" t="s">
        <v>19</v>
      </c>
      <c r="L1820" t="s">
        <v>2582</v>
      </c>
    </row>
    <row r="1821" spans="1:12" x14ac:dyDescent="0.25">
      <c r="A1821">
        <v>100195</v>
      </c>
      <c r="B1821" t="s">
        <v>585</v>
      </c>
      <c r="C1821" t="s">
        <v>270</v>
      </c>
      <c r="D1821" t="s">
        <v>306</v>
      </c>
      <c r="E1821" t="s">
        <v>3611</v>
      </c>
      <c r="F1821" t="s">
        <v>2604</v>
      </c>
      <c r="G1821" t="s">
        <v>2602</v>
      </c>
      <c r="H1821" t="s">
        <v>2644</v>
      </c>
      <c r="J1821">
        <v>814</v>
      </c>
      <c r="K1821" t="s">
        <v>45</v>
      </c>
      <c r="L1821" t="s">
        <v>20</v>
      </c>
    </row>
    <row r="1822" spans="1:12" x14ac:dyDescent="0.25">
      <c r="A1822">
        <v>100514</v>
      </c>
      <c r="B1822" t="s">
        <v>1402</v>
      </c>
      <c r="C1822" t="s">
        <v>100</v>
      </c>
      <c r="D1822" t="s">
        <v>455</v>
      </c>
      <c r="E1822" t="s">
        <v>3612</v>
      </c>
      <c r="F1822" t="s">
        <v>50</v>
      </c>
      <c r="G1822" t="s">
        <v>2617</v>
      </c>
      <c r="H1822" t="s">
        <v>18</v>
      </c>
      <c r="I1822">
        <v>0</v>
      </c>
      <c r="J1822">
        <v>588</v>
      </c>
      <c r="K1822" t="s">
        <v>37</v>
      </c>
      <c r="L1822" t="s">
        <v>26</v>
      </c>
    </row>
    <row r="1823" spans="1:12" x14ac:dyDescent="0.25">
      <c r="A1823">
        <v>101639</v>
      </c>
      <c r="B1823" t="s">
        <v>272</v>
      </c>
      <c r="D1823" t="s">
        <v>1484</v>
      </c>
      <c r="E1823" t="s">
        <v>3613</v>
      </c>
      <c r="F1823" t="s">
        <v>2579</v>
      </c>
      <c r="G1823" t="s">
        <v>81</v>
      </c>
      <c r="H1823" t="s">
        <v>2587</v>
      </c>
      <c r="I1823">
        <v>0</v>
      </c>
      <c r="J1823">
        <v>666</v>
      </c>
      <c r="K1823" t="s">
        <v>45</v>
      </c>
      <c r="L1823" t="s">
        <v>2582</v>
      </c>
    </row>
    <row r="1824" spans="1:12" x14ac:dyDescent="0.25">
      <c r="A1824">
        <v>101456</v>
      </c>
      <c r="B1824" t="s">
        <v>807</v>
      </c>
      <c r="C1824" t="s">
        <v>2699</v>
      </c>
      <c r="D1824" t="s">
        <v>2254</v>
      </c>
      <c r="E1824" t="s">
        <v>3614</v>
      </c>
      <c r="F1824" t="s">
        <v>2627</v>
      </c>
      <c r="H1824" t="s">
        <v>42</v>
      </c>
      <c r="I1824">
        <v>84</v>
      </c>
      <c r="J1824">
        <v>443</v>
      </c>
      <c r="K1824" t="s">
        <v>37</v>
      </c>
      <c r="L1824" t="s">
        <v>2588</v>
      </c>
    </row>
    <row r="1825" spans="1:12" x14ac:dyDescent="0.25">
      <c r="A1825">
        <v>101699</v>
      </c>
      <c r="B1825" t="s">
        <v>65</v>
      </c>
      <c r="C1825" t="s">
        <v>62</v>
      </c>
      <c r="D1825" t="s">
        <v>666</v>
      </c>
      <c r="E1825" t="s">
        <v>2255</v>
      </c>
      <c r="F1825" t="s">
        <v>2590</v>
      </c>
      <c r="G1825" t="s">
        <v>2599</v>
      </c>
      <c r="H1825" t="s">
        <v>2585</v>
      </c>
      <c r="I1825">
        <v>14</v>
      </c>
      <c r="J1825">
        <v>542</v>
      </c>
      <c r="K1825" t="s">
        <v>19</v>
      </c>
      <c r="L1825" t="s">
        <v>26</v>
      </c>
    </row>
    <row r="1826" spans="1:12" x14ac:dyDescent="0.25">
      <c r="A1826">
        <v>101831</v>
      </c>
      <c r="B1826" t="s">
        <v>196</v>
      </c>
      <c r="C1826" t="s">
        <v>152</v>
      </c>
      <c r="D1826" t="s">
        <v>2251</v>
      </c>
      <c r="E1826" t="s">
        <v>2256</v>
      </c>
      <c r="F1826" t="s">
        <v>64</v>
      </c>
      <c r="G1826" t="s">
        <v>60</v>
      </c>
      <c r="H1826" t="s">
        <v>18</v>
      </c>
      <c r="I1826">
        <v>0</v>
      </c>
      <c r="J1826">
        <v>405</v>
      </c>
      <c r="K1826" t="s">
        <v>56</v>
      </c>
      <c r="L1826" t="s">
        <v>26</v>
      </c>
    </row>
    <row r="1827" spans="1:12" x14ac:dyDescent="0.25">
      <c r="A1827">
        <v>100210</v>
      </c>
      <c r="B1827" t="s">
        <v>719</v>
      </c>
      <c r="C1827" t="s">
        <v>2686</v>
      </c>
      <c r="D1827" t="s">
        <v>1884</v>
      </c>
      <c r="E1827" t="s">
        <v>3615</v>
      </c>
      <c r="F1827" t="s">
        <v>41</v>
      </c>
      <c r="G1827" t="s">
        <v>31</v>
      </c>
      <c r="H1827" t="s">
        <v>2587</v>
      </c>
      <c r="I1827">
        <v>0</v>
      </c>
      <c r="J1827">
        <v>461</v>
      </c>
      <c r="K1827" t="s">
        <v>56</v>
      </c>
      <c r="L1827" t="s">
        <v>2582</v>
      </c>
    </row>
    <row r="1828" spans="1:12" x14ac:dyDescent="0.25">
      <c r="A1828">
        <v>101001</v>
      </c>
      <c r="B1828" t="s">
        <v>57</v>
      </c>
      <c r="C1828" t="s">
        <v>58</v>
      </c>
      <c r="D1828" t="s">
        <v>1514</v>
      </c>
      <c r="E1828" t="s">
        <v>2257</v>
      </c>
      <c r="F1828" t="s">
        <v>2654</v>
      </c>
      <c r="G1828" t="s">
        <v>2633</v>
      </c>
      <c r="H1828" t="s">
        <v>2644</v>
      </c>
      <c r="I1828">
        <v>0</v>
      </c>
      <c r="J1828">
        <v>798</v>
      </c>
      <c r="K1828" t="s">
        <v>37</v>
      </c>
      <c r="L1828" t="s">
        <v>2582</v>
      </c>
    </row>
    <row r="1829" spans="1:12" x14ac:dyDescent="0.25">
      <c r="A1829">
        <v>101187</v>
      </c>
      <c r="B1829" t="s">
        <v>1663</v>
      </c>
      <c r="C1829" t="s">
        <v>100</v>
      </c>
      <c r="D1829" t="s">
        <v>1527</v>
      </c>
      <c r="E1829" t="s">
        <v>3616</v>
      </c>
      <c r="F1829" t="s">
        <v>41</v>
      </c>
      <c r="G1829" t="s">
        <v>2600</v>
      </c>
      <c r="H1829" t="s">
        <v>2594</v>
      </c>
      <c r="I1829">
        <v>60</v>
      </c>
      <c r="J1829">
        <v>452</v>
      </c>
      <c r="K1829" t="s">
        <v>37</v>
      </c>
      <c r="L1829" t="s">
        <v>2582</v>
      </c>
    </row>
    <row r="1830" spans="1:12" x14ac:dyDescent="0.25">
      <c r="A1830">
        <v>100636</v>
      </c>
      <c r="B1830" t="s">
        <v>840</v>
      </c>
      <c r="C1830" t="s">
        <v>2706</v>
      </c>
      <c r="D1830" t="s">
        <v>2258</v>
      </c>
      <c r="F1830" t="s">
        <v>41</v>
      </c>
      <c r="G1830" t="s">
        <v>2658</v>
      </c>
      <c r="H1830" t="s">
        <v>2618</v>
      </c>
      <c r="J1830">
        <v>519</v>
      </c>
      <c r="K1830" t="s">
        <v>56</v>
      </c>
      <c r="L1830" t="s">
        <v>2582</v>
      </c>
    </row>
    <row r="1831" spans="1:12" x14ac:dyDescent="0.25">
      <c r="A1831">
        <v>102064</v>
      </c>
      <c r="B1831" t="s">
        <v>728</v>
      </c>
      <c r="C1831" t="s">
        <v>85</v>
      </c>
      <c r="D1831" t="s">
        <v>795</v>
      </c>
      <c r="E1831" t="s">
        <v>2259</v>
      </c>
      <c r="F1831" t="s">
        <v>2627</v>
      </c>
      <c r="G1831" t="s">
        <v>81</v>
      </c>
      <c r="H1831" t="s">
        <v>18</v>
      </c>
      <c r="I1831">
        <v>0</v>
      </c>
      <c r="J1831">
        <v>653</v>
      </c>
      <c r="K1831" t="s">
        <v>56</v>
      </c>
      <c r="L1831" t="s">
        <v>2588</v>
      </c>
    </row>
    <row r="1832" spans="1:12" x14ac:dyDescent="0.25">
      <c r="A1832">
        <v>101535</v>
      </c>
      <c r="B1832" t="s">
        <v>953</v>
      </c>
      <c r="C1832" t="s">
        <v>270</v>
      </c>
      <c r="D1832" t="s">
        <v>2260</v>
      </c>
      <c r="E1832" t="s">
        <v>3617</v>
      </c>
      <c r="F1832" t="s">
        <v>64</v>
      </c>
      <c r="G1832" t="s">
        <v>2584</v>
      </c>
      <c r="H1832" t="s">
        <v>18</v>
      </c>
      <c r="I1832">
        <v>0</v>
      </c>
      <c r="J1832">
        <v>759</v>
      </c>
      <c r="K1832" t="s">
        <v>45</v>
      </c>
      <c r="L1832" t="s">
        <v>2582</v>
      </c>
    </row>
    <row r="1833" spans="1:12" x14ac:dyDescent="0.25">
      <c r="A1833">
        <v>100088</v>
      </c>
      <c r="B1833" t="s">
        <v>478</v>
      </c>
      <c r="C1833" t="s">
        <v>218</v>
      </c>
      <c r="D1833" t="s">
        <v>333</v>
      </c>
      <c r="E1833" t="s">
        <v>2261</v>
      </c>
      <c r="F1833" t="s">
        <v>41</v>
      </c>
      <c r="G1833" t="s">
        <v>81</v>
      </c>
      <c r="H1833" t="s">
        <v>2620</v>
      </c>
      <c r="I1833">
        <v>0</v>
      </c>
      <c r="J1833">
        <v>712</v>
      </c>
      <c r="K1833" t="s">
        <v>45</v>
      </c>
    </row>
    <row r="1834" spans="1:12" x14ac:dyDescent="0.25">
      <c r="A1834">
        <v>101370</v>
      </c>
      <c r="B1834" t="s">
        <v>125</v>
      </c>
      <c r="C1834" t="s">
        <v>126</v>
      </c>
      <c r="D1834" t="s">
        <v>1578</v>
      </c>
      <c r="E1834" t="s">
        <v>2262</v>
      </c>
      <c r="F1834" t="s">
        <v>2646</v>
      </c>
      <c r="G1834" t="s">
        <v>2591</v>
      </c>
      <c r="H1834" t="s">
        <v>2620</v>
      </c>
      <c r="I1834">
        <v>0</v>
      </c>
      <c r="J1834">
        <v>461</v>
      </c>
      <c r="K1834" t="s">
        <v>37</v>
      </c>
      <c r="L1834" t="s">
        <v>2582</v>
      </c>
    </row>
    <row r="1835" spans="1:12" x14ac:dyDescent="0.25">
      <c r="A1835">
        <v>101988</v>
      </c>
      <c r="B1835" t="s">
        <v>358</v>
      </c>
      <c r="C1835" t="s">
        <v>110</v>
      </c>
      <c r="D1835" t="s">
        <v>82</v>
      </c>
      <c r="E1835" t="s">
        <v>2263</v>
      </c>
      <c r="F1835" t="s">
        <v>2646</v>
      </c>
      <c r="G1835" t="s">
        <v>2631</v>
      </c>
      <c r="H1835" t="s">
        <v>2581</v>
      </c>
      <c r="I1835">
        <v>0</v>
      </c>
      <c r="J1835">
        <v>481</v>
      </c>
      <c r="K1835" t="s">
        <v>45</v>
      </c>
      <c r="L1835" t="s">
        <v>2588</v>
      </c>
    </row>
    <row r="1836" spans="1:12" x14ac:dyDescent="0.25">
      <c r="A1836">
        <v>100910</v>
      </c>
      <c r="B1836" t="s">
        <v>965</v>
      </c>
      <c r="C1836" t="s">
        <v>110</v>
      </c>
      <c r="D1836" t="s">
        <v>2189</v>
      </c>
      <c r="E1836" t="s">
        <v>3618</v>
      </c>
      <c r="F1836" t="s">
        <v>2616</v>
      </c>
      <c r="G1836" t="s">
        <v>2596</v>
      </c>
      <c r="H1836" t="s">
        <v>2581</v>
      </c>
      <c r="I1836">
        <v>0</v>
      </c>
      <c r="J1836">
        <v>821</v>
      </c>
      <c r="K1836" t="s">
        <v>45</v>
      </c>
      <c r="L1836" t="s">
        <v>26</v>
      </c>
    </row>
    <row r="1837" spans="1:12" x14ac:dyDescent="0.25">
      <c r="A1837">
        <v>101742</v>
      </c>
      <c r="B1837" t="s">
        <v>402</v>
      </c>
      <c r="C1837" t="s">
        <v>95</v>
      </c>
      <c r="D1837" t="s">
        <v>1275</v>
      </c>
      <c r="E1837" t="s">
        <v>3619</v>
      </c>
      <c r="F1837" t="s">
        <v>30</v>
      </c>
      <c r="G1837" t="s">
        <v>2600</v>
      </c>
      <c r="H1837" t="s">
        <v>2587</v>
      </c>
      <c r="I1837">
        <v>0</v>
      </c>
      <c r="J1837">
        <v>355</v>
      </c>
      <c r="K1837" t="s">
        <v>19</v>
      </c>
      <c r="L1837" t="s">
        <v>2582</v>
      </c>
    </row>
    <row r="1838" spans="1:12" x14ac:dyDescent="0.25">
      <c r="A1838">
        <v>100191</v>
      </c>
      <c r="B1838" t="s">
        <v>545</v>
      </c>
      <c r="C1838" t="s">
        <v>126</v>
      </c>
      <c r="D1838" t="s">
        <v>2023</v>
      </c>
      <c r="E1838" t="s">
        <v>3620</v>
      </c>
      <c r="F1838" t="s">
        <v>2643</v>
      </c>
      <c r="G1838" t="s">
        <v>2609</v>
      </c>
      <c r="H1838" t="s">
        <v>2585</v>
      </c>
      <c r="I1838">
        <v>5</v>
      </c>
      <c r="J1838">
        <v>494</v>
      </c>
      <c r="K1838" t="s">
        <v>32</v>
      </c>
      <c r="L1838" t="s">
        <v>26</v>
      </c>
    </row>
    <row r="1839" spans="1:12" x14ac:dyDescent="0.25">
      <c r="A1839">
        <v>101777</v>
      </c>
      <c r="B1839" t="s">
        <v>307</v>
      </c>
      <c r="C1839" t="s">
        <v>58</v>
      </c>
      <c r="D1839" t="s">
        <v>1215</v>
      </c>
      <c r="E1839" t="s">
        <v>1216</v>
      </c>
      <c r="F1839" t="s">
        <v>2643</v>
      </c>
      <c r="G1839" t="s">
        <v>2600</v>
      </c>
      <c r="H1839" t="s">
        <v>2597</v>
      </c>
      <c r="I1839">
        <v>24</v>
      </c>
      <c r="J1839">
        <v>616</v>
      </c>
      <c r="K1839" t="s">
        <v>56</v>
      </c>
      <c r="L1839" t="s">
        <v>2582</v>
      </c>
    </row>
    <row r="1840" spans="1:12" x14ac:dyDescent="0.25">
      <c r="A1840">
        <v>100179</v>
      </c>
      <c r="B1840" t="s">
        <v>327</v>
      </c>
      <c r="C1840" t="s">
        <v>100</v>
      </c>
      <c r="D1840" t="s">
        <v>655</v>
      </c>
      <c r="F1840" t="s">
        <v>64</v>
      </c>
      <c r="G1840" t="s">
        <v>2584</v>
      </c>
      <c r="H1840" t="s">
        <v>2623</v>
      </c>
      <c r="I1840">
        <v>50</v>
      </c>
      <c r="J1840">
        <v>721</v>
      </c>
      <c r="K1840" t="s">
        <v>45</v>
      </c>
      <c r="L1840" t="s">
        <v>2588</v>
      </c>
    </row>
    <row r="1841" spans="1:12" x14ac:dyDescent="0.25">
      <c r="A1841">
        <v>101793</v>
      </c>
      <c r="B1841" t="s">
        <v>807</v>
      </c>
      <c r="C1841" t="s">
        <v>85</v>
      </c>
      <c r="D1841" t="s">
        <v>2264</v>
      </c>
      <c r="E1841" t="s">
        <v>3621</v>
      </c>
      <c r="F1841" t="s">
        <v>2590</v>
      </c>
      <c r="G1841" t="s">
        <v>2591</v>
      </c>
      <c r="H1841" t="s">
        <v>2644</v>
      </c>
      <c r="J1841">
        <v>443</v>
      </c>
      <c r="K1841" t="s">
        <v>56</v>
      </c>
      <c r="L1841" t="s">
        <v>26</v>
      </c>
    </row>
    <row r="1842" spans="1:12" x14ac:dyDescent="0.25">
      <c r="A1842">
        <v>100557</v>
      </c>
      <c r="B1842" t="s">
        <v>1435</v>
      </c>
      <c r="C1842" t="s">
        <v>47</v>
      </c>
      <c r="D1842" t="s">
        <v>2265</v>
      </c>
      <c r="E1842" t="s">
        <v>3622</v>
      </c>
      <c r="F1842" t="s">
        <v>2643</v>
      </c>
      <c r="G1842" t="s">
        <v>2596</v>
      </c>
      <c r="H1842" t="s">
        <v>18</v>
      </c>
      <c r="I1842">
        <v>0</v>
      </c>
      <c r="J1842">
        <v>744</v>
      </c>
      <c r="K1842" t="s">
        <v>37</v>
      </c>
      <c r="L1842" t="s">
        <v>20</v>
      </c>
    </row>
    <row r="1843" spans="1:12" x14ac:dyDescent="0.25">
      <c r="A1843">
        <v>101928</v>
      </c>
      <c r="B1843" t="s">
        <v>794</v>
      </c>
      <c r="C1843" t="s">
        <v>52</v>
      </c>
      <c r="D1843" t="s">
        <v>2266</v>
      </c>
      <c r="E1843" t="s">
        <v>2267</v>
      </c>
      <c r="F1843" t="s">
        <v>2643</v>
      </c>
      <c r="G1843" t="s">
        <v>2602</v>
      </c>
      <c r="H1843" t="s">
        <v>2618</v>
      </c>
      <c r="I1843">
        <v>0</v>
      </c>
      <c r="J1843">
        <v>733</v>
      </c>
      <c r="L1843" t="s">
        <v>26</v>
      </c>
    </row>
    <row r="1844" spans="1:12" x14ac:dyDescent="0.25">
      <c r="A1844">
        <v>101417</v>
      </c>
      <c r="B1844" t="s">
        <v>1091</v>
      </c>
      <c r="C1844" t="s">
        <v>270</v>
      </c>
      <c r="D1844" t="s">
        <v>337</v>
      </c>
      <c r="E1844" t="s">
        <v>3623</v>
      </c>
      <c r="F1844" t="s">
        <v>2640</v>
      </c>
      <c r="G1844" t="s">
        <v>2611</v>
      </c>
      <c r="H1844" t="s">
        <v>2597</v>
      </c>
      <c r="I1844">
        <v>28</v>
      </c>
      <c r="J1844">
        <v>817</v>
      </c>
      <c r="K1844" t="s">
        <v>32</v>
      </c>
      <c r="L1844" t="s">
        <v>2582</v>
      </c>
    </row>
    <row r="1846" spans="1:12" x14ac:dyDescent="0.25">
      <c r="A1846">
        <v>102148</v>
      </c>
      <c r="B1846" t="s">
        <v>1373</v>
      </c>
      <c r="C1846" t="s">
        <v>122</v>
      </c>
      <c r="D1846" t="s">
        <v>400</v>
      </c>
      <c r="E1846" t="s">
        <v>3624</v>
      </c>
      <c r="F1846" t="s">
        <v>2646</v>
      </c>
      <c r="G1846" t="s">
        <v>2652</v>
      </c>
      <c r="H1846" t="s">
        <v>2581</v>
      </c>
      <c r="I1846">
        <v>0</v>
      </c>
      <c r="J1846">
        <v>359</v>
      </c>
      <c r="K1846" t="s">
        <v>56</v>
      </c>
      <c r="L1846" t="s">
        <v>2582</v>
      </c>
    </row>
    <row r="1847" spans="1:12" x14ac:dyDescent="0.25">
      <c r="A1847">
        <v>102057</v>
      </c>
      <c r="B1847" t="s">
        <v>286</v>
      </c>
      <c r="C1847" t="s">
        <v>2655</v>
      </c>
      <c r="D1847" t="s">
        <v>586</v>
      </c>
      <c r="E1847" t="s">
        <v>2732</v>
      </c>
      <c r="F1847" t="s">
        <v>2627</v>
      </c>
      <c r="G1847" t="s">
        <v>81</v>
      </c>
      <c r="H1847" t="s">
        <v>2581</v>
      </c>
      <c r="I1847">
        <v>0</v>
      </c>
      <c r="J1847">
        <v>434</v>
      </c>
      <c r="K1847" t="s">
        <v>32</v>
      </c>
      <c r="L1847" t="s">
        <v>26</v>
      </c>
    </row>
    <row r="1848" spans="1:12" x14ac:dyDescent="0.25">
      <c r="A1848">
        <v>100745</v>
      </c>
      <c r="B1848" t="s">
        <v>34</v>
      </c>
      <c r="C1848" t="s">
        <v>13</v>
      </c>
      <c r="D1848" t="s">
        <v>632</v>
      </c>
      <c r="E1848" t="s">
        <v>2824</v>
      </c>
      <c r="F1848" t="s">
        <v>41</v>
      </c>
      <c r="G1848" t="s">
        <v>2652</v>
      </c>
      <c r="H1848" t="s">
        <v>2587</v>
      </c>
      <c r="I1848">
        <v>0</v>
      </c>
      <c r="J1848">
        <v>672</v>
      </c>
      <c r="K1848" t="s">
        <v>45</v>
      </c>
      <c r="L1848" t="s">
        <v>26</v>
      </c>
    </row>
    <row r="1849" spans="1:12" x14ac:dyDescent="0.25">
      <c r="A1849">
        <v>101920</v>
      </c>
      <c r="B1849" t="s">
        <v>238</v>
      </c>
      <c r="C1849" t="s">
        <v>47</v>
      </c>
      <c r="D1849" t="s">
        <v>2268</v>
      </c>
      <c r="E1849" t="s">
        <v>2269</v>
      </c>
      <c r="F1849" t="s">
        <v>2627</v>
      </c>
      <c r="G1849" t="s">
        <v>2617</v>
      </c>
      <c r="H1849" t="s">
        <v>83</v>
      </c>
      <c r="I1849">
        <v>0</v>
      </c>
      <c r="J1849">
        <v>497</v>
      </c>
      <c r="K1849" t="s">
        <v>32</v>
      </c>
      <c r="L1849" t="s">
        <v>26</v>
      </c>
    </row>
    <row r="1850" spans="1:12" x14ac:dyDescent="0.25">
      <c r="A1850">
        <v>101129</v>
      </c>
      <c r="B1850" t="s">
        <v>928</v>
      </c>
      <c r="C1850" t="s">
        <v>110</v>
      </c>
      <c r="D1850" t="s">
        <v>2270</v>
      </c>
      <c r="E1850" t="s">
        <v>3625</v>
      </c>
      <c r="F1850" t="s">
        <v>2646</v>
      </c>
      <c r="G1850" t="s">
        <v>2625</v>
      </c>
      <c r="H1850" t="s">
        <v>18</v>
      </c>
      <c r="I1850">
        <v>0</v>
      </c>
      <c r="J1850">
        <v>409</v>
      </c>
      <c r="K1850" t="s">
        <v>56</v>
      </c>
      <c r="L1850" t="s">
        <v>2582</v>
      </c>
    </row>
    <row r="1851" spans="1:12" x14ac:dyDescent="0.25">
      <c r="A1851">
        <v>101885</v>
      </c>
      <c r="B1851" t="s">
        <v>222</v>
      </c>
      <c r="C1851" t="s">
        <v>100</v>
      </c>
      <c r="D1851" t="s">
        <v>1365</v>
      </c>
      <c r="E1851" t="s">
        <v>2271</v>
      </c>
      <c r="F1851" t="s">
        <v>50</v>
      </c>
      <c r="G1851" t="s">
        <v>2635</v>
      </c>
      <c r="H1851" t="s">
        <v>2644</v>
      </c>
      <c r="I1851">
        <v>0</v>
      </c>
      <c r="J1851">
        <v>585</v>
      </c>
      <c r="K1851" t="s">
        <v>56</v>
      </c>
      <c r="L1851" t="s">
        <v>2582</v>
      </c>
    </row>
    <row r="1852" spans="1:12" x14ac:dyDescent="0.25">
      <c r="A1852">
        <v>101098</v>
      </c>
      <c r="B1852" t="s">
        <v>965</v>
      </c>
      <c r="C1852" t="s">
        <v>110</v>
      </c>
      <c r="D1852" t="s">
        <v>2272</v>
      </c>
      <c r="E1852" t="s">
        <v>2273</v>
      </c>
      <c r="F1852" t="s">
        <v>2641</v>
      </c>
      <c r="H1852" t="s">
        <v>2620</v>
      </c>
      <c r="I1852">
        <v>0</v>
      </c>
      <c r="J1852">
        <v>821</v>
      </c>
      <c r="K1852" t="s">
        <v>32</v>
      </c>
      <c r="L1852" t="s">
        <v>2588</v>
      </c>
    </row>
    <row r="1853" spans="1:12" x14ac:dyDescent="0.25">
      <c r="A1853">
        <v>101896</v>
      </c>
      <c r="B1853" t="s">
        <v>200</v>
      </c>
      <c r="C1853" t="s">
        <v>142</v>
      </c>
      <c r="D1853" t="s">
        <v>2274</v>
      </c>
      <c r="E1853" t="s">
        <v>2275</v>
      </c>
      <c r="F1853" t="s">
        <v>2604</v>
      </c>
      <c r="G1853" t="s">
        <v>55</v>
      </c>
      <c r="H1853" t="s">
        <v>2620</v>
      </c>
      <c r="I1853">
        <v>0</v>
      </c>
      <c r="J1853">
        <v>784</v>
      </c>
      <c r="L1853" t="s">
        <v>26</v>
      </c>
    </row>
    <row r="1854" spans="1:12" x14ac:dyDescent="0.25">
      <c r="A1854">
        <v>100512</v>
      </c>
      <c r="B1854" t="s">
        <v>779</v>
      </c>
      <c r="C1854" t="s">
        <v>39</v>
      </c>
      <c r="D1854" t="s">
        <v>2049</v>
      </c>
      <c r="E1854" t="s">
        <v>3626</v>
      </c>
      <c r="F1854" t="s">
        <v>64</v>
      </c>
      <c r="G1854" t="s">
        <v>2580</v>
      </c>
      <c r="H1854" t="s">
        <v>2618</v>
      </c>
      <c r="I1854">
        <v>0</v>
      </c>
      <c r="J1854">
        <v>402</v>
      </c>
      <c r="K1854" t="s">
        <v>45</v>
      </c>
      <c r="L1854" t="s">
        <v>2588</v>
      </c>
    </row>
    <row r="1855" spans="1:12" x14ac:dyDescent="0.25">
      <c r="A1855">
        <v>102001</v>
      </c>
      <c r="B1855" t="s">
        <v>402</v>
      </c>
      <c r="C1855" t="s">
        <v>95</v>
      </c>
      <c r="D1855" t="s">
        <v>2276</v>
      </c>
      <c r="E1855" t="s">
        <v>3627</v>
      </c>
      <c r="F1855" t="s">
        <v>2598</v>
      </c>
      <c r="G1855" t="s">
        <v>2633</v>
      </c>
      <c r="H1855" t="s">
        <v>2587</v>
      </c>
      <c r="I1855">
        <v>0</v>
      </c>
      <c r="J1855">
        <v>355</v>
      </c>
      <c r="K1855" t="s">
        <v>45</v>
      </c>
      <c r="L1855" t="s">
        <v>2582</v>
      </c>
    </row>
    <row r="1856" spans="1:12" x14ac:dyDescent="0.25">
      <c r="A1856">
        <v>101464</v>
      </c>
      <c r="B1856" t="s">
        <v>1303</v>
      </c>
      <c r="C1856" t="s">
        <v>126</v>
      </c>
      <c r="D1856" t="s">
        <v>1430</v>
      </c>
      <c r="E1856" t="s">
        <v>2277</v>
      </c>
      <c r="F1856" t="s">
        <v>2579</v>
      </c>
      <c r="G1856" t="s">
        <v>55</v>
      </c>
      <c r="H1856" t="s">
        <v>2644</v>
      </c>
      <c r="I1856">
        <v>0</v>
      </c>
      <c r="J1856">
        <v>788</v>
      </c>
      <c r="K1856" t="s">
        <v>45</v>
      </c>
      <c r="L1856" t="s">
        <v>20</v>
      </c>
    </row>
    <row r="1857" spans="1:12" x14ac:dyDescent="0.25">
      <c r="A1857">
        <v>102079</v>
      </c>
      <c r="B1857" t="s">
        <v>222</v>
      </c>
      <c r="C1857" t="s">
        <v>100</v>
      </c>
      <c r="D1857" t="s">
        <v>2278</v>
      </c>
      <c r="E1857" t="s">
        <v>3628</v>
      </c>
      <c r="F1857" t="s">
        <v>2593</v>
      </c>
      <c r="G1857" t="s">
        <v>31</v>
      </c>
      <c r="H1857" t="s">
        <v>2581</v>
      </c>
      <c r="I1857">
        <v>0</v>
      </c>
      <c r="J1857">
        <v>585</v>
      </c>
      <c r="K1857" t="s">
        <v>19</v>
      </c>
      <c r="L1857" t="s">
        <v>20</v>
      </c>
    </row>
    <row r="1858" spans="1:12" x14ac:dyDescent="0.25">
      <c r="A1858">
        <v>101753</v>
      </c>
      <c r="B1858" t="s">
        <v>528</v>
      </c>
      <c r="C1858" t="s">
        <v>103</v>
      </c>
      <c r="D1858" t="s">
        <v>1629</v>
      </c>
      <c r="E1858" t="s">
        <v>3629</v>
      </c>
      <c r="F1858" t="s">
        <v>2604</v>
      </c>
      <c r="G1858" t="s">
        <v>81</v>
      </c>
      <c r="H1858" t="s">
        <v>25</v>
      </c>
      <c r="I1858">
        <v>25</v>
      </c>
      <c r="J1858">
        <v>583</v>
      </c>
      <c r="K1858" t="s">
        <v>19</v>
      </c>
      <c r="L1858" t="s">
        <v>2588</v>
      </c>
    </row>
    <row r="1859" spans="1:12" x14ac:dyDescent="0.25">
      <c r="A1859">
        <v>100472</v>
      </c>
      <c r="B1859" t="s">
        <v>376</v>
      </c>
      <c r="C1859" t="s">
        <v>22</v>
      </c>
      <c r="D1859" t="s">
        <v>511</v>
      </c>
      <c r="E1859" t="s">
        <v>3630</v>
      </c>
      <c r="F1859" t="s">
        <v>2654</v>
      </c>
      <c r="G1859" t="s">
        <v>2580</v>
      </c>
      <c r="H1859" t="s">
        <v>2585</v>
      </c>
      <c r="I1859">
        <v>16</v>
      </c>
      <c r="J1859">
        <v>340</v>
      </c>
      <c r="K1859" t="s">
        <v>32</v>
      </c>
      <c r="L1859" t="s">
        <v>2582</v>
      </c>
    </row>
    <row r="1860" spans="1:12" x14ac:dyDescent="0.25">
      <c r="A1860">
        <v>100399</v>
      </c>
      <c r="B1860" t="s">
        <v>107</v>
      </c>
      <c r="C1860" t="s">
        <v>58</v>
      </c>
      <c r="D1860" t="s">
        <v>1332</v>
      </c>
      <c r="E1860" t="s">
        <v>2279</v>
      </c>
      <c r="F1860" t="s">
        <v>41</v>
      </c>
      <c r="G1860" t="s">
        <v>2631</v>
      </c>
      <c r="H1860" t="s">
        <v>2620</v>
      </c>
      <c r="I1860">
        <v>0</v>
      </c>
      <c r="J1860">
        <v>884</v>
      </c>
      <c r="K1860" t="s">
        <v>56</v>
      </c>
      <c r="L1860" t="s">
        <v>20</v>
      </c>
    </row>
    <row r="1861" spans="1:12" x14ac:dyDescent="0.25">
      <c r="A1861">
        <v>101958</v>
      </c>
      <c r="B1861" t="s">
        <v>222</v>
      </c>
      <c r="C1861" t="s">
        <v>100</v>
      </c>
      <c r="D1861" t="s">
        <v>556</v>
      </c>
      <c r="E1861" t="s">
        <v>2280</v>
      </c>
      <c r="F1861" t="s">
        <v>41</v>
      </c>
      <c r="G1861" t="s">
        <v>2614</v>
      </c>
      <c r="H1861" t="s">
        <v>18</v>
      </c>
      <c r="I1861">
        <v>0</v>
      </c>
      <c r="J1861">
        <v>585</v>
      </c>
      <c r="K1861" t="s">
        <v>19</v>
      </c>
      <c r="L1861" t="s">
        <v>20</v>
      </c>
    </row>
    <row r="1862" spans="1:12" x14ac:dyDescent="0.25">
      <c r="A1862">
        <v>100036</v>
      </c>
      <c r="B1862" t="s">
        <v>1402</v>
      </c>
      <c r="C1862" t="s">
        <v>100</v>
      </c>
      <c r="D1862" t="s">
        <v>1824</v>
      </c>
      <c r="E1862" t="s">
        <v>3631</v>
      </c>
      <c r="F1862" t="s">
        <v>2604</v>
      </c>
      <c r="G1862" t="s">
        <v>2625</v>
      </c>
      <c r="H1862" t="s">
        <v>2623</v>
      </c>
      <c r="I1862">
        <v>81</v>
      </c>
      <c r="J1862">
        <v>588</v>
      </c>
      <c r="K1862" t="s">
        <v>56</v>
      </c>
      <c r="L1862" t="s">
        <v>26</v>
      </c>
    </row>
    <row r="1863" spans="1:12" x14ac:dyDescent="0.25">
      <c r="A1863">
        <v>100206</v>
      </c>
      <c r="B1863" t="s">
        <v>530</v>
      </c>
      <c r="C1863" t="s">
        <v>2649</v>
      </c>
      <c r="D1863" t="s">
        <v>2281</v>
      </c>
      <c r="E1863" t="s">
        <v>2282</v>
      </c>
      <c r="F1863" t="s">
        <v>2593</v>
      </c>
      <c r="G1863" t="s">
        <v>2591</v>
      </c>
      <c r="H1863" t="s">
        <v>2618</v>
      </c>
      <c r="I1863">
        <v>0</v>
      </c>
      <c r="J1863">
        <v>819</v>
      </c>
      <c r="K1863" t="s">
        <v>19</v>
      </c>
      <c r="L1863" t="s">
        <v>2582</v>
      </c>
    </row>
    <row r="1864" spans="1:12" x14ac:dyDescent="0.25">
      <c r="A1864">
        <v>100609</v>
      </c>
      <c r="B1864" t="s">
        <v>307</v>
      </c>
      <c r="C1864" t="s">
        <v>58</v>
      </c>
      <c r="D1864" t="s">
        <v>2283</v>
      </c>
      <c r="E1864" t="s">
        <v>3632</v>
      </c>
      <c r="F1864" t="s">
        <v>2643</v>
      </c>
      <c r="G1864" t="s">
        <v>55</v>
      </c>
      <c r="H1864" t="s">
        <v>2581</v>
      </c>
      <c r="I1864">
        <v>0</v>
      </c>
      <c r="J1864">
        <v>616</v>
      </c>
      <c r="K1864" t="s">
        <v>19</v>
      </c>
      <c r="L1864" t="s">
        <v>20</v>
      </c>
    </row>
    <row r="1865" spans="1:12" x14ac:dyDescent="0.25">
      <c r="A1865">
        <v>100253</v>
      </c>
      <c r="B1865" t="s">
        <v>215</v>
      </c>
      <c r="C1865" t="s">
        <v>2634</v>
      </c>
      <c r="D1865" t="s">
        <v>594</v>
      </c>
      <c r="E1865" t="s">
        <v>3633</v>
      </c>
      <c r="F1865" t="s">
        <v>2613</v>
      </c>
      <c r="G1865" t="s">
        <v>81</v>
      </c>
      <c r="H1865" t="s">
        <v>2597</v>
      </c>
      <c r="I1865">
        <v>16</v>
      </c>
      <c r="J1865">
        <v>395</v>
      </c>
      <c r="K1865" t="s">
        <v>37</v>
      </c>
      <c r="L1865" t="s">
        <v>26</v>
      </c>
    </row>
    <row r="1866" spans="1:12" x14ac:dyDescent="0.25">
      <c r="A1866">
        <v>101908</v>
      </c>
      <c r="B1866" t="s">
        <v>27</v>
      </c>
      <c r="C1866" t="s">
        <v>2723</v>
      </c>
      <c r="D1866" t="s">
        <v>2284</v>
      </c>
      <c r="E1866" t="s">
        <v>3634</v>
      </c>
      <c r="F1866" t="s">
        <v>2613</v>
      </c>
      <c r="G1866" t="s">
        <v>55</v>
      </c>
      <c r="H1866" t="s">
        <v>42</v>
      </c>
      <c r="I1866">
        <v>151</v>
      </c>
      <c r="J1866">
        <v>849</v>
      </c>
      <c r="K1866" t="s">
        <v>56</v>
      </c>
      <c r="L1866" t="s">
        <v>2588</v>
      </c>
    </row>
    <row r="1867" spans="1:12" x14ac:dyDescent="0.25">
      <c r="A1867">
        <v>101068</v>
      </c>
      <c r="B1867" t="s">
        <v>728</v>
      </c>
      <c r="C1867" t="s">
        <v>85</v>
      </c>
      <c r="D1867" t="s">
        <v>2209</v>
      </c>
      <c r="E1867" t="s">
        <v>2285</v>
      </c>
      <c r="F1867" t="s">
        <v>2654</v>
      </c>
      <c r="G1867" t="s">
        <v>2682</v>
      </c>
      <c r="H1867" t="s">
        <v>2618</v>
      </c>
      <c r="I1867">
        <v>0</v>
      </c>
      <c r="J1867">
        <v>653</v>
      </c>
      <c r="K1867" t="s">
        <v>37</v>
      </c>
      <c r="L1867" t="s">
        <v>20</v>
      </c>
    </row>
    <row r="1868" spans="1:12" x14ac:dyDescent="0.25">
      <c r="A1868">
        <v>101286</v>
      </c>
      <c r="B1868" t="s">
        <v>243</v>
      </c>
      <c r="C1868" t="s">
        <v>244</v>
      </c>
      <c r="D1868" t="s">
        <v>2286</v>
      </c>
      <c r="E1868" t="s">
        <v>2287</v>
      </c>
      <c r="F1868" t="s">
        <v>2640</v>
      </c>
      <c r="G1868" t="s">
        <v>2617</v>
      </c>
      <c r="H1868" t="s">
        <v>2594</v>
      </c>
      <c r="I1868">
        <v>82</v>
      </c>
      <c r="J1868">
        <v>729</v>
      </c>
      <c r="K1868" t="s">
        <v>32</v>
      </c>
      <c r="L1868" t="s">
        <v>20</v>
      </c>
    </row>
    <row r="1869" spans="1:12" x14ac:dyDescent="0.25">
      <c r="A1869">
        <v>101173</v>
      </c>
      <c r="B1869" t="s">
        <v>420</v>
      </c>
      <c r="C1869" t="s">
        <v>72</v>
      </c>
      <c r="D1869" t="s">
        <v>687</v>
      </c>
      <c r="E1869" t="s">
        <v>3635</v>
      </c>
      <c r="F1869" t="s">
        <v>2593</v>
      </c>
      <c r="G1869" t="s">
        <v>2602</v>
      </c>
      <c r="H1869" t="s">
        <v>2620</v>
      </c>
      <c r="I1869">
        <v>0</v>
      </c>
      <c r="J1869">
        <v>418</v>
      </c>
      <c r="K1869" t="s">
        <v>45</v>
      </c>
      <c r="L1869" t="s">
        <v>26</v>
      </c>
    </row>
    <row r="1870" spans="1:12" x14ac:dyDescent="0.25">
      <c r="A1870">
        <v>100430</v>
      </c>
      <c r="B1870" t="s">
        <v>1059</v>
      </c>
      <c r="C1870" t="s">
        <v>149</v>
      </c>
      <c r="D1870" t="s">
        <v>2288</v>
      </c>
      <c r="E1870" t="s">
        <v>2289</v>
      </c>
      <c r="F1870" t="s">
        <v>2590</v>
      </c>
      <c r="G1870" t="s">
        <v>2600</v>
      </c>
      <c r="H1870" t="s">
        <v>2587</v>
      </c>
      <c r="I1870">
        <v>0</v>
      </c>
      <c r="J1870">
        <v>571</v>
      </c>
      <c r="K1870" t="s">
        <v>19</v>
      </c>
      <c r="L1870" t="s">
        <v>2588</v>
      </c>
    </row>
    <row r="1871" spans="1:12" x14ac:dyDescent="0.25">
      <c r="A1871">
        <v>102073</v>
      </c>
      <c r="B1871" t="s">
        <v>1175</v>
      </c>
      <c r="C1871" t="s">
        <v>142</v>
      </c>
      <c r="D1871" t="s">
        <v>2290</v>
      </c>
      <c r="E1871" t="s">
        <v>2291</v>
      </c>
      <c r="F1871" t="s">
        <v>30</v>
      </c>
      <c r="G1871" t="s">
        <v>60</v>
      </c>
      <c r="H1871" t="s">
        <v>83</v>
      </c>
      <c r="I1871">
        <v>0</v>
      </c>
      <c r="J1871">
        <v>573</v>
      </c>
      <c r="K1871" t="s">
        <v>37</v>
      </c>
      <c r="L1871" t="s">
        <v>2588</v>
      </c>
    </row>
    <row r="1872" spans="1:12" x14ac:dyDescent="0.25">
      <c r="A1872">
        <v>100229</v>
      </c>
      <c r="B1872" t="s">
        <v>1009</v>
      </c>
      <c r="C1872" t="s">
        <v>58</v>
      </c>
      <c r="D1872" t="s">
        <v>2292</v>
      </c>
      <c r="E1872" t="s">
        <v>3636</v>
      </c>
      <c r="F1872" t="s">
        <v>2641</v>
      </c>
      <c r="G1872" t="s">
        <v>2584</v>
      </c>
      <c r="H1872" t="s">
        <v>2620</v>
      </c>
      <c r="I1872">
        <v>0</v>
      </c>
      <c r="J1872">
        <v>400</v>
      </c>
      <c r="K1872" t="s">
        <v>32</v>
      </c>
      <c r="L1872" t="s">
        <v>26</v>
      </c>
    </row>
    <row r="1873" spans="1:12" x14ac:dyDescent="0.25">
      <c r="A1873">
        <v>101004</v>
      </c>
      <c r="B1873" t="s">
        <v>65</v>
      </c>
      <c r="C1873" t="s">
        <v>62</v>
      </c>
      <c r="D1873" t="s">
        <v>987</v>
      </c>
      <c r="E1873" t="s">
        <v>3637</v>
      </c>
      <c r="F1873" t="s">
        <v>2583</v>
      </c>
      <c r="G1873" t="s">
        <v>2617</v>
      </c>
      <c r="H1873" t="s">
        <v>25</v>
      </c>
      <c r="I1873">
        <v>25</v>
      </c>
      <c r="J1873">
        <v>542</v>
      </c>
      <c r="K1873" t="s">
        <v>45</v>
      </c>
      <c r="L1873" t="s">
        <v>26</v>
      </c>
    </row>
    <row r="1874" spans="1:12" x14ac:dyDescent="0.25">
      <c r="A1874">
        <v>101749</v>
      </c>
      <c r="B1874" t="s">
        <v>87</v>
      </c>
      <c r="C1874" t="s">
        <v>47</v>
      </c>
      <c r="D1874" t="s">
        <v>2293</v>
      </c>
      <c r="E1874" t="s">
        <v>67</v>
      </c>
      <c r="F1874" t="s">
        <v>2608</v>
      </c>
      <c r="G1874" t="s">
        <v>2682</v>
      </c>
      <c r="H1874" t="s">
        <v>2620</v>
      </c>
      <c r="I1874">
        <v>0</v>
      </c>
      <c r="J1874">
        <v>892</v>
      </c>
      <c r="K1874" t="s">
        <v>19</v>
      </c>
      <c r="L1874" t="s">
        <v>26</v>
      </c>
    </row>
    <row r="1875" spans="1:12" x14ac:dyDescent="0.25">
      <c r="A1875">
        <v>101030</v>
      </c>
      <c r="B1875" t="s">
        <v>125</v>
      </c>
      <c r="C1875" t="s">
        <v>126</v>
      </c>
      <c r="D1875" t="s">
        <v>233</v>
      </c>
      <c r="E1875" t="s">
        <v>3638</v>
      </c>
      <c r="F1875" t="s">
        <v>2590</v>
      </c>
      <c r="G1875" t="s">
        <v>2584</v>
      </c>
      <c r="H1875" t="s">
        <v>2585</v>
      </c>
      <c r="I1875">
        <v>5</v>
      </c>
      <c r="J1875">
        <v>461</v>
      </c>
      <c r="K1875" t="s">
        <v>32</v>
      </c>
      <c r="L1875" t="s">
        <v>2588</v>
      </c>
    </row>
    <row r="1876" spans="1:12" x14ac:dyDescent="0.25">
      <c r="A1876">
        <v>100610</v>
      </c>
      <c r="B1876" t="s">
        <v>392</v>
      </c>
      <c r="C1876" t="s">
        <v>72</v>
      </c>
      <c r="D1876" t="s">
        <v>158</v>
      </c>
      <c r="E1876" t="s">
        <v>3639</v>
      </c>
      <c r="F1876" t="s">
        <v>2641</v>
      </c>
      <c r="G1876" t="s">
        <v>2607</v>
      </c>
      <c r="H1876" t="s">
        <v>2581</v>
      </c>
      <c r="I1876">
        <v>0</v>
      </c>
      <c r="J1876">
        <v>433</v>
      </c>
      <c r="K1876" t="s">
        <v>56</v>
      </c>
      <c r="L1876" t="s">
        <v>20</v>
      </c>
    </row>
    <row r="1877" spans="1:12" x14ac:dyDescent="0.25">
      <c r="A1877">
        <v>101645</v>
      </c>
      <c r="B1877" t="s">
        <v>470</v>
      </c>
      <c r="C1877" t="s">
        <v>187</v>
      </c>
      <c r="D1877" t="s">
        <v>665</v>
      </c>
      <c r="E1877" t="s">
        <v>3640</v>
      </c>
      <c r="F1877" t="s">
        <v>2616</v>
      </c>
      <c r="G1877" t="s">
        <v>2607</v>
      </c>
      <c r="H1877" t="s">
        <v>2581</v>
      </c>
      <c r="I1877">
        <v>0</v>
      </c>
      <c r="J1877">
        <v>820</v>
      </c>
      <c r="K1877" t="s">
        <v>32</v>
      </c>
      <c r="L1877" t="s">
        <v>26</v>
      </c>
    </row>
    <row r="1878" spans="1:12" x14ac:dyDescent="0.25">
      <c r="A1878">
        <v>100807</v>
      </c>
      <c r="B1878" t="s">
        <v>1069</v>
      </c>
      <c r="C1878" t="s">
        <v>22</v>
      </c>
      <c r="D1878" t="s">
        <v>1336</v>
      </c>
      <c r="E1878" t="s">
        <v>3105</v>
      </c>
      <c r="F1878" t="s">
        <v>2593</v>
      </c>
      <c r="G1878" t="s">
        <v>2614</v>
      </c>
      <c r="H1878" t="s">
        <v>25</v>
      </c>
      <c r="I1878">
        <v>14</v>
      </c>
      <c r="J1878">
        <v>607</v>
      </c>
      <c r="K1878" t="s">
        <v>37</v>
      </c>
      <c r="L1878" t="s">
        <v>20</v>
      </c>
    </row>
    <row r="1879" spans="1:12" x14ac:dyDescent="0.25">
      <c r="A1879">
        <v>100718</v>
      </c>
      <c r="B1879" t="s">
        <v>444</v>
      </c>
      <c r="C1879" t="s">
        <v>52</v>
      </c>
      <c r="D1879" t="s">
        <v>1714</v>
      </c>
      <c r="E1879" t="s">
        <v>3313</v>
      </c>
      <c r="F1879" t="s">
        <v>2640</v>
      </c>
      <c r="G1879" t="s">
        <v>2635</v>
      </c>
      <c r="H1879" t="s">
        <v>2587</v>
      </c>
      <c r="I1879">
        <v>0</v>
      </c>
      <c r="J1879">
        <v>688</v>
      </c>
      <c r="K1879" t="s">
        <v>32</v>
      </c>
      <c r="L1879" t="s">
        <v>20</v>
      </c>
    </row>
    <row r="1880" spans="1:12" x14ac:dyDescent="0.25">
      <c r="A1880">
        <v>101610</v>
      </c>
      <c r="B1880" t="s">
        <v>719</v>
      </c>
      <c r="C1880" t="s">
        <v>2686</v>
      </c>
      <c r="D1880" t="s">
        <v>2294</v>
      </c>
      <c r="E1880" t="s">
        <v>3641</v>
      </c>
      <c r="F1880" t="s">
        <v>2654</v>
      </c>
      <c r="G1880" t="s">
        <v>60</v>
      </c>
      <c r="H1880" t="s">
        <v>2594</v>
      </c>
      <c r="I1880">
        <v>171</v>
      </c>
      <c r="J1880">
        <v>461</v>
      </c>
      <c r="K1880" t="s">
        <v>45</v>
      </c>
      <c r="L1880" t="s">
        <v>20</v>
      </c>
    </row>
    <row r="1881" spans="1:12" x14ac:dyDescent="0.25">
      <c r="A1881">
        <v>100728</v>
      </c>
      <c r="B1881" t="s">
        <v>431</v>
      </c>
      <c r="C1881" t="s">
        <v>28</v>
      </c>
      <c r="D1881" t="s">
        <v>675</v>
      </c>
      <c r="E1881" t="s">
        <v>3642</v>
      </c>
      <c r="F1881" t="s">
        <v>64</v>
      </c>
      <c r="G1881" t="s">
        <v>2633</v>
      </c>
      <c r="H1881" t="s">
        <v>2623</v>
      </c>
      <c r="I1881">
        <v>116</v>
      </c>
      <c r="J1881">
        <v>691</v>
      </c>
      <c r="K1881" t="s">
        <v>19</v>
      </c>
      <c r="L1881" t="s">
        <v>2582</v>
      </c>
    </row>
    <row r="1882" spans="1:12" x14ac:dyDescent="0.25">
      <c r="A1882">
        <v>100319</v>
      </c>
      <c r="B1882" t="s">
        <v>631</v>
      </c>
      <c r="C1882" t="s">
        <v>13</v>
      </c>
      <c r="D1882" t="s">
        <v>1959</v>
      </c>
      <c r="E1882" t="s">
        <v>3643</v>
      </c>
      <c r="F1882" t="s">
        <v>50</v>
      </c>
      <c r="G1882" t="s">
        <v>55</v>
      </c>
      <c r="H1882" t="s">
        <v>2587</v>
      </c>
      <c r="I1882">
        <v>0</v>
      </c>
      <c r="J1882">
        <v>544</v>
      </c>
      <c r="K1882" t="s">
        <v>32</v>
      </c>
      <c r="L1882" t="s">
        <v>2588</v>
      </c>
    </row>
    <row r="1883" spans="1:12" x14ac:dyDescent="0.25">
      <c r="A1883">
        <v>100630</v>
      </c>
      <c r="B1883" t="s">
        <v>534</v>
      </c>
      <c r="C1883" t="s">
        <v>39</v>
      </c>
      <c r="D1883" t="s">
        <v>2295</v>
      </c>
      <c r="E1883" t="s">
        <v>2296</v>
      </c>
      <c r="F1883" t="s">
        <v>41</v>
      </c>
      <c r="G1883" t="s">
        <v>81</v>
      </c>
      <c r="H1883" t="s">
        <v>25</v>
      </c>
      <c r="I1883">
        <v>28</v>
      </c>
      <c r="J1883">
        <v>592</v>
      </c>
      <c r="K1883" t="s">
        <v>37</v>
      </c>
      <c r="L1883" t="s">
        <v>2582</v>
      </c>
    </row>
    <row r="1884" spans="1:12" x14ac:dyDescent="0.25">
      <c r="A1884">
        <v>100926</v>
      </c>
      <c r="B1884" t="s">
        <v>204</v>
      </c>
      <c r="C1884" t="s">
        <v>152</v>
      </c>
      <c r="D1884" t="s">
        <v>561</v>
      </c>
      <c r="E1884" t="s">
        <v>3644</v>
      </c>
      <c r="F1884" t="s">
        <v>2627</v>
      </c>
      <c r="G1884" t="s">
        <v>2607</v>
      </c>
      <c r="H1884" t="s">
        <v>2594</v>
      </c>
      <c r="I1884">
        <v>47</v>
      </c>
      <c r="J1884">
        <v>362</v>
      </c>
      <c r="K1884" t="s">
        <v>45</v>
      </c>
      <c r="L1884" t="s">
        <v>26</v>
      </c>
    </row>
    <row r="1885" spans="1:12" x14ac:dyDescent="0.25">
      <c r="A1885">
        <v>100894</v>
      </c>
      <c r="B1885" t="s">
        <v>444</v>
      </c>
      <c r="C1885" t="s">
        <v>52</v>
      </c>
      <c r="D1885" t="s">
        <v>252</v>
      </c>
      <c r="E1885" t="s">
        <v>2297</v>
      </c>
      <c r="F1885" t="s">
        <v>50</v>
      </c>
      <c r="G1885" t="s">
        <v>2658</v>
      </c>
      <c r="H1885" t="s">
        <v>83</v>
      </c>
      <c r="J1885">
        <v>688</v>
      </c>
      <c r="K1885" t="s">
        <v>45</v>
      </c>
      <c r="L1885" t="s">
        <v>26</v>
      </c>
    </row>
    <row r="1886" spans="1:12" x14ac:dyDescent="0.25">
      <c r="A1886">
        <v>101020</v>
      </c>
      <c r="B1886" t="s">
        <v>34</v>
      </c>
      <c r="C1886" t="s">
        <v>2786</v>
      </c>
      <c r="D1886" t="s">
        <v>1679</v>
      </c>
      <c r="E1886" t="s">
        <v>3645</v>
      </c>
      <c r="F1886" t="s">
        <v>2608</v>
      </c>
      <c r="G1886" t="s">
        <v>2599</v>
      </c>
      <c r="H1886" t="s">
        <v>25</v>
      </c>
      <c r="I1886">
        <v>18</v>
      </c>
      <c r="J1886">
        <v>672</v>
      </c>
      <c r="K1886" t="s">
        <v>32</v>
      </c>
      <c r="L1886" t="s">
        <v>26</v>
      </c>
    </row>
    <row r="1887" spans="1:12" x14ac:dyDescent="0.25">
      <c r="A1887">
        <v>102183</v>
      </c>
      <c r="B1887" t="s">
        <v>558</v>
      </c>
      <c r="C1887" t="s">
        <v>218</v>
      </c>
      <c r="D1887" t="s">
        <v>2298</v>
      </c>
      <c r="E1887" t="s">
        <v>3646</v>
      </c>
      <c r="F1887" t="s">
        <v>2583</v>
      </c>
      <c r="G1887" t="s">
        <v>2611</v>
      </c>
      <c r="H1887" t="s">
        <v>18</v>
      </c>
      <c r="I1887">
        <v>0</v>
      </c>
      <c r="J1887">
        <v>784</v>
      </c>
      <c r="K1887" t="s">
        <v>19</v>
      </c>
      <c r="L1887" t="s">
        <v>20</v>
      </c>
    </row>
    <row r="1888" spans="1:12" x14ac:dyDescent="0.25">
      <c r="A1888">
        <v>100035</v>
      </c>
      <c r="B1888" t="s">
        <v>136</v>
      </c>
      <c r="C1888" t="s">
        <v>58</v>
      </c>
      <c r="D1888" t="s">
        <v>2299</v>
      </c>
      <c r="E1888" t="s">
        <v>2300</v>
      </c>
      <c r="F1888" t="s">
        <v>2593</v>
      </c>
      <c r="G1888" t="s">
        <v>2625</v>
      </c>
      <c r="H1888" t="s">
        <v>2618</v>
      </c>
      <c r="I1888">
        <v>0</v>
      </c>
      <c r="J1888">
        <v>540</v>
      </c>
      <c r="K1888" t="s">
        <v>32</v>
      </c>
      <c r="L1888" t="s">
        <v>2582</v>
      </c>
    </row>
    <row r="1889" spans="1:12" x14ac:dyDescent="0.25">
      <c r="A1889">
        <v>101337</v>
      </c>
      <c r="B1889" t="s">
        <v>269</v>
      </c>
      <c r="C1889" t="s">
        <v>270</v>
      </c>
      <c r="D1889" t="s">
        <v>150</v>
      </c>
      <c r="E1889" t="s">
        <v>3647</v>
      </c>
      <c r="F1889" t="s">
        <v>2593</v>
      </c>
      <c r="G1889" t="s">
        <v>2596</v>
      </c>
      <c r="H1889" t="s">
        <v>83</v>
      </c>
      <c r="J1889">
        <v>515</v>
      </c>
      <c r="K1889" t="s">
        <v>19</v>
      </c>
      <c r="L1889" t="s">
        <v>20</v>
      </c>
    </row>
    <row r="1890" spans="1:12" x14ac:dyDescent="0.25">
      <c r="A1890">
        <v>101787</v>
      </c>
      <c r="B1890" t="s">
        <v>276</v>
      </c>
      <c r="C1890" t="s">
        <v>52</v>
      </c>
      <c r="D1890" t="s">
        <v>2055</v>
      </c>
      <c r="E1890" t="s">
        <v>2301</v>
      </c>
      <c r="F1890" t="s">
        <v>2613</v>
      </c>
      <c r="G1890" t="s">
        <v>2609</v>
      </c>
      <c r="H1890" t="s">
        <v>2585</v>
      </c>
      <c r="I1890">
        <v>30</v>
      </c>
      <c r="J1890">
        <v>638</v>
      </c>
      <c r="K1890" t="s">
        <v>37</v>
      </c>
      <c r="L1890" t="s">
        <v>26</v>
      </c>
    </row>
    <row r="1891" spans="1:12" x14ac:dyDescent="0.25">
      <c r="A1891">
        <v>100076</v>
      </c>
      <c r="B1891" t="s">
        <v>875</v>
      </c>
      <c r="C1891" t="s">
        <v>72</v>
      </c>
      <c r="D1891" t="s">
        <v>2302</v>
      </c>
      <c r="E1891" t="s">
        <v>3648</v>
      </c>
      <c r="F1891" t="s">
        <v>50</v>
      </c>
      <c r="G1891" t="s">
        <v>31</v>
      </c>
      <c r="H1891" t="s">
        <v>2597</v>
      </c>
      <c r="I1891">
        <v>29</v>
      </c>
      <c r="J1891">
        <v>678</v>
      </c>
      <c r="K1891" t="s">
        <v>56</v>
      </c>
      <c r="L1891" t="s">
        <v>26</v>
      </c>
    </row>
    <row r="1892" spans="1:12" x14ac:dyDescent="0.25">
      <c r="A1892">
        <v>100174</v>
      </c>
      <c r="B1892" t="s">
        <v>429</v>
      </c>
      <c r="C1892" t="s">
        <v>52</v>
      </c>
      <c r="D1892" t="s">
        <v>873</v>
      </c>
      <c r="E1892" t="s">
        <v>2303</v>
      </c>
      <c r="F1892" t="s">
        <v>2604</v>
      </c>
      <c r="G1892" t="s">
        <v>2609</v>
      </c>
      <c r="H1892" t="s">
        <v>2581</v>
      </c>
      <c r="I1892">
        <v>0</v>
      </c>
      <c r="J1892">
        <v>568</v>
      </c>
      <c r="K1892" t="s">
        <v>45</v>
      </c>
      <c r="L1892" t="s">
        <v>20</v>
      </c>
    </row>
    <row r="1893" spans="1:12" x14ac:dyDescent="0.25">
      <c r="A1893">
        <v>101119</v>
      </c>
      <c r="B1893" t="s">
        <v>576</v>
      </c>
      <c r="C1893" t="s">
        <v>2686</v>
      </c>
      <c r="D1893" t="s">
        <v>76</v>
      </c>
      <c r="E1893" t="s">
        <v>3649</v>
      </c>
      <c r="F1893" t="s">
        <v>2590</v>
      </c>
      <c r="G1893" t="s">
        <v>81</v>
      </c>
      <c r="H1893" t="s">
        <v>2585</v>
      </c>
      <c r="I1893">
        <v>9</v>
      </c>
      <c r="J1893">
        <v>418</v>
      </c>
      <c r="K1893" t="s">
        <v>19</v>
      </c>
      <c r="L1893" t="s">
        <v>2582</v>
      </c>
    </row>
    <row r="1894" spans="1:12" x14ac:dyDescent="0.25">
      <c r="A1894">
        <v>101076</v>
      </c>
      <c r="B1894" t="s">
        <v>276</v>
      </c>
      <c r="C1894" t="s">
        <v>52</v>
      </c>
      <c r="D1894" t="s">
        <v>464</v>
      </c>
      <c r="E1894" t="s">
        <v>3650</v>
      </c>
      <c r="F1894" t="s">
        <v>2627</v>
      </c>
      <c r="H1894" t="s">
        <v>2644</v>
      </c>
      <c r="I1894">
        <v>0</v>
      </c>
      <c r="J1894">
        <v>638</v>
      </c>
      <c r="K1894" t="s">
        <v>56</v>
      </c>
      <c r="L1894" t="s">
        <v>2588</v>
      </c>
    </row>
    <row r="1895" spans="1:12" x14ac:dyDescent="0.25">
      <c r="A1895">
        <v>101576</v>
      </c>
      <c r="B1895" t="s">
        <v>832</v>
      </c>
      <c r="C1895" t="s">
        <v>134</v>
      </c>
      <c r="D1895" t="s">
        <v>1678</v>
      </c>
      <c r="E1895" t="s">
        <v>3651</v>
      </c>
      <c r="F1895" t="s">
        <v>2640</v>
      </c>
      <c r="G1895" t="s">
        <v>2652</v>
      </c>
      <c r="H1895" t="s">
        <v>42</v>
      </c>
      <c r="I1895">
        <v>44</v>
      </c>
      <c r="J1895">
        <v>641</v>
      </c>
      <c r="K1895" t="s">
        <v>56</v>
      </c>
      <c r="L1895" t="s">
        <v>20</v>
      </c>
    </row>
    <row r="1896" spans="1:12" x14ac:dyDescent="0.25">
      <c r="A1896">
        <v>102049</v>
      </c>
      <c r="B1896" t="s">
        <v>409</v>
      </c>
      <c r="C1896" t="s">
        <v>187</v>
      </c>
      <c r="D1896" t="s">
        <v>442</v>
      </c>
      <c r="E1896" t="s">
        <v>2304</v>
      </c>
      <c r="F1896" t="s">
        <v>2593</v>
      </c>
      <c r="G1896" t="s">
        <v>31</v>
      </c>
      <c r="H1896" t="s">
        <v>2581</v>
      </c>
      <c r="I1896">
        <v>0</v>
      </c>
      <c r="J1896">
        <v>694</v>
      </c>
      <c r="K1896" t="s">
        <v>32</v>
      </c>
      <c r="L1896" t="s">
        <v>2588</v>
      </c>
    </row>
    <row r="1897" spans="1:12" x14ac:dyDescent="0.25">
      <c r="A1897">
        <v>101813</v>
      </c>
      <c r="B1897" t="s">
        <v>779</v>
      </c>
      <c r="C1897" t="s">
        <v>39</v>
      </c>
      <c r="D1897" t="s">
        <v>2305</v>
      </c>
      <c r="E1897" t="s">
        <v>3652</v>
      </c>
      <c r="F1897" t="s">
        <v>64</v>
      </c>
      <c r="G1897" t="s">
        <v>2614</v>
      </c>
      <c r="H1897" t="s">
        <v>2587</v>
      </c>
      <c r="I1897">
        <v>0</v>
      </c>
      <c r="J1897">
        <v>402</v>
      </c>
      <c r="K1897" t="s">
        <v>32</v>
      </c>
      <c r="L1897" t="s">
        <v>20</v>
      </c>
    </row>
    <row r="1898" spans="1:12" x14ac:dyDescent="0.25">
      <c r="A1898">
        <v>100459</v>
      </c>
      <c r="B1898" t="s">
        <v>213</v>
      </c>
      <c r="C1898" t="s">
        <v>58</v>
      </c>
      <c r="D1898" t="s">
        <v>2306</v>
      </c>
      <c r="E1898" t="s">
        <v>3653</v>
      </c>
      <c r="F1898" t="s">
        <v>2598</v>
      </c>
      <c r="G1898" t="s">
        <v>2596</v>
      </c>
      <c r="H1898" t="s">
        <v>2581</v>
      </c>
      <c r="I1898">
        <v>0</v>
      </c>
      <c r="J1898">
        <v>324</v>
      </c>
      <c r="K1898" t="s">
        <v>56</v>
      </c>
      <c r="L1898" t="s">
        <v>2588</v>
      </c>
    </row>
    <row r="1899" spans="1:12" x14ac:dyDescent="0.25">
      <c r="A1899">
        <v>101856</v>
      </c>
      <c r="B1899" t="s">
        <v>376</v>
      </c>
      <c r="C1899" t="s">
        <v>2686</v>
      </c>
      <c r="D1899" t="s">
        <v>2307</v>
      </c>
      <c r="E1899" t="s">
        <v>2308</v>
      </c>
      <c r="F1899" t="s">
        <v>2616</v>
      </c>
      <c r="G1899" t="s">
        <v>55</v>
      </c>
      <c r="H1899" t="s">
        <v>2597</v>
      </c>
      <c r="I1899">
        <v>5</v>
      </c>
      <c r="J1899">
        <v>340</v>
      </c>
      <c r="K1899" t="s">
        <v>45</v>
      </c>
      <c r="L1899" t="s">
        <v>20</v>
      </c>
    </row>
    <row r="1900" spans="1:12" x14ac:dyDescent="0.25">
      <c r="A1900">
        <v>102161</v>
      </c>
      <c r="B1900" t="s">
        <v>325</v>
      </c>
      <c r="C1900" t="s">
        <v>2634</v>
      </c>
      <c r="D1900" t="s">
        <v>391</v>
      </c>
      <c r="E1900" t="s">
        <v>2309</v>
      </c>
      <c r="F1900" t="s">
        <v>30</v>
      </c>
      <c r="G1900" t="s">
        <v>2609</v>
      </c>
      <c r="H1900" t="s">
        <v>2585</v>
      </c>
      <c r="I1900">
        <v>26</v>
      </c>
      <c r="J1900">
        <v>570</v>
      </c>
      <c r="K1900" t="s">
        <v>45</v>
      </c>
      <c r="L1900" t="s">
        <v>2582</v>
      </c>
    </row>
    <row r="1901" spans="1:12" x14ac:dyDescent="0.25">
      <c r="A1901">
        <v>101444</v>
      </c>
      <c r="B1901" t="s">
        <v>213</v>
      </c>
      <c r="C1901" t="s">
        <v>58</v>
      </c>
      <c r="D1901" t="s">
        <v>2310</v>
      </c>
      <c r="E1901" t="s">
        <v>3654</v>
      </c>
      <c r="F1901" t="s">
        <v>41</v>
      </c>
      <c r="G1901" t="s">
        <v>2607</v>
      </c>
      <c r="H1901" t="s">
        <v>2587</v>
      </c>
      <c r="I1901">
        <v>0</v>
      </c>
      <c r="J1901">
        <v>324</v>
      </c>
      <c r="K1901" t="s">
        <v>19</v>
      </c>
      <c r="L1901" t="s">
        <v>20</v>
      </c>
    </row>
    <row r="1902" spans="1:12" x14ac:dyDescent="0.25">
      <c r="A1902">
        <v>100930</v>
      </c>
      <c r="B1902" t="s">
        <v>303</v>
      </c>
      <c r="C1902" t="s">
        <v>187</v>
      </c>
      <c r="D1902" t="s">
        <v>2311</v>
      </c>
      <c r="E1902" t="s">
        <v>3655</v>
      </c>
      <c r="F1902" t="s">
        <v>50</v>
      </c>
      <c r="G1902" t="s">
        <v>2599</v>
      </c>
      <c r="H1902" t="s">
        <v>2623</v>
      </c>
      <c r="I1902">
        <v>141</v>
      </c>
      <c r="J1902">
        <v>800</v>
      </c>
      <c r="K1902" t="s">
        <v>45</v>
      </c>
      <c r="L1902" t="s">
        <v>26</v>
      </c>
    </row>
    <row r="1903" spans="1:12" x14ac:dyDescent="0.25">
      <c r="A1903">
        <v>100748</v>
      </c>
      <c r="B1903" t="s">
        <v>560</v>
      </c>
      <c r="D1903" t="s">
        <v>1167</v>
      </c>
      <c r="E1903" t="s">
        <v>2312</v>
      </c>
      <c r="F1903" t="s">
        <v>2604</v>
      </c>
      <c r="G1903" t="s">
        <v>2580</v>
      </c>
      <c r="H1903" t="s">
        <v>2644</v>
      </c>
      <c r="I1903">
        <v>0</v>
      </c>
      <c r="J1903">
        <v>890</v>
      </c>
      <c r="K1903" t="s">
        <v>19</v>
      </c>
      <c r="L1903" t="s">
        <v>2588</v>
      </c>
    </row>
    <row r="1904" spans="1:12" x14ac:dyDescent="0.25">
      <c r="A1904">
        <v>101245</v>
      </c>
      <c r="B1904" t="s">
        <v>307</v>
      </c>
      <c r="C1904" t="s">
        <v>58</v>
      </c>
      <c r="D1904" t="s">
        <v>1016</v>
      </c>
      <c r="E1904" t="s">
        <v>1437</v>
      </c>
      <c r="F1904" t="s">
        <v>2604</v>
      </c>
      <c r="G1904" t="s">
        <v>31</v>
      </c>
      <c r="H1904" t="s">
        <v>2620</v>
      </c>
      <c r="I1904">
        <v>0</v>
      </c>
      <c r="J1904">
        <v>616</v>
      </c>
      <c r="K1904" t="s">
        <v>45</v>
      </c>
      <c r="L1904" t="s">
        <v>2582</v>
      </c>
    </row>
    <row r="1905" spans="1:12" x14ac:dyDescent="0.25">
      <c r="A1905">
        <v>100923</v>
      </c>
      <c r="B1905" t="s">
        <v>215</v>
      </c>
      <c r="C1905" t="s">
        <v>126</v>
      </c>
      <c r="D1905" t="s">
        <v>2313</v>
      </c>
      <c r="E1905" t="s">
        <v>2314</v>
      </c>
      <c r="F1905" t="s">
        <v>2613</v>
      </c>
      <c r="G1905" t="s">
        <v>2635</v>
      </c>
      <c r="H1905" t="s">
        <v>2587</v>
      </c>
      <c r="I1905">
        <v>0</v>
      </c>
      <c r="J1905">
        <v>395</v>
      </c>
      <c r="K1905" t="s">
        <v>32</v>
      </c>
      <c r="L1905" t="s">
        <v>26</v>
      </c>
    </row>
    <row r="1906" spans="1:12" x14ac:dyDescent="0.25">
      <c r="A1906">
        <v>100509</v>
      </c>
      <c r="B1906" t="s">
        <v>87</v>
      </c>
      <c r="C1906" t="s">
        <v>47</v>
      </c>
      <c r="D1906" t="s">
        <v>2315</v>
      </c>
      <c r="E1906" t="s">
        <v>3656</v>
      </c>
      <c r="F1906" t="s">
        <v>2604</v>
      </c>
      <c r="G1906" t="s">
        <v>2607</v>
      </c>
      <c r="H1906" t="s">
        <v>2594</v>
      </c>
      <c r="I1906">
        <v>111</v>
      </c>
      <c r="J1906">
        <v>892</v>
      </c>
      <c r="K1906" t="s">
        <v>19</v>
      </c>
      <c r="L1906" t="s">
        <v>26</v>
      </c>
    </row>
    <row r="1907" spans="1:12" x14ac:dyDescent="0.25">
      <c r="A1907">
        <v>100711</v>
      </c>
      <c r="B1907" t="s">
        <v>786</v>
      </c>
      <c r="C1907" t="s">
        <v>95</v>
      </c>
      <c r="D1907" t="s">
        <v>2316</v>
      </c>
      <c r="E1907" t="s">
        <v>2317</v>
      </c>
      <c r="F1907" t="s">
        <v>50</v>
      </c>
      <c r="G1907" t="s">
        <v>2658</v>
      </c>
      <c r="H1907" t="s">
        <v>2620</v>
      </c>
      <c r="I1907">
        <v>0</v>
      </c>
      <c r="J1907">
        <v>835</v>
      </c>
      <c r="K1907" t="s">
        <v>37</v>
      </c>
      <c r="L1907" t="s">
        <v>2588</v>
      </c>
    </row>
    <row r="1908" spans="1:12" x14ac:dyDescent="0.25">
      <c r="A1908">
        <v>102111</v>
      </c>
      <c r="B1908" t="s">
        <v>222</v>
      </c>
      <c r="C1908" t="s">
        <v>100</v>
      </c>
      <c r="D1908" t="s">
        <v>2318</v>
      </c>
      <c r="E1908" t="s">
        <v>2319</v>
      </c>
      <c r="F1908" t="s">
        <v>2629</v>
      </c>
      <c r="G1908" t="s">
        <v>55</v>
      </c>
      <c r="H1908" t="s">
        <v>25</v>
      </c>
      <c r="I1908">
        <v>10</v>
      </c>
      <c r="J1908">
        <v>585</v>
      </c>
      <c r="K1908" t="s">
        <v>45</v>
      </c>
      <c r="L1908" t="s">
        <v>26</v>
      </c>
    </row>
    <row r="1909" spans="1:12" x14ac:dyDescent="0.25">
      <c r="A1909">
        <v>100608</v>
      </c>
      <c r="B1909" t="s">
        <v>631</v>
      </c>
      <c r="C1909" t="s">
        <v>13</v>
      </c>
      <c r="D1909" t="s">
        <v>2320</v>
      </c>
      <c r="E1909" t="s">
        <v>3657</v>
      </c>
      <c r="F1909" t="s">
        <v>41</v>
      </c>
      <c r="G1909" t="s">
        <v>2607</v>
      </c>
      <c r="H1909" t="s">
        <v>2581</v>
      </c>
      <c r="I1909">
        <v>0</v>
      </c>
      <c r="J1909">
        <v>544</v>
      </c>
      <c r="K1909" t="s">
        <v>56</v>
      </c>
      <c r="L1909" t="s">
        <v>2582</v>
      </c>
    </row>
    <row r="1910" spans="1:12" x14ac:dyDescent="0.25">
      <c r="A1910">
        <v>100388</v>
      </c>
      <c r="B1910" t="s">
        <v>1357</v>
      </c>
      <c r="C1910" t="s">
        <v>100</v>
      </c>
      <c r="D1910" t="s">
        <v>2321</v>
      </c>
      <c r="E1910" t="s">
        <v>2322</v>
      </c>
      <c r="F1910" t="s">
        <v>50</v>
      </c>
      <c r="G1910" t="s">
        <v>2607</v>
      </c>
      <c r="H1910" t="s">
        <v>2581</v>
      </c>
      <c r="I1910">
        <v>0</v>
      </c>
      <c r="J1910">
        <v>522</v>
      </c>
      <c r="K1910" t="s">
        <v>37</v>
      </c>
      <c r="L1910" t="s">
        <v>20</v>
      </c>
    </row>
    <row r="1911" spans="1:12" x14ac:dyDescent="0.25">
      <c r="A1911">
        <v>101118</v>
      </c>
      <c r="B1911" t="s">
        <v>866</v>
      </c>
      <c r="C1911" t="s">
        <v>2655</v>
      </c>
      <c r="D1911" t="s">
        <v>2003</v>
      </c>
      <c r="E1911" t="s">
        <v>3658</v>
      </c>
      <c r="F1911" t="s">
        <v>41</v>
      </c>
      <c r="G1911" t="s">
        <v>31</v>
      </c>
      <c r="H1911" t="s">
        <v>2585</v>
      </c>
      <c r="I1911">
        <v>15</v>
      </c>
      <c r="J1911">
        <v>458</v>
      </c>
      <c r="K1911" t="s">
        <v>56</v>
      </c>
      <c r="L1911" t="s">
        <v>20</v>
      </c>
    </row>
    <row r="1912" spans="1:12" x14ac:dyDescent="0.25">
      <c r="A1912">
        <v>100868</v>
      </c>
      <c r="B1912" t="s">
        <v>443</v>
      </c>
      <c r="C1912" t="s">
        <v>72</v>
      </c>
      <c r="D1912" t="s">
        <v>1234</v>
      </c>
      <c r="E1912" t="s">
        <v>2323</v>
      </c>
      <c r="F1912" t="s">
        <v>2593</v>
      </c>
      <c r="G1912" t="s">
        <v>2635</v>
      </c>
      <c r="H1912" t="s">
        <v>2618</v>
      </c>
      <c r="I1912">
        <v>0</v>
      </c>
      <c r="J1912">
        <v>309</v>
      </c>
      <c r="K1912" t="s">
        <v>45</v>
      </c>
      <c r="L1912" t="s">
        <v>20</v>
      </c>
    </row>
    <row r="1913" spans="1:12" x14ac:dyDescent="0.25">
      <c r="A1913">
        <v>100752</v>
      </c>
      <c r="B1913" t="s">
        <v>118</v>
      </c>
      <c r="D1913" t="s">
        <v>413</v>
      </c>
      <c r="E1913" t="s">
        <v>2324</v>
      </c>
      <c r="F1913" t="s">
        <v>2598</v>
      </c>
      <c r="G1913" t="s">
        <v>2614</v>
      </c>
      <c r="H1913" t="s">
        <v>2623</v>
      </c>
      <c r="I1913">
        <v>179</v>
      </c>
      <c r="J1913">
        <v>463</v>
      </c>
      <c r="K1913" t="s">
        <v>19</v>
      </c>
      <c r="L1913" t="s">
        <v>20</v>
      </c>
    </row>
    <row r="1914" spans="1:12" x14ac:dyDescent="0.25">
      <c r="A1914">
        <v>100912</v>
      </c>
      <c r="B1914" t="s">
        <v>2124</v>
      </c>
      <c r="C1914" t="s">
        <v>134</v>
      </c>
      <c r="D1914" t="s">
        <v>571</v>
      </c>
      <c r="E1914" t="s">
        <v>3659</v>
      </c>
      <c r="F1914" t="s">
        <v>2654</v>
      </c>
      <c r="G1914" t="s">
        <v>81</v>
      </c>
      <c r="H1914" t="s">
        <v>83</v>
      </c>
      <c r="I1914">
        <v>0</v>
      </c>
      <c r="J1914">
        <v>340</v>
      </c>
      <c r="K1914" t="s">
        <v>56</v>
      </c>
      <c r="L1914" t="s">
        <v>20</v>
      </c>
    </row>
    <row r="1916" spans="1:12" x14ac:dyDescent="0.25">
      <c r="A1916">
        <v>101676</v>
      </c>
      <c r="B1916" t="s">
        <v>222</v>
      </c>
      <c r="C1916" t="s">
        <v>100</v>
      </c>
      <c r="D1916" t="s">
        <v>1848</v>
      </c>
      <c r="E1916" t="s">
        <v>3660</v>
      </c>
      <c r="F1916" t="s">
        <v>2608</v>
      </c>
      <c r="G1916" t="s">
        <v>2652</v>
      </c>
      <c r="H1916" t="s">
        <v>2585</v>
      </c>
      <c r="I1916">
        <v>27</v>
      </c>
      <c r="J1916">
        <v>585</v>
      </c>
      <c r="K1916" t="s">
        <v>19</v>
      </c>
      <c r="L1916" t="s">
        <v>20</v>
      </c>
    </row>
    <row r="1917" spans="1:12" x14ac:dyDescent="0.25">
      <c r="A1917">
        <v>100149</v>
      </c>
      <c r="B1917" t="s">
        <v>738</v>
      </c>
      <c r="C1917" t="s">
        <v>2703</v>
      </c>
      <c r="D1917" t="s">
        <v>1977</v>
      </c>
      <c r="E1917" t="s">
        <v>2325</v>
      </c>
      <c r="F1917" t="s">
        <v>41</v>
      </c>
      <c r="G1917" t="s">
        <v>31</v>
      </c>
      <c r="H1917" t="s">
        <v>2585</v>
      </c>
      <c r="I1917">
        <v>2</v>
      </c>
      <c r="J1917">
        <v>585</v>
      </c>
      <c r="K1917" t="s">
        <v>19</v>
      </c>
      <c r="L1917" t="s">
        <v>26</v>
      </c>
    </row>
    <row r="1918" spans="1:12" x14ac:dyDescent="0.25">
      <c r="A1918">
        <v>100754</v>
      </c>
      <c r="B1918" t="s">
        <v>1177</v>
      </c>
      <c r="C1918" t="s">
        <v>62</v>
      </c>
      <c r="D1918" t="s">
        <v>1318</v>
      </c>
      <c r="E1918" t="s">
        <v>3661</v>
      </c>
      <c r="F1918" t="s">
        <v>2590</v>
      </c>
      <c r="G1918" t="s">
        <v>2591</v>
      </c>
      <c r="H1918" t="s">
        <v>18</v>
      </c>
      <c r="I1918">
        <v>0</v>
      </c>
      <c r="J1918">
        <v>482</v>
      </c>
      <c r="K1918" t="s">
        <v>32</v>
      </c>
      <c r="L1918" t="s">
        <v>2588</v>
      </c>
    </row>
    <row r="1919" spans="1:12" x14ac:dyDescent="0.25">
      <c r="A1919">
        <v>101507</v>
      </c>
      <c r="B1919" t="s">
        <v>186</v>
      </c>
      <c r="C1919" t="s">
        <v>187</v>
      </c>
      <c r="D1919" t="s">
        <v>2326</v>
      </c>
      <c r="E1919" t="s">
        <v>3662</v>
      </c>
      <c r="F1919" t="s">
        <v>2648</v>
      </c>
      <c r="G1919" t="s">
        <v>2602</v>
      </c>
      <c r="H1919" t="s">
        <v>2587</v>
      </c>
      <c r="I1919">
        <v>0</v>
      </c>
      <c r="J1919">
        <v>709</v>
      </c>
      <c r="K1919" t="s">
        <v>45</v>
      </c>
      <c r="L1919" t="s">
        <v>2588</v>
      </c>
    </row>
    <row r="1920" spans="1:12" x14ac:dyDescent="0.25">
      <c r="A1920">
        <v>100403</v>
      </c>
      <c r="B1920" t="s">
        <v>292</v>
      </c>
      <c r="C1920" t="s">
        <v>149</v>
      </c>
      <c r="D1920" t="s">
        <v>380</v>
      </c>
      <c r="E1920" t="s">
        <v>2327</v>
      </c>
      <c r="F1920" t="s">
        <v>2640</v>
      </c>
      <c r="G1920" t="s">
        <v>31</v>
      </c>
      <c r="H1920" t="s">
        <v>2587</v>
      </c>
      <c r="J1920">
        <v>466</v>
      </c>
      <c r="K1920" t="s">
        <v>32</v>
      </c>
      <c r="L1920" t="s">
        <v>2582</v>
      </c>
    </row>
    <row r="1921" spans="1:12" x14ac:dyDescent="0.25">
      <c r="A1921">
        <v>101274</v>
      </c>
      <c r="B1921" t="s">
        <v>563</v>
      </c>
      <c r="C1921" t="s">
        <v>58</v>
      </c>
      <c r="D1921" t="s">
        <v>1459</v>
      </c>
      <c r="E1921" t="s">
        <v>3516</v>
      </c>
      <c r="F1921" t="s">
        <v>2608</v>
      </c>
      <c r="H1921" t="s">
        <v>2620</v>
      </c>
      <c r="I1921">
        <v>0</v>
      </c>
      <c r="J1921">
        <v>893</v>
      </c>
      <c r="K1921" t="s">
        <v>56</v>
      </c>
      <c r="L1921" t="s">
        <v>2582</v>
      </c>
    </row>
    <row r="1922" spans="1:12" x14ac:dyDescent="0.25">
      <c r="A1922">
        <v>100341</v>
      </c>
      <c r="B1922" t="s">
        <v>805</v>
      </c>
      <c r="C1922" t="s">
        <v>62</v>
      </c>
      <c r="D1922" t="s">
        <v>2328</v>
      </c>
      <c r="E1922" t="s">
        <v>3663</v>
      </c>
      <c r="F1922" t="s">
        <v>2616</v>
      </c>
      <c r="H1922" t="s">
        <v>2644</v>
      </c>
      <c r="I1922">
        <v>0</v>
      </c>
      <c r="J1922">
        <v>352</v>
      </c>
      <c r="K1922" t="s">
        <v>56</v>
      </c>
      <c r="L1922" t="s">
        <v>2582</v>
      </c>
    </row>
    <row r="1923" spans="1:12" x14ac:dyDescent="0.25">
      <c r="A1923">
        <v>100160</v>
      </c>
      <c r="B1923" t="s">
        <v>131</v>
      </c>
      <c r="C1923" t="s">
        <v>2792</v>
      </c>
      <c r="D1923" t="s">
        <v>1230</v>
      </c>
      <c r="E1923" t="s">
        <v>3664</v>
      </c>
      <c r="F1923" t="s">
        <v>2646</v>
      </c>
      <c r="G1923" t="s">
        <v>31</v>
      </c>
      <c r="H1923" t="s">
        <v>2587</v>
      </c>
      <c r="I1923">
        <v>0</v>
      </c>
      <c r="J1923">
        <v>867</v>
      </c>
      <c r="K1923" t="s">
        <v>37</v>
      </c>
      <c r="L1923" t="s">
        <v>2588</v>
      </c>
    </row>
    <row r="1924" spans="1:12" x14ac:dyDescent="0.25">
      <c r="A1924">
        <v>100988</v>
      </c>
      <c r="B1924" t="s">
        <v>628</v>
      </c>
      <c r="C1924" t="s">
        <v>47</v>
      </c>
      <c r="D1924" t="s">
        <v>1449</v>
      </c>
      <c r="E1924" t="s">
        <v>3665</v>
      </c>
      <c r="F1924" t="s">
        <v>2640</v>
      </c>
      <c r="G1924" t="s">
        <v>81</v>
      </c>
      <c r="H1924" t="s">
        <v>2620</v>
      </c>
      <c r="I1924">
        <v>0</v>
      </c>
      <c r="J1924">
        <v>852</v>
      </c>
      <c r="K1924" t="s">
        <v>45</v>
      </c>
      <c r="L1924" t="s">
        <v>2582</v>
      </c>
    </row>
    <row r="1925" spans="1:12" x14ac:dyDescent="0.25">
      <c r="A1925">
        <v>100201</v>
      </c>
      <c r="B1925" t="s">
        <v>601</v>
      </c>
      <c r="C1925" t="s">
        <v>100</v>
      </c>
      <c r="D1925" t="s">
        <v>1840</v>
      </c>
      <c r="E1925" t="s">
        <v>2329</v>
      </c>
      <c r="F1925" t="s">
        <v>2629</v>
      </c>
      <c r="G1925" t="s">
        <v>2652</v>
      </c>
      <c r="H1925" t="s">
        <v>2630</v>
      </c>
      <c r="I1925">
        <v>7</v>
      </c>
      <c r="J1925">
        <v>849</v>
      </c>
      <c r="K1925" t="s">
        <v>32</v>
      </c>
      <c r="L1925" t="s">
        <v>26</v>
      </c>
    </row>
    <row r="1926" spans="1:12" x14ac:dyDescent="0.25">
      <c r="A1926">
        <v>100862</v>
      </c>
      <c r="B1926" t="s">
        <v>297</v>
      </c>
      <c r="C1926" t="s">
        <v>72</v>
      </c>
      <c r="D1926" t="s">
        <v>1918</v>
      </c>
      <c r="E1926" t="s">
        <v>1919</v>
      </c>
      <c r="F1926" t="s">
        <v>2613</v>
      </c>
      <c r="H1926" t="s">
        <v>2587</v>
      </c>
      <c r="I1926">
        <v>0</v>
      </c>
      <c r="J1926">
        <v>878</v>
      </c>
      <c r="K1926" t="s">
        <v>56</v>
      </c>
      <c r="L1926" t="s">
        <v>26</v>
      </c>
    </row>
    <row r="1927" spans="1:12" x14ac:dyDescent="0.25">
      <c r="A1927">
        <v>101116</v>
      </c>
      <c r="B1927" t="s">
        <v>905</v>
      </c>
      <c r="C1927" t="s">
        <v>100</v>
      </c>
      <c r="D1927" t="s">
        <v>2159</v>
      </c>
      <c r="E1927" t="s">
        <v>2330</v>
      </c>
      <c r="F1927" t="s">
        <v>30</v>
      </c>
      <c r="G1927" t="s">
        <v>2611</v>
      </c>
      <c r="H1927" t="s">
        <v>2587</v>
      </c>
      <c r="I1927">
        <v>0</v>
      </c>
      <c r="J1927">
        <v>325</v>
      </c>
      <c r="K1927" t="s">
        <v>19</v>
      </c>
      <c r="L1927" t="s">
        <v>2582</v>
      </c>
    </row>
    <row r="1928" spans="1:12" x14ac:dyDescent="0.25">
      <c r="A1928">
        <v>100733</v>
      </c>
      <c r="B1928" t="s">
        <v>136</v>
      </c>
      <c r="C1928" t="s">
        <v>58</v>
      </c>
      <c r="D1928" t="s">
        <v>2169</v>
      </c>
      <c r="E1928" t="s">
        <v>3666</v>
      </c>
      <c r="F1928" t="s">
        <v>2629</v>
      </c>
      <c r="G1928" t="s">
        <v>31</v>
      </c>
      <c r="H1928" t="s">
        <v>2581</v>
      </c>
      <c r="I1928">
        <v>0</v>
      </c>
      <c r="J1928">
        <v>540</v>
      </c>
      <c r="K1928" t="s">
        <v>37</v>
      </c>
      <c r="L1928" t="s">
        <v>2582</v>
      </c>
    </row>
    <row r="1929" spans="1:12" x14ac:dyDescent="0.25">
      <c r="A1929">
        <v>100541</v>
      </c>
      <c r="B1929" t="s">
        <v>607</v>
      </c>
      <c r="C1929" t="s">
        <v>134</v>
      </c>
      <c r="D1929" t="s">
        <v>2258</v>
      </c>
      <c r="E1929" t="s">
        <v>2331</v>
      </c>
      <c r="F1929" t="s">
        <v>2640</v>
      </c>
      <c r="G1929" t="s">
        <v>2617</v>
      </c>
      <c r="H1929" t="s">
        <v>2581</v>
      </c>
      <c r="I1929">
        <v>0</v>
      </c>
      <c r="J1929">
        <v>458</v>
      </c>
      <c r="K1929" t="s">
        <v>19</v>
      </c>
      <c r="L1929" t="s">
        <v>26</v>
      </c>
    </row>
    <row r="1930" spans="1:12" x14ac:dyDescent="0.25">
      <c r="A1930">
        <v>100692</v>
      </c>
      <c r="B1930" t="s">
        <v>313</v>
      </c>
      <c r="C1930" t="s">
        <v>58</v>
      </c>
      <c r="D1930" t="s">
        <v>690</v>
      </c>
      <c r="E1930" t="s">
        <v>2332</v>
      </c>
      <c r="F1930" t="s">
        <v>50</v>
      </c>
      <c r="G1930" t="s">
        <v>2599</v>
      </c>
      <c r="H1930" t="s">
        <v>25</v>
      </c>
      <c r="I1930">
        <v>10</v>
      </c>
      <c r="J1930">
        <v>716</v>
      </c>
      <c r="K1930" t="s">
        <v>45</v>
      </c>
      <c r="L1930" t="s">
        <v>20</v>
      </c>
    </row>
    <row r="1931" spans="1:12" x14ac:dyDescent="0.25">
      <c r="A1931">
        <v>101609</v>
      </c>
      <c r="B1931" t="s">
        <v>174</v>
      </c>
      <c r="C1931" t="s">
        <v>134</v>
      </c>
      <c r="D1931" t="s">
        <v>2333</v>
      </c>
      <c r="E1931" t="s">
        <v>3667</v>
      </c>
      <c r="F1931" t="s">
        <v>2613</v>
      </c>
      <c r="G1931" t="s">
        <v>2600</v>
      </c>
      <c r="H1931" t="s">
        <v>2587</v>
      </c>
      <c r="I1931">
        <v>0</v>
      </c>
      <c r="J1931">
        <v>554</v>
      </c>
      <c r="K1931" t="s">
        <v>32</v>
      </c>
      <c r="L1931" t="s">
        <v>2588</v>
      </c>
    </row>
    <row r="1932" spans="1:12" x14ac:dyDescent="0.25">
      <c r="A1932">
        <v>101467</v>
      </c>
      <c r="B1932" t="s">
        <v>329</v>
      </c>
      <c r="C1932" t="s">
        <v>270</v>
      </c>
      <c r="D1932" t="s">
        <v>2334</v>
      </c>
      <c r="E1932" t="s">
        <v>2335</v>
      </c>
      <c r="F1932" t="s">
        <v>2593</v>
      </c>
      <c r="H1932" t="s">
        <v>2587</v>
      </c>
      <c r="I1932">
        <v>0</v>
      </c>
      <c r="J1932">
        <v>328</v>
      </c>
      <c r="K1932" t="s">
        <v>19</v>
      </c>
      <c r="L1932" t="s">
        <v>2582</v>
      </c>
    </row>
    <row r="1933" spans="1:12" x14ac:dyDescent="0.25">
      <c r="A1933">
        <v>100610</v>
      </c>
      <c r="B1933" t="s">
        <v>392</v>
      </c>
      <c r="C1933" t="s">
        <v>72</v>
      </c>
      <c r="D1933" t="s">
        <v>158</v>
      </c>
      <c r="E1933" t="s">
        <v>3639</v>
      </c>
      <c r="F1933" t="s">
        <v>2641</v>
      </c>
      <c r="G1933" t="s">
        <v>2607</v>
      </c>
      <c r="H1933" t="s">
        <v>2581</v>
      </c>
      <c r="I1933">
        <v>0</v>
      </c>
      <c r="J1933">
        <v>433</v>
      </c>
      <c r="K1933" t="s">
        <v>56</v>
      </c>
      <c r="L1933" t="s">
        <v>20</v>
      </c>
    </row>
    <row r="1934" spans="1:12" x14ac:dyDescent="0.25">
      <c r="A1934">
        <v>100048</v>
      </c>
      <c r="B1934" t="s">
        <v>396</v>
      </c>
      <c r="C1934" t="s">
        <v>103</v>
      </c>
      <c r="D1934" t="s">
        <v>2041</v>
      </c>
      <c r="E1934" t="s">
        <v>2336</v>
      </c>
      <c r="F1934" t="s">
        <v>2616</v>
      </c>
      <c r="H1934" t="s">
        <v>2581</v>
      </c>
      <c r="I1934">
        <v>0</v>
      </c>
      <c r="J1934">
        <v>437</v>
      </c>
      <c r="K1934" t="s">
        <v>56</v>
      </c>
      <c r="L1934" t="s">
        <v>26</v>
      </c>
    </row>
    <row r="1935" spans="1:12" x14ac:dyDescent="0.25">
      <c r="A1935">
        <v>100956</v>
      </c>
      <c r="B1935" t="s">
        <v>462</v>
      </c>
      <c r="C1935" t="s">
        <v>168</v>
      </c>
      <c r="D1935" t="s">
        <v>1763</v>
      </c>
      <c r="E1935" t="s">
        <v>3668</v>
      </c>
      <c r="F1935" t="s">
        <v>2641</v>
      </c>
      <c r="G1935" t="s">
        <v>2631</v>
      </c>
      <c r="H1935" t="s">
        <v>25</v>
      </c>
      <c r="I1935">
        <v>16</v>
      </c>
      <c r="J1935">
        <v>716</v>
      </c>
      <c r="K1935" t="s">
        <v>45</v>
      </c>
      <c r="L1935" t="s">
        <v>20</v>
      </c>
    </row>
    <row r="1936" spans="1:12" x14ac:dyDescent="0.25">
      <c r="A1936">
        <v>100281</v>
      </c>
      <c r="B1936" t="s">
        <v>184</v>
      </c>
      <c r="C1936" t="s">
        <v>62</v>
      </c>
      <c r="D1936" t="s">
        <v>1260</v>
      </c>
      <c r="E1936" t="s">
        <v>3669</v>
      </c>
      <c r="F1936" t="s">
        <v>2629</v>
      </c>
      <c r="G1936" t="s">
        <v>2591</v>
      </c>
      <c r="H1936" t="s">
        <v>2585</v>
      </c>
      <c r="I1936">
        <v>24</v>
      </c>
      <c r="J1936">
        <v>571</v>
      </c>
      <c r="K1936" t="s">
        <v>45</v>
      </c>
      <c r="L1936" t="s">
        <v>2588</v>
      </c>
    </row>
    <row r="1937" spans="1:12" x14ac:dyDescent="0.25">
      <c r="A1937">
        <v>100411</v>
      </c>
      <c r="B1937" t="s">
        <v>390</v>
      </c>
      <c r="C1937" t="s">
        <v>110</v>
      </c>
      <c r="D1937" t="s">
        <v>1169</v>
      </c>
      <c r="E1937" t="s">
        <v>3670</v>
      </c>
      <c r="F1937" t="s">
        <v>2590</v>
      </c>
      <c r="G1937" t="s">
        <v>2596</v>
      </c>
      <c r="H1937" t="s">
        <v>42</v>
      </c>
      <c r="I1937">
        <v>91</v>
      </c>
      <c r="J1937">
        <v>773</v>
      </c>
      <c r="K1937" t="s">
        <v>19</v>
      </c>
      <c r="L1937" t="s">
        <v>2582</v>
      </c>
    </row>
    <row r="1938" spans="1:12" x14ac:dyDescent="0.25">
      <c r="A1938">
        <v>102005</v>
      </c>
      <c r="B1938" t="s">
        <v>738</v>
      </c>
      <c r="C1938" t="s">
        <v>100</v>
      </c>
      <c r="D1938" t="s">
        <v>2337</v>
      </c>
      <c r="E1938" t="s">
        <v>1476</v>
      </c>
      <c r="F1938" t="s">
        <v>2616</v>
      </c>
      <c r="G1938" t="s">
        <v>2652</v>
      </c>
      <c r="H1938" t="s">
        <v>18</v>
      </c>
      <c r="I1938">
        <v>0</v>
      </c>
      <c r="J1938">
        <v>585</v>
      </c>
      <c r="K1938" t="s">
        <v>37</v>
      </c>
      <c r="L1938" t="s">
        <v>26</v>
      </c>
    </row>
    <row r="1939" spans="1:12" x14ac:dyDescent="0.25">
      <c r="A1939">
        <v>102104</v>
      </c>
      <c r="B1939" t="s">
        <v>510</v>
      </c>
      <c r="C1939" t="s">
        <v>244</v>
      </c>
      <c r="D1939" t="s">
        <v>906</v>
      </c>
      <c r="E1939" t="s">
        <v>3671</v>
      </c>
      <c r="F1939" t="s">
        <v>2643</v>
      </c>
      <c r="G1939" t="s">
        <v>2658</v>
      </c>
      <c r="H1939" t="s">
        <v>2581</v>
      </c>
      <c r="I1939">
        <v>0</v>
      </c>
      <c r="J1939">
        <v>411</v>
      </c>
      <c r="K1939" t="s">
        <v>32</v>
      </c>
      <c r="L1939" t="s">
        <v>2588</v>
      </c>
    </row>
    <row r="1940" spans="1:12" x14ac:dyDescent="0.25">
      <c r="A1940">
        <v>101593</v>
      </c>
      <c r="B1940" t="s">
        <v>338</v>
      </c>
      <c r="C1940" t="s">
        <v>22</v>
      </c>
      <c r="D1940" t="s">
        <v>2338</v>
      </c>
      <c r="E1940" t="s">
        <v>3672</v>
      </c>
      <c r="F1940" t="s">
        <v>2604</v>
      </c>
      <c r="G1940" t="s">
        <v>2658</v>
      </c>
      <c r="H1940" t="s">
        <v>2620</v>
      </c>
      <c r="I1940">
        <v>0</v>
      </c>
      <c r="J1940">
        <v>832</v>
      </c>
      <c r="K1940" t="s">
        <v>56</v>
      </c>
      <c r="L1940" t="s">
        <v>20</v>
      </c>
    </row>
    <row r="1941" spans="1:12" x14ac:dyDescent="0.25">
      <c r="A1941">
        <v>102012</v>
      </c>
      <c r="B1941" t="s">
        <v>728</v>
      </c>
      <c r="C1941" t="s">
        <v>2699</v>
      </c>
      <c r="D1941" t="s">
        <v>853</v>
      </c>
      <c r="E1941" t="s">
        <v>3673</v>
      </c>
      <c r="F1941" t="s">
        <v>2613</v>
      </c>
      <c r="G1941" t="s">
        <v>2600</v>
      </c>
      <c r="H1941" t="s">
        <v>18</v>
      </c>
      <c r="I1941">
        <v>0</v>
      </c>
      <c r="J1941">
        <v>653</v>
      </c>
      <c r="K1941" t="s">
        <v>56</v>
      </c>
      <c r="L1941" t="s">
        <v>26</v>
      </c>
    </row>
    <row r="1942" spans="1:12" x14ac:dyDescent="0.25">
      <c r="A1942">
        <v>102200</v>
      </c>
      <c r="B1942" t="s">
        <v>504</v>
      </c>
      <c r="C1942" t="s">
        <v>187</v>
      </c>
      <c r="D1942" t="s">
        <v>1998</v>
      </c>
      <c r="E1942" t="s">
        <v>3674</v>
      </c>
      <c r="F1942" t="s">
        <v>2598</v>
      </c>
      <c r="G1942" t="s">
        <v>2609</v>
      </c>
      <c r="H1942" t="s">
        <v>2587</v>
      </c>
      <c r="J1942">
        <v>494</v>
      </c>
      <c r="K1942" t="s">
        <v>32</v>
      </c>
      <c r="L1942" t="s">
        <v>26</v>
      </c>
    </row>
    <row r="1943" spans="1:12" x14ac:dyDescent="0.25">
      <c r="A1943">
        <v>101515</v>
      </c>
      <c r="B1943" t="s">
        <v>493</v>
      </c>
      <c r="C1943" t="s">
        <v>152</v>
      </c>
      <c r="D1943" t="s">
        <v>1718</v>
      </c>
      <c r="E1943" t="s">
        <v>2339</v>
      </c>
      <c r="F1943" t="s">
        <v>2593</v>
      </c>
      <c r="G1943" t="s">
        <v>2591</v>
      </c>
      <c r="H1943" t="s">
        <v>2620</v>
      </c>
      <c r="I1943">
        <v>0</v>
      </c>
      <c r="J1943">
        <v>737</v>
      </c>
      <c r="K1943" t="s">
        <v>32</v>
      </c>
      <c r="L1943" t="s">
        <v>2582</v>
      </c>
    </row>
    <row r="1944" spans="1:12" x14ac:dyDescent="0.25">
      <c r="A1944">
        <v>100688</v>
      </c>
      <c r="B1944" t="s">
        <v>396</v>
      </c>
      <c r="C1944" t="s">
        <v>103</v>
      </c>
      <c r="D1944" t="s">
        <v>1099</v>
      </c>
      <c r="E1944" t="s">
        <v>3675</v>
      </c>
      <c r="F1944" t="s">
        <v>30</v>
      </c>
      <c r="G1944" t="s">
        <v>2633</v>
      </c>
      <c r="H1944" t="s">
        <v>2620</v>
      </c>
      <c r="I1944">
        <v>0</v>
      </c>
      <c r="J1944">
        <v>437</v>
      </c>
      <c r="K1944" t="s">
        <v>19</v>
      </c>
      <c r="L1944" t="s">
        <v>20</v>
      </c>
    </row>
    <row r="1945" spans="1:12" x14ac:dyDescent="0.25">
      <c r="A1945">
        <v>100336</v>
      </c>
      <c r="B1945" t="s">
        <v>545</v>
      </c>
      <c r="C1945" t="s">
        <v>126</v>
      </c>
      <c r="E1945" t="s">
        <v>3676</v>
      </c>
      <c r="F1945" t="s">
        <v>2593</v>
      </c>
      <c r="G1945" t="s">
        <v>2607</v>
      </c>
      <c r="H1945" t="s">
        <v>2585</v>
      </c>
      <c r="I1945">
        <v>1</v>
      </c>
      <c r="J1945">
        <v>494</v>
      </c>
      <c r="K1945" t="s">
        <v>19</v>
      </c>
      <c r="L1945" t="s">
        <v>2582</v>
      </c>
    </row>
    <row r="1946" spans="1:12" x14ac:dyDescent="0.25">
      <c r="A1946">
        <v>100643</v>
      </c>
      <c r="B1946" t="s">
        <v>1206</v>
      </c>
      <c r="C1946" t="s">
        <v>22</v>
      </c>
      <c r="D1946" t="s">
        <v>2340</v>
      </c>
      <c r="E1946" t="s">
        <v>2341</v>
      </c>
      <c r="F1946" t="s">
        <v>2604</v>
      </c>
      <c r="G1946" t="s">
        <v>2609</v>
      </c>
      <c r="H1946" t="s">
        <v>18</v>
      </c>
      <c r="I1946">
        <v>0</v>
      </c>
      <c r="J1946">
        <v>607</v>
      </c>
      <c r="K1946" t="s">
        <v>32</v>
      </c>
      <c r="L1946" t="s">
        <v>20</v>
      </c>
    </row>
    <row r="1947" spans="1:12" x14ac:dyDescent="0.25">
      <c r="A1947">
        <v>100315</v>
      </c>
      <c r="B1947" t="s">
        <v>236</v>
      </c>
      <c r="C1947" t="s">
        <v>47</v>
      </c>
      <c r="D1947" t="s">
        <v>2342</v>
      </c>
      <c r="E1947" t="s">
        <v>2343</v>
      </c>
      <c r="F1947" t="s">
        <v>2629</v>
      </c>
      <c r="G1947" t="s">
        <v>2584</v>
      </c>
      <c r="H1947" t="s">
        <v>2644</v>
      </c>
      <c r="I1947">
        <v>0</v>
      </c>
      <c r="J1947">
        <v>797</v>
      </c>
      <c r="K1947" t="s">
        <v>19</v>
      </c>
      <c r="L1947" t="s">
        <v>2582</v>
      </c>
    </row>
    <row r="1948" spans="1:12" x14ac:dyDescent="0.25">
      <c r="A1948">
        <v>100783</v>
      </c>
      <c r="B1948" t="s">
        <v>560</v>
      </c>
      <c r="C1948" t="s">
        <v>39</v>
      </c>
      <c r="D1948" t="s">
        <v>1421</v>
      </c>
      <c r="E1948" t="s">
        <v>2344</v>
      </c>
      <c r="F1948" t="s">
        <v>2654</v>
      </c>
      <c r="G1948" t="s">
        <v>2600</v>
      </c>
      <c r="H1948" t="s">
        <v>2594</v>
      </c>
      <c r="I1948">
        <v>56</v>
      </c>
      <c r="J1948">
        <v>890</v>
      </c>
      <c r="K1948" t="s">
        <v>19</v>
      </c>
      <c r="L1948" t="s">
        <v>2588</v>
      </c>
    </row>
    <row r="1949" spans="1:12" x14ac:dyDescent="0.25">
      <c r="A1949">
        <v>101998</v>
      </c>
      <c r="B1949" t="s">
        <v>625</v>
      </c>
      <c r="C1949" t="s">
        <v>2949</v>
      </c>
      <c r="D1949" t="s">
        <v>1253</v>
      </c>
      <c r="E1949" t="s">
        <v>2345</v>
      </c>
      <c r="F1949" t="s">
        <v>2613</v>
      </c>
      <c r="G1949" t="s">
        <v>2584</v>
      </c>
      <c r="H1949" t="s">
        <v>2581</v>
      </c>
      <c r="I1949">
        <v>0</v>
      </c>
      <c r="J1949">
        <v>678</v>
      </c>
      <c r="K1949" t="s">
        <v>37</v>
      </c>
      <c r="L1949" t="s">
        <v>2582</v>
      </c>
    </row>
    <row r="1950" spans="1:12" x14ac:dyDescent="0.25">
      <c r="A1950">
        <v>100922</v>
      </c>
      <c r="B1950" t="s">
        <v>222</v>
      </c>
      <c r="C1950" t="s">
        <v>100</v>
      </c>
      <c r="D1950" t="s">
        <v>630</v>
      </c>
      <c r="E1950" t="s">
        <v>2822</v>
      </c>
      <c r="F1950" t="s">
        <v>2598</v>
      </c>
      <c r="G1950" t="s">
        <v>2591</v>
      </c>
      <c r="H1950" t="s">
        <v>2618</v>
      </c>
      <c r="I1950">
        <v>0</v>
      </c>
      <c r="J1950">
        <v>585</v>
      </c>
      <c r="K1950" t="s">
        <v>45</v>
      </c>
      <c r="L1950" t="s">
        <v>2588</v>
      </c>
    </row>
    <row r="1951" spans="1:12" x14ac:dyDescent="0.25">
      <c r="A1951">
        <v>100622</v>
      </c>
      <c r="B1951" t="s">
        <v>807</v>
      </c>
      <c r="C1951" t="s">
        <v>85</v>
      </c>
      <c r="D1951" t="s">
        <v>2346</v>
      </c>
      <c r="E1951" t="s">
        <v>3677</v>
      </c>
      <c r="F1951" t="s">
        <v>2608</v>
      </c>
      <c r="G1951" t="s">
        <v>55</v>
      </c>
      <c r="H1951" t="s">
        <v>2620</v>
      </c>
      <c r="I1951">
        <v>0</v>
      </c>
      <c r="J1951">
        <v>443</v>
      </c>
      <c r="K1951" t="s">
        <v>56</v>
      </c>
      <c r="L1951" t="s">
        <v>2582</v>
      </c>
    </row>
    <row r="1952" spans="1:12" x14ac:dyDescent="0.25">
      <c r="A1952">
        <v>101531</v>
      </c>
      <c r="B1952" t="s">
        <v>286</v>
      </c>
      <c r="C1952" t="s">
        <v>168</v>
      </c>
      <c r="D1952" t="s">
        <v>2347</v>
      </c>
      <c r="E1952" t="s">
        <v>3678</v>
      </c>
      <c r="F1952" t="s">
        <v>2641</v>
      </c>
      <c r="G1952" t="s">
        <v>2652</v>
      </c>
      <c r="H1952" t="s">
        <v>2581</v>
      </c>
      <c r="I1952">
        <v>0</v>
      </c>
      <c r="J1952">
        <v>434</v>
      </c>
      <c r="K1952" t="s">
        <v>56</v>
      </c>
      <c r="L1952" t="s">
        <v>20</v>
      </c>
    </row>
    <row r="1953" spans="1:12" x14ac:dyDescent="0.25">
      <c r="A1953">
        <v>101275</v>
      </c>
      <c r="B1953" t="s">
        <v>1022</v>
      </c>
      <c r="C1953" t="s">
        <v>270</v>
      </c>
      <c r="D1953" t="s">
        <v>1054</v>
      </c>
      <c r="E1953" t="s">
        <v>3679</v>
      </c>
      <c r="F1953" t="s">
        <v>2613</v>
      </c>
      <c r="G1953" t="s">
        <v>2611</v>
      </c>
      <c r="H1953" t="s">
        <v>2618</v>
      </c>
      <c r="I1953">
        <v>0</v>
      </c>
      <c r="J1953">
        <v>383</v>
      </c>
      <c r="K1953" t="s">
        <v>37</v>
      </c>
      <c r="L1953" t="s">
        <v>20</v>
      </c>
    </row>
    <row r="1954" spans="1:12" x14ac:dyDescent="0.25">
      <c r="A1954">
        <v>102138</v>
      </c>
      <c r="B1954" t="s">
        <v>272</v>
      </c>
      <c r="C1954" t="s">
        <v>2703</v>
      </c>
      <c r="E1954" t="s">
        <v>3342</v>
      </c>
      <c r="F1954" t="s">
        <v>64</v>
      </c>
      <c r="G1954" t="s">
        <v>60</v>
      </c>
      <c r="H1954" t="s">
        <v>2644</v>
      </c>
      <c r="I1954">
        <v>0</v>
      </c>
      <c r="J1954">
        <v>666</v>
      </c>
      <c r="L1954" t="s">
        <v>26</v>
      </c>
    </row>
    <row r="1955" spans="1:12" x14ac:dyDescent="0.25">
      <c r="A1955">
        <v>100093</v>
      </c>
      <c r="B1955" t="s">
        <v>43</v>
      </c>
      <c r="C1955" t="s">
        <v>22</v>
      </c>
      <c r="D1955" t="s">
        <v>2348</v>
      </c>
      <c r="E1955" t="s">
        <v>3680</v>
      </c>
      <c r="F1955" t="s">
        <v>2646</v>
      </c>
      <c r="G1955" t="s">
        <v>2584</v>
      </c>
      <c r="H1955" t="s">
        <v>2630</v>
      </c>
      <c r="I1955">
        <v>13</v>
      </c>
      <c r="J1955">
        <v>396</v>
      </c>
      <c r="K1955" t="s">
        <v>37</v>
      </c>
      <c r="L1955" t="s">
        <v>2588</v>
      </c>
    </row>
    <row r="1956" spans="1:12" x14ac:dyDescent="0.25">
      <c r="A1956">
        <v>100835</v>
      </c>
      <c r="B1956" t="s">
        <v>38</v>
      </c>
      <c r="C1956" t="s">
        <v>39</v>
      </c>
      <c r="D1956" t="s">
        <v>2126</v>
      </c>
      <c r="E1956" t="s">
        <v>3681</v>
      </c>
      <c r="F1956" t="s">
        <v>30</v>
      </c>
      <c r="G1956" t="s">
        <v>81</v>
      </c>
      <c r="H1956" t="s">
        <v>2620</v>
      </c>
      <c r="I1956">
        <v>0</v>
      </c>
      <c r="J1956">
        <v>533</v>
      </c>
      <c r="K1956" t="s">
        <v>45</v>
      </c>
      <c r="L1956" t="s">
        <v>20</v>
      </c>
    </row>
    <row r="1957" spans="1:12" x14ac:dyDescent="0.25">
      <c r="A1957">
        <v>100593</v>
      </c>
      <c r="B1957" t="s">
        <v>1009</v>
      </c>
      <c r="C1957" t="s">
        <v>58</v>
      </c>
      <c r="D1957" t="s">
        <v>310</v>
      </c>
      <c r="E1957" t="s">
        <v>3682</v>
      </c>
      <c r="F1957" t="s">
        <v>2593</v>
      </c>
      <c r="G1957" t="s">
        <v>2617</v>
      </c>
      <c r="H1957" t="s">
        <v>2644</v>
      </c>
      <c r="I1957">
        <v>0</v>
      </c>
      <c r="J1957">
        <v>400</v>
      </c>
      <c r="K1957" t="s">
        <v>56</v>
      </c>
      <c r="L1957" t="s">
        <v>20</v>
      </c>
    </row>
    <row r="1958" spans="1:12" x14ac:dyDescent="0.25">
      <c r="A1958">
        <v>100532</v>
      </c>
      <c r="B1958" t="s">
        <v>57</v>
      </c>
      <c r="C1958" t="s">
        <v>58</v>
      </c>
      <c r="D1958" t="s">
        <v>1209</v>
      </c>
      <c r="E1958" t="s">
        <v>2349</v>
      </c>
      <c r="F1958" t="s">
        <v>2608</v>
      </c>
      <c r="G1958" t="s">
        <v>2609</v>
      </c>
      <c r="H1958" t="s">
        <v>2597</v>
      </c>
      <c r="I1958">
        <v>26</v>
      </c>
      <c r="J1958">
        <v>798</v>
      </c>
      <c r="K1958" t="s">
        <v>45</v>
      </c>
      <c r="L1958" t="s">
        <v>20</v>
      </c>
    </row>
    <row r="1959" spans="1:12" x14ac:dyDescent="0.25">
      <c r="A1959">
        <v>101451</v>
      </c>
      <c r="B1959" t="s">
        <v>170</v>
      </c>
      <c r="C1959" t="s">
        <v>85</v>
      </c>
      <c r="D1959" t="s">
        <v>1826</v>
      </c>
      <c r="E1959" t="s">
        <v>2350</v>
      </c>
      <c r="F1959" t="s">
        <v>2641</v>
      </c>
      <c r="G1959" t="s">
        <v>2602</v>
      </c>
      <c r="H1959" t="s">
        <v>2630</v>
      </c>
      <c r="I1959">
        <v>15</v>
      </c>
      <c r="J1959">
        <v>869</v>
      </c>
      <c r="K1959" t="s">
        <v>56</v>
      </c>
      <c r="L1959" t="s">
        <v>20</v>
      </c>
    </row>
    <row r="1960" spans="1:12" x14ac:dyDescent="0.25">
      <c r="A1960">
        <v>100395</v>
      </c>
      <c r="B1960" t="s">
        <v>43</v>
      </c>
      <c r="C1960" t="s">
        <v>22</v>
      </c>
      <c r="D1960" t="s">
        <v>1072</v>
      </c>
      <c r="E1960" t="s">
        <v>2351</v>
      </c>
      <c r="F1960" t="s">
        <v>2598</v>
      </c>
      <c r="G1960" t="s">
        <v>2611</v>
      </c>
      <c r="H1960" t="s">
        <v>2581</v>
      </c>
      <c r="I1960">
        <v>0</v>
      </c>
      <c r="J1960">
        <v>396</v>
      </c>
      <c r="K1960" t="s">
        <v>37</v>
      </c>
      <c r="L1960" t="s">
        <v>26</v>
      </c>
    </row>
    <row r="1961" spans="1:12" x14ac:dyDescent="0.25">
      <c r="A1961">
        <v>100846</v>
      </c>
      <c r="B1961" t="s">
        <v>798</v>
      </c>
      <c r="C1961" t="s">
        <v>149</v>
      </c>
      <c r="D1961" t="s">
        <v>768</v>
      </c>
      <c r="E1961" t="s">
        <v>3683</v>
      </c>
      <c r="F1961" t="s">
        <v>2590</v>
      </c>
      <c r="G1961" t="s">
        <v>2682</v>
      </c>
      <c r="H1961" t="s">
        <v>2597</v>
      </c>
      <c r="I1961">
        <v>28</v>
      </c>
      <c r="J1961">
        <v>555</v>
      </c>
      <c r="K1961" t="s">
        <v>19</v>
      </c>
      <c r="L1961" t="s">
        <v>2582</v>
      </c>
    </row>
    <row r="1962" spans="1:12" x14ac:dyDescent="0.25">
      <c r="A1962">
        <v>101070</v>
      </c>
      <c r="B1962" t="s">
        <v>625</v>
      </c>
      <c r="C1962" t="s">
        <v>152</v>
      </c>
      <c r="D1962" t="s">
        <v>2352</v>
      </c>
      <c r="E1962" t="s">
        <v>2353</v>
      </c>
      <c r="F1962" t="s">
        <v>2640</v>
      </c>
      <c r="G1962" t="s">
        <v>2658</v>
      </c>
      <c r="H1962" t="s">
        <v>2581</v>
      </c>
      <c r="I1962">
        <v>0</v>
      </c>
      <c r="J1962">
        <v>678</v>
      </c>
      <c r="K1962" t="s">
        <v>19</v>
      </c>
      <c r="L1962" t="s">
        <v>2582</v>
      </c>
    </row>
    <row r="1963" spans="1:12" x14ac:dyDescent="0.25">
      <c r="A1963">
        <v>100576</v>
      </c>
      <c r="B1963" t="s">
        <v>155</v>
      </c>
      <c r="C1963" t="s">
        <v>142</v>
      </c>
      <c r="D1963" t="s">
        <v>2354</v>
      </c>
      <c r="E1963" t="s">
        <v>2355</v>
      </c>
      <c r="F1963" t="s">
        <v>50</v>
      </c>
      <c r="G1963" t="s">
        <v>2600</v>
      </c>
      <c r="H1963" t="s">
        <v>83</v>
      </c>
      <c r="I1963">
        <v>0</v>
      </c>
      <c r="J1963">
        <v>339</v>
      </c>
      <c r="K1963" t="s">
        <v>45</v>
      </c>
      <c r="L1963" t="s">
        <v>2582</v>
      </c>
    </row>
    <row r="1964" spans="1:12" x14ac:dyDescent="0.25">
      <c r="A1964">
        <v>100574</v>
      </c>
      <c r="B1964" t="s">
        <v>131</v>
      </c>
      <c r="C1964" t="s">
        <v>39</v>
      </c>
      <c r="D1964" t="s">
        <v>2338</v>
      </c>
      <c r="E1964" t="s">
        <v>2356</v>
      </c>
      <c r="F1964" t="s">
        <v>2613</v>
      </c>
      <c r="G1964" t="s">
        <v>55</v>
      </c>
      <c r="H1964" t="s">
        <v>18</v>
      </c>
      <c r="I1964">
        <v>0</v>
      </c>
      <c r="J1964">
        <v>867</v>
      </c>
      <c r="K1964" t="s">
        <v>56</v>
      </c>
      <c r="L1964" t="s">
        <v>20</v>
      </c>
    </row>
    <row r="1965" spans="1:12" x14ac:dyDescent="0.25">
      <c r="A1965">
        <v>102182</v>
      </c>
      <c r="B1965" t="s">
        <v>610</v>
      </c>
      <c r="C1965" t="s">
        <v>126</v>
      </c>
      <c r="D1965" t="s">
        <v>92</v>
      </c>
      <c r="E1965" t="s">
        <v>3684</v>
      </c>
      <c r="F1965" t="s">
        <v>2640</v>
      </c>
      <c r="G1965" t="s">
        <v>81</v>
      </c>
      <c r="H1965" t="s">
        <v>18</v>
      </c>
      <c r="I1965">
        <v>0</v>
      </c>
      <c r="J1965">
        <v>315</v>
      </c>
      <c r="K1965" t="s">
        <v>37</v>
      </c>
      <c r="L1965" t="s">
        <v>2582</v>
      </c>
    </row>
    <row r="1966" spans="1:12" x14ac:dyDescent="0.25">
      <c r="A1966">
        <v>101303</v>
      </c>
      <c r="B1966" t="s">
        <v>148</v>
      </c>
      <c r="C1966" t="s">
        <v>149</v>
      </c>
      <c r="D1966" t="s">
        <v>1246</v>
      </c>
      <c r="E1966" t="s">
        <v>3685</v>
      </c>
      <c r="F1966" t="s">
        <v>2627</v>
      </c>
      <c r="G1966" t="s">
        <v>2682</v>
      </c>
      <c r="H1966" t="s">
        <v>83</v>
      </c>
      <c r="I1966">
        <v>0</v>
      </c>
      <c r="J1966">
        <v>876</v>
      </c>
      <c r="K1966" t="s">
        <v>19</v>
      </c>
    </row>
    <row r="1967" spans="1:12" x14ac:dyDescent="0.25">
      <c r="A1967">
        <v>100736</v>
      </c>
      <c r="B1967" t="s">
        <v>1663</v>
      </c>
      <c r="D1967" t="s">
        <v>2357</v>
      </c>
      <c r="E1967" t="s">
        <v>3686</v>
      </c>
      <c r="F1967" t="s">
        <v>2616</v>
      </c>
      <c r="G1967" t="s">
        <v>2599</v>
      </c>
      <c r="H1967" t="s">
        <v>2581</v>
      </c>
      <c r="I1967">
        <v>0</v>
      </c>
      <c r="J1967">
        <v>452</v>
      </c>
      <c r="K1967" t="s">
        <v>37</v>
      </c>
      <c r="L1967" t="s">
        <v>2588</v>
      </c>
    </row>
    <row r="1968" spans="1:12" x14ac:dyDescent="0.25">
      <c r="A1968">
        <v>102144</v>
      </c>
      <c r="B1968" t="s">
        <v>534</v>
      </c>
      <c r="C1968" t="s">
        <v>39</v>
      </c>
      <c r="D1968" t="s">
        <v>2358</v>
      </c>
      <c r="E1968" t="s">
        <v>3687</v>
      </c>
      <c r="F1968" t="s">
        <v>2646</v>
      </c>
      <c r="G1968" t="s">
        <v>2607</v>
      </c>
      <c r="H1968" t="s">
        <v>2581</v>
      </c>
      <c r="I1968">
        <v>0</v>
      </c>
      <c r="J1968">
        <v>592</v>
      </c>
      <c r="K1968" t="s">
        <v>37</v>
      </c>
      <c r="L1968" t="s">
        <v>2588</v>
      </c>
    </row>
    <row r="1969" spans="1:12" x14ac:dyDescent="0.25">
      <c r="A1969">
        <v>101762</v>
      </c>
      <c r="B1969" t="s">
        <v>61</v>
      </c>
      <c r="C1969" t="s">
        <v>62</v>
      </c>
      <c r="D1969" t="s">
        <v>2359</v>
      </c>
      <c r="E1969" t="s">
        <v>2360</v>
      </c>
      <c r="F1969" t="s">
        <v>2613</v>
      </c>
      <c r="G1969" t="s">
        <v>2607</v>
      </c>
      <c r="H1969" t="s">
        <v>2581</v>
      </c>
      <c r="I1969">
        <v>0</v>
      </c>
      <c r="J1969">
        <v>542</v>
      </c>
      <c r="K1969" t="s">
        <v>19</v>
      </c>
      <c r="L1969" t="s">
        <v>26</v>
      </c>
    </row>
    <row r="1970" spans="1:12" x14ac:dyDescent="0.25">
      <c r="A1970">
        <v>100280</v>
      </c>
      <c r="B1970" t="s">
        <v>545</v>
      </c>
      <c r="C1970" t="s">
        <v>126</v>
      </c>
      <c r="D1970" t="s">
        <v>724</v>
      </c>
      <c r="E1970" t="s">
        <v>2938</v>
      </c>
      <c r="F1970" t="s">
        <v>2604</v>
      </c>
      <c r="G1970" t="s">
        <v>2596</v>
      </c>
      <c r="H1970" t="s">
        <v>2581</v>
      </c>
      <c r="I1970">
        <v>0</v>
      </c>
      <c r="J1970">
        <v>494</v>
      </c>
      <c r="K1970" t="s">
        <v>32</v>
      </c>
      <c r="L1970" t="s">
        <v>20</v>
      </c>
    </row>
    <row r="1971" spans="1:12" x14ac:dyDescent="0.25">
      <c r="A1971">
        <v>101664</v>
      </c>
      <c r="B1971" t="s">
        <v>1022</v>
      </c>
      <c r="C1971" t="s">
        <v>270</v>
      </c>
      <c r="D1971" t="s">
        <v>2361</v>
      </c>
      <c r="E1971" t="s">
        <v>3688</v>
      </c>
      <c r="F1971" t="s">
        <v>2654</v>
      </c>
      <c r="G1971" t="s">
        <v>2602</v>
      </c>
      <c r="H1971" t="s">
        <v>2620</v>
      </c>
      <c r="I1971">
        <v>0</v>
      </c>
      <c r="J1971">
        <v>383</v>
      </c>
      <c r="K1971" t="s">
        <v>45</v>
      </c>
      <c r="L1971" t="s">
        <v>26</v>
      </c>
    </row>
    <row r="1972" spans="1:12" x14ac:dyDescent="0.25">
      <c r="A1972">
        <v>100338</v>
      </c>
      <c r="B1972" t="s">
        <v>374</v>
      </c>
      <c r="C1972" t="s">
        <v>47</v>
      </c>
      <c r="D1972" t="s">
        <v>2362</v>
      </c>
      <c r="E1972" t="s">
        <v>3689</v>
      </c>
      <c r="F1972" t="s">
        <v>2593</v>
      </c>
      <c r="G1972" t="s">
        <v>2614</v>
      </c>
      <c r="H1972" t="s">
        <v>2581</v>
      </c>
      <c r="I1972">
        <v>0</v>
      </c>
      <c r="J1972">
        <v>342</v>
      </c>
      <c r="K1972" t="s">
        <v>19</v>
      </c>
      <c r="L1972" t="s">
        <v>2582</v>
      </c>
    </row>
    <row r="1973" spans="1:12" x14ac:dyDescent="0.25">
      <c r="A1973">
        <v>100228</v>
      </c>
      <c r="B1973" t="s">
        <v>367</v>
      </c>
      <c r="C1973" t="s">
        <v>103</v>
      </c>
      <c r="D1973" t="s">
        <v>2363</v>
      </c>
      <c r="E1973" t="s">
        <v>3690</v>
      </c>
      <c r="F1973" t="s">
        <v>2590</v>
      </c>
      <c r="G1973" t="s">
        <v>2609</v>
      </c>
      <c r="H1973" t="s">
        <v>2620</v>
      </c>
      <c r="I1973">
        <v>0</v>
      </c>
      <c r="J1973">
        <v>621</v>
      </c>
      <c r="K1973" t="s">
        <v>37</v>
      </c>
      <c r="L1973" t="s">
        <v>20</v>
      </c>
    </row>
    <row r="1974" spans="1:12" x14ac:dyDescent="0.25">
      <c r="A1974">
        <v>101723</v>
      </c>
      <c r="B1974" t="s">
        <v>102</v>
      </c>
      <c r="C1974" t="s">
        <v>103</v>
      </c>
      <c r="D1974" t="s">
        <v>2043</v>
      </c>
      <c r="E1974" t="s">
        <v>3691</v>
      </c>
      <c r="F1974" t="s">
        <v>2646</v>
      </c>
      <c r="G1974" t="s">
        <v>31</v>
      </c>
      <c r="H1974" t="s">
        <v>2597</v>
      </c>
      <c r="I1974">
        <v>29</v>
      </c>
      <c r="J1974">
        <v>733</v>
      </c>
      <c r="K1974" t="s">
        <v>19</v>
      </c>
      <c r="L1974" t="s">
        <v>26</v>
      </c>
    </row>
    <row r="1975" spans="1:12" x14ac:dyDescent="0.25">
      <c r="A1975">
        <v>100009</v>
      </c>
      <c r="B1975" t="s">
        <v>107</v>
      </c>
      <c r="C1975" t="s">
        <v>58</v>
      </c>
      <c r="D1975" t="s">
        <v>2364</v>
      </c>
      <c r="E1975" t="s">
        <v>3692</v>
      </c>
      <c r="F1975" t="s">
        <v>2627</v>
      </c>
      <c r="G1975" t="s">
        <v>2631</v>
      </c>
      <c r="H1975" t="s">
        <v>2581</v>
      </c>
      <c r="I1975">
        <v>0</v>
      </c>
      <c r="J1975">
        <v>884</v>
      </c>
      <c r="K1975" t="s">
        <v>45</v>
      </c>
      <c r="L1975" t="s">
        <v>26</v>
      </c>
    </row>
    <row r="1976" spans="1:12" x14ac:dyDescent="0.25">
      <c r="A1976">
        <v>101110</v>
      </c>
      <c r="B1976" t="s">
        <v>895</v>
      </c>
      <c r="C1976" t="s">
        <v>72</v>
      </c>
      <c r="D1976" t="s">
        <v>2365</v>
      </c>
      <c r="E1976" t="s">
        <v>2366</v>
      </c>
      <c r="F1976" t="s">
        <v>64</v>
      </c>
      <c r="G1976" t="s">
        <v>55</v>
      </c>
      <c r="H1976" t="s">
        <v>2620</v>
      </c>
      <c r="I1976">
        <v>0</v>
      </c>
      <c r="J1976">
        <v>470</v>
      </c>
      <c r="K1976" t="s">
        <v>32</v>
      </c>
      <c r="L1976" t="s">
        <v>2588</v>
      </c>
    </row>
    <row r="1977" spans="1:12" x14ac:dyDescent="0.25">
      <c r="A1977">
        <v>100555</v>
      </c>
      <c r="B1977" t="s">
        <v>1036</v>
      </c>
      <c r="C1977" t="s">
        <v>149</v>
      </c>
      <c r="D1977" t="s">
        <v>2367</v>
      </c>
      <c r="E1977" t="s">
        <v>2368</v>
      </c>
      <c r="F1977" t="s">
        <v>2604</v>
      </c>
      <c r="G1977" t="s">
        <v>2580</v>
      </c>
      <c r="H1977" t="s">
        <v>18</v>
      </c>
      <c r="I1977">
        <v>0</v>
      </c>
      <c r="J1977">
        <v>358</v>
      </c>
      <c r="K1977" t="s">
        <v>32</v>
      </c>
      <c r="L1977" t="s">
        <v>2582</v>
      </c>
    </row>
    <row r="1978" spans="1:12" x14ac:dyDescent="0.25">
      <c r="A1978">
        <v>101991</v>
      </c>
      <c r="B1978" t="s">
        <v>21</v>
      </c>
      <c r="C1978" t="s">
        <v>22</v>
      </c>
      <c r="D1978" t="s">
        <v>2369</v>
      </c>
      <c r="E1978" t="s">
        <v>2370</v>
      </c>
      <c r="F1978" t="s">
        <v>50</v>
      </c>
      <c r="G1978" t="s">
        <v>2607</v>
      </c>
      <c r="H1978" t="s">
        <v>18</v>
      </c>
      <c r="I1978">
        <v>0</v>
      </c>
      <c r="J1978">
        <v>771</v>
      </c>
      <c r="K1978" t="s">
        <v>19</v>
      </c>
      <c r="L1978" t="s">
        <v>26</v>
      </c>
    </row>
    <row r="1979" spans="1:12" x14ac:dyDescent="0.25">
      <c r="A1979">
        <v>100069</v>
      </c>
      <c r="B1979" t="s">
        <v>1303</v>
      </c>
      <c r="C1979" t="s">
        <v>126</v>
      </c>
      <c r="D1979" t="s">
        <v>2371</v>
      </c>
      <c r="E1979" t="s">
        <v>3693</v>
      </c>
      <c r="F1979" t="s">
        <v>2579</v>
      </c>
      <c r="G1979" t="s">
        <v>2652</v>
      </c>
      <c r="H1979" t="s">
        <v>2597</v>
      </c>
      <c r="I1979">
        <v>14</v>
      </c>
      <c r="J1979">
        <v>788</v>
      </c>
      <c r="K1979" t="s">
        <v>19</v>
      </c>
      <c r="L1979" t="s">
        <v>26</v>
      </c>
    </row>
    <row r="1980" spans="1:12" x14ac:dyDescent="0.25">
      <c r="A1980">
        <v>102175</v>
      </c>
      <c r="B1980" t="s">
        <v>325</v>
      </c>
      <c r="C1980" t="s">
        <v>126</v>
      </c>
      <c r="D1980" t="s">
        <v>2249</v>
      </c>
      <c r="E1980" t="s">
        <v>2372</v>
      </c>
      <c r="F1980" t="s">
        <v>41</v>
      </c>
      <c r="G1980" t="s">
        <v>31</v>
      </c>
      <c r="H1980" t="s">
        <v>2630</v>
      </c>
      <c r="I1980">
        <v>16</v>
      </c>
      <c r="J1980">
        <v>570</v>
      </c>
      <c r="K1980" t="s">
        <v>56</v>
      </c>
      <c r="L1980" t="s">
        <v>20</v>
      </c>
    </row>
    <row r="1981" spans="1:12" x14ac:dyDescent="0.25">
      <c r="A1981">
        <v>101121</v>
      </c>
      <c r="B1981" t="s">
        <v>131</v>
      </c>
      <c r="C1981" t="s">
        <v>39</v>
      </c>
      <c r="D1981" t="s">
        <v>1379</v>
      </c>
      <c r="E1981" t="s">
        <v>2373</v>
      </c>
      <c r="F1981" t="s">
        <v>2608</v>
      </c>
      <c r="G1981" t="s">
        <v>2682</v>
      </c>
      <c r="H1981" t="s">
        <v>18</v>
      </c>
      <c r="I1981">
        <v>0</v>
      </c>
      <c r="J1981">
        <v>867</v>
      </c>
      <c r="K1981" t="s">
        <v>37</v>
      </c>
      <c r="L1981" t="s">
        <v>26</v>
      </c>
    </row>
    <row r="1982" spans="1:12" x14ac:dyDescent="0.25">
      <c r="A1982">
        <v>101366</v>
      </c>
      <c r="B1982" t="s">
        <v>174</v>
      </c>
      <c r="C1982" t="s">
        <v>134</v>
      </c>
      <c r="D1982" t="s">
        <v>2265</v>
      </c>
      <c r="E1982" t="s">
        <v>3694</v>
      </c>
      <c r="F1982" t="s">
        <v>2590</v>
      </c>
      <c r="G1982" t="s">
        <v>2631</v>
      </c>
      <c r="H1982" t="s">
        <v>2587</v>
      </c>
      <c r="I1982">
        <v>0</v>
      </c>
      <c r="J1982">
        <v>554</v>
      </c>
      <c r="K1982" t="s">
        <v>56</v>
      </c>
      <c r="L1982" t="s">
        <v>26</v>
      </c>
    </row>
    <row r="1983" spans="1:12" x14ac:dyDescent="0.25">
      <c r="A1983">
        <v>101146</v>
      </c>
      <c r="B1983" t="s">
        <v>478</v>
      </c>
      <c r="C1983" t="s">
        <v>218</v>
      </c>
      <c r="D1983" t="s">
        <v>2374</v>
      </c>
      <c r="E1983" t="s">
        <v>2375</v>
      </c>
      <c r="F1983" t="s">
        <v>2640</v>
      </c>
      <c r="G1983" t="s">
        <v>55</v>
      </c>
      <c r="H1983" t="s">
        <v>2587</v>
      </c>
      <c r="I1983">
        <v>0</v>
      </c>
      <c r="J1983">
        <v>712</v>
      </c>
      <c r="K1983" t="s">
        <v>45</v>
      </c>
      <c r="L1983" t="s">
        <v>20</v>
      </c>
    </row>
    <row r="1984" spans="1:12" x14ac:dyDescent="0.25">
      <c r="A1984">
        <v>101181</v>
      </c>
      <c r="B1984" t="s">
        <v>734</v>
      </c>
      <c r="C1984" t="s">
        <v>218</v>
      </c>
      <c r="D1984" t="s">
        <v>1531</v>
      </c>
      <c r="E1984" t="s">
        <v>1532</v>
      </c>
      <c r="F1984" t="s">
        <v>2641</v>
      </c>
      <c r="H1984" t="s">
        <v>2587</v>
      </c>
      <c r="I1984">
        <v>0</v>
      </c>
      <c r="J1984">
        <v>865</v>
      </c>
      <c r="K1984" t="s">
        <v>32</v>
      </c>
      <c r="L1984" t="s">
        <v>20</v>
      </c>
    </row>
    <row r="1985" spans="1:12" x14ac:dyDescent="0.25">
      <c r="A1985">
        <v>100546</v>
      </c>
      <c r="B1985" t="s">
        <v>303</v>
      </c>
      <c r="C1985" t="s">
        <v>187</v>
      </c>
      <c r="D1985" t="s">
        <v>1003</v>
      </c>
      <c r="E1985" t="s">
        <v>3695</v>
      </c>
      <c r="F1985" t="s">
        <v>2593</v>
      </c>
      <c r="G1985" t="s">
        <v>2631</v>
      </c>
      <c r="H1985" t="s">
        <v>2620</v>
      </c>
      <c r="I1985">
        <v>0</v>
      </c>
      <c r="J1985">
        <v>800</v>
      </c>
      <c r="K1985" t="s">
        <v>56</v>
      </c>
      <c r="L1985" t="s">
        <v>20</v>
      </c>
    </row>
    <row r="1986" spans="1:12" x14ac:dyDescent="0.25">
      <c r="A1986">
        <v>102035</v>
      </c>
      <c r="B1986" t="s">
        <v>129</v>
      </c>
      <c r="C1986" t="s">
        <v>13</v>
      </c>
      <c r="D1986" t="s">
        <v>690</v>
      </c>
      <c r="E1986" t="s">
        <v>2376</v>
      </c>
      <c r="F1986" t="s">
        <v>30</v>
      </c>
      <c r="G1986" t="s">
        <v>2631</v>
      </c>
      <c r="H1986" t="s">
        <v>2620</v>
      </c>
      <c r="I1986">
        <v>0</v>
      </c>
      <c r="J1986">
        <v>336</v>
      </c>
      <c r="K1986" t="s">
        <v>32</v>
      </c>
      <c r="L1986" t="s">
        <v>20</v>
      </c>
    </row>
    <row r="1987" spans="1:12" x14ac:dyDescent="0.25">
      <c r="A1987">
        <v>100025</v>
      </c>
      <c r="B1987" t="s">
        <v>131</v>
      </c>
      <c r="C1987" t="s">
        <v>39</v>
      </c>
      <c r="D1987" t="s">
        <v>433</v>
      </c>
      <c r="E1987" t="s">
        <v>3696</v>
      </c>
      <c r="F1987" t="s">
        <v>64</v>
      </c>
      <c r="G1987" t="s">
        <v>2602</v>
      </c>
      <c r="H1987" t="s">
        <v>2581</v>
      </c>
      <c r="I1987">
        <v>0</v>
      </c>
      <c r="J1987">
        <v>867</v>
      </c>
      <c r="K1987" t="s">
        <v>56</v>
      </c>
      <c r="L1987" t="s">
        <v>2588</v>
      </c>
    </row>
    <row r="1988" spans="1:12" x14ac:dyDescent="0.25">
      <c r="A1988">
        <v>100634</v>
      </c>
      <c r="B1988" t="s">
        <v>232</v>
      </c>
      <c r="C1988" t="s">
        <v>152</v>
      </c>
      <c r="D1988" t="s">
        <v>569</v>
      </c>
      <c r="E1988" t="s">
        <v>3697</v>
      </c>
      <c r="F1988" t="s">
        <v>30</v>
      </c>
      <c r="G1988" t="s">
        <v>2658</v>
      </c>
      <c r="H1988" t="s">
        <v>2644</v>
      </c>
      <c r="I1988">
        <v>0</v>
      </c>
      <c r="J1988">
        <v>781</v>
      </c>
      <c r="K1988" t="s">
        <v>37</v>
      </c>
      <c r="L1988" t="s">
        <v>2588</v>
      </c>
    </row>
    <row r="1989" spans="1:12" x14ac:dyDescent="0.25">
      <c r="A1989">
        <v>100471</v>
      </c>
      <c r="B1989" t="s">
        <v>259</v>
      </c>
      <c r="C1989" t="s">
        <v>218</v>
      </c>
      <c r="D1989" t="s">
        <v>1411</v>
      </c>
      <c r="E1989" t="s">
        <v>2377</v>
      </c>
      <c r="F1989" t="s">
        <v>64</v>
      </c>
      <c r="G1989" t="s">
        <v>2617</v>
      </c>
      <c r="H1989" t="s">
        <v>2587</v>
      </c>
      <c r="I1989">
        <v>0</v>
      </c>
      <c r="J1989">
        <v>732</v>
      </c>
      <c r="K1989" t="s">
        <v>45</v>
      </c>
      <c r="L1989" t="s">
        <v>2582</v>
      </c>
    </row>
    <row r="1990" spans="1:12" x14ac:dyDescent="0.25">
      <c r="A1990">
        <v>100558</v>
      </c>
      <c r="B1990" t="s">
        <v>592</v>
      </c>
      <c r="C1990" t="s">
        <v>47</v>
      </c>
      <c r="D1990" t="s">
        <v>175</v>
      </c>
      <c r="E1990" t="s">
        <v>3698</v>
      </c>
      <c r="F1990" t="s">
        <v>2613</v>
      </c>
      <c r="G1990" t="s">
        <v>2596</v>
      </c>
      <c r="H1990" t="s">
        <v>2620</v>
      </c>
      <c r="I1990">
        <v>0</v>
      </c>
      <c r="J1990">
        <v>332</v>
      </c>
      <c r="K1990" t="s">
        <v>56</v>
      </c>
      <c r="L1990" t="s">
        <v>26</v>
      </c>
    </row>
    <row r="1991" spans="1:12" x14ac:dyDescent="0.25">
      <c r="A1991">
        <v>101748</v>
      </c>
      <c r="B1991" t="s">
        <v>581</v>
      </c>
      <c r="C1991" t="s">
        <v>2667</v>
      </c>
      <c r="D1991" t="s">
        <v>2378</v>
      </c>
      <c r="E1991" t="s">
        <v>3699</v>
      </c>
      <c r="F1991" t="s">
        <v>2583</v>
      </c>
      <c r="G1991" t="s">
        <v>2607</v>
      </c>
      <c r="H1991" t="s">
        <v>2644</v>
      </c>
      <c r="I1991">
        <v>0</v>
      </c>
      <c r="J1991">
        <v>435</v>
      </c>
      <c r="K1991" t="s">
        <v>32</v>
      </c>
      <c r="L1991" t="s">
        <v>26</v>
      </c>
    </row>
    <row r="1992" spans="1:12" x14ac:dyDescent="0.25">
      <c r="A1992">
        <v>100294</v>
      </c>
      <c r="B1992" t="s">
        <v>174</v>
      </c>
      <c r="C1992" t="s">
        <v>134</v>
      </c>
      <c r="D1992" t="s">
        <v>885</v>
      </c>
      <c r="E1992" t="s">
        <v>2379</v>
      </c>
      <c r="F1992" t="s">
        <v>2593</v>
      </c>
      <c r="G1992" t="s">
        <v>2596</v>
      </c>
      <c r="H1992" t="s">
        <v>2587</v>
      </c>
      <c r="I1992">
        <v>0</v>
      </c>
      <c r="J1992">
        <v>554</v>
      </c>
      <c r="K1992" t="s">
        <v>45</v>
      </c>
      <c r="L1992" t="s">
        <v>26</v>
      </c>
    </row>
    <row r="1993" spans="1:12" x14ac:dyDescent="0.25">
      <c r="A1993">
        <v>100773</v>
      </c>
      <c r="B1993" t="s">
        <v>1009</v>
      </c>
      <c r="C1993" t="s">
        <v>58</v>
      </c>
      <c r="D1993" t="s">
        <v>1865</v>
      </c>
      <c r="E1993" t="s">
        <v>2380</v>
      </c>
      <c r="F1993" t="s">
        <v>64</v>
      </c>
      <c r="G1993" t="s">
        <v>2652</v>
      </c>
      <c r="H1993" t="s">
        <v>2597</v>
      </c>
      <c r="I1993">
        <v>25</v>
      </c>
      <c r="J1993">
        <v>400</v>
      </c>
      <c r="K1993" t="s">
        <v>56</v>
      </c>
      <c r="L1993" t="s">
        <v>2588</v>
      </c>
    </row>
    <row r="1994" spans="1:12" x14ac:dyDescent="0.25">
      <c r="A1994">
        <v>102159</v>
      </c>
      <c r="B1994" t="s">
        <v>1009</v>
      </c>
      <c r="C1994" t="s">
        <v>58</v>
      </c>
      <c r="D1994" t="s">
        <v>235</v>
      </c>
      <c r="E1994" t="s">
        <v>3700</v>
      </c>
      <c r="F1994" t="s">
        <v>2648</v>
      </c>
      <c r="G1994" t="s">
        <v>2617</v>
      </c>
      <c r="H1994" t="s">
        <v>18</v>
      </c>
      <c r="I1994">
        <v>0</v>
      </c>
      <c r="J1994">
        <v>400</v>
      </c>
      <c r="K1994" t="s">
        <v>45</v>
      </c>
      <c r="L1994" t="s">
        <v>2582</v>
      </c>
    </row>
    <row r="1995" spans="1:12" x14ac:dyDescent="0.25">
      <c r="A1995">
        <v>101263</v>
      </c>
      <c r="B1995" t="s">
        <v>1435</v>
      </c>
      <c r="C1995" t="s">
        <v>47</v>
      </c>
      <c r="D1995" t="s">
        <v>114</v>
      </c>
      <c r="E1995" t="s">
        <v>3701</v>
      </c>
      <c r="F1995" t="s">
        <v>41</v>
      </c>
      <c r="G1995" t="s">
        <v>2591</v>
      </c>
      <c r="H1995" t="s">
        <v>2620</v>
      </c>
      <c r="I1995">
        <v>0</v>
      </c>
      <c r="J1995">
        <v>744</v>
      </c>
      <c r="K1995" t="s">
        <v>37</v>
      </c>
      <c r="L1995" t="s">
        <v>20</v>
      </c>
    </row>
    <row r="1996" spans="1:12" x14ac:dyDescent="0.25">
      <c r="A1996">
        <v>100749</v>
      </c>
      <c r="B1996" t="s">
        <v>940</v>
      </c>
      <c r="C1996" t="s">
        <v>52</v>
      </c>
      <c r="D1996" t="s">
        <v>1878</v>
      </c>
      <c r="E1996" t="s">
        <v>3702</v>
      </c>
      <c r="F1996" t="s">
        <v>2604</v>
      </c>
      <c r="G1996" t="s">
        <v>2602</v>
      </c>
      <c r="H1996" t="s">
        <v>18</v>
      </c>
      <c r="I1996">
        <v>0</v>
      </c>
      <c r="J1996">
        <v>640</v>
      </c>
      <c r="K1996" t="s">
        <v>32</v>
      </c>
      <c r="L1996" t="s">
        <v>2582</v>
      </c>
    </row>
    <row r="1997" spans="1:12" x14ac:dyDescent="0.25">
      <c r="A1997">
        <v>101189</v>
      </c>
      <c r="B1997" t="s">
        <v>905</v>
      </c>
      <c r="C1997" t="s">
        <v>100</v>
      </c>
      <c r="D1997" t="s">
        <v>2381</v>
      </c>
      <c r="E1997" t="s">
        <v>2382</v>
      </c>
      <c r="F1997" t="s">
        <v>41</v>
      </c>
      <c r="G1997" t="s">
        <v>2600</v>
      </c>
      <c r="H1997" t="s">
        <v>2620</v>
      </c>
      <c r="I1997">
        <v>0</v>
      </c>
      <c r="J1997">
        <v>325</v>
      </c>
      <c r="K1997" t="s">
        <v>56</v>
      </c>
      <c r="L1997" t="s">
        <v>2582</v>
      </c>
    </row>
    <row r="1998" spans="1:12" x14ac:dyDescent="0.25">
      <c r="A1998">
        <v>101023</v>
      </c>
      <c r="B1998" t="s">
        <v>198</v>
      </c>
      <c r="C1998" t="s">
        <v>134</v>
      </c>
      <c r="D1998" t="s">
        <v>2383</v>
      </c>
      <c r="E1998" t="s">
        <v>3703</v>
      </c>
      <c r="F1998" t="s">
        <v>2598</v>
      </c>
      <c r="G1998" t="s">
        <v>2607</v>
      </c>
      <c r="H1998" t="s">
        <v>2623</v>
      </c>
      <c r="I1998">
        <v>49</v>
      </c>
      <c r="J1998">
        <v>555</v>
      </c>
      <c r="K1998" t="s">
        <v>37</v>
      </c>
      <c r="L1998" t="s">
        <v>20</v>
      </c>
    </row>
    <row r="1999" spans="1:12" x14ac:dyDescent="0.25">
      <c r="A1999">
        <v>100121</v>
      </c>
      <c r="B1999" t="s">
        <v>460</v>
      </c>
      <c r="C1999" t="s">
        <v>95</v>
      </c>
      <c r="D1999" t="s">
        <v>1591</v>
      </c>
      <c r="E1999" t="s">
        <v>3704</v>
      </c>
      <c r="F1999" t="s">
        <v>2640</v>
      </c>
      <c r="G1999" t="s">
        <v>55</v>
      </c>
      <c r="H1999" t="s">
        <v>2581</v>
      </c>
      <c r="I1999">
        <v>0</v>
      </c>
      <c r="J1999">
        <v>716</v>
      </c>
      <c r="K1999" t="s">
        <v>37</v>
      </c>
      <c r="L1999" t="s">
        <v>26</v>
      </c>
    </row>
    <row r="2000" spans="1:12" x14ac:dyDescent="0.25">
      <c r="A2000">
        <v>100906</v>
      </c>
      <c r="B2000" t="s">
        <v>463</v>
      </c>
      <c r="C2000" t="s">
        <v>126</v>
      </c>
      <c r="D2000" t="s">
        <v>791</v>
      </c>
      <c r="E2000" t="s">
        <v>3705</v>
      </c>
      <c r="F2000" t="s">
        <v>2640</v>
      </c>
      <c r="G2000" t="s">
        <v>2580</v>
      </c>
      <c r="H2000" t="s">
        <v>2597</v>
      </c>
      <c r="I2000">
        <v>14</v>
      </c>
      <c r="J2000">
        <v>765</v>
      </c>
      <c r="K2000" t="s">
        <v>45</v>
      </c>
      <c r="L2000" t="s">
        <v>20</v>
      </c>
    </row>
    <row r="2001" spans="1:12" x14ac:dyDescent="0.25">
      <c r="A2001">
        <v>101721</v>
      </c>
      <c r="B2001" t="s">
        <v>352</v>
      </c>
      <c r="C2001" t="s">
        <v>85</v>
      </c>
      <c r="D2001" t="s">
        <v>169</v>
      </c>
      <c r="E2001" t="s">
        <v>2384</v>
      </c>
      <c r="F2001" t="s">
        <v>2629</v>
      </c>
      <c r="G2001" t="s">
        <v>2580</v>
      </c>
      <c r="H2001" t="s">
        <v>2597</v>
      </c>
      <c r="I2001">
        <v>16</v>
      </c>
      <c r="J2001">
        <v>778</v>
      </c>
      <c r="K2001" t="s">
        <v>37</v>
      </c>
      <c r="L2001" t="s">
        <v>2588</v>
      </c>
    </row>
    <row r="2002" spans="1:12" x14ac:dyDescent="0.25">
      <c r="A2002">
        <v>101307</v>
      </c>
      <c r="B2002" t="s">
        <v>344</v>
      </c>
      <c r="C2002" t="s">
        <v>244</v>
      </c>
      <c r="D2002" t="s">
        <v>1239</v>
      </c>
      <c r="E2002" t="s">
        <v>3706</v>
      </c>
      <c r="F2002" t="s">
        <v>64</v>
      </c>
      <c r="G2002" t="s">
        <v>2682</v>
      </c>
      <c r="H2002" t="s">
        <v>2587</v>
      </c>
      <c r="I2002">
        <v>0</v>
      </c>
      <c r="J2002">
        <v>792</v>
      </c>
      <c r="K2002" t="s">
        <v>37</v>
      </c>
      <c r="L2002" t="s">
        <v>20</v>
      </c>
    </row>
    <row r="2003" spans="1:12" x14ac:dyDescent="0.25">
      <c r="A2003">
        <v>101389</v>
      </c>
      <c r="B2003" t="s">
        <v>576</v>
      </c>
      <c r="C2003" t="s">
        <v>22</v>
      </c>
      <c r="D2003" t="s">
        <v>1189</v>
      </c>
      <c r="E2003" t="s">
        <v>2385</v>
      </c>
      <c r="F2003" t="s">
        <v>41</v>
      </c>
      <c r="G2003" t="s">
        <v>2617</v>
      </c>
      <c r="H2003" t="s">
        <v>2618</v>
      </c>
      <c r="I2003">
        <v>0</v>
      </c>
      <c r="J2003">
        <v>418</v>
      </c>
      <c r="K2003" t="s">
        <v>19</v>
      </c>
      <c r="L2003" t="s">
        <v>2588</v>
      </c>
    </row>
    <row r="2004" spans="1:12" x14ac:dyDescent="0.25">
      <c r="A2004">
        <v>101771</v>
      </c>
      <c r="B2004" t="s">
        <v>217</v>
      </c>
      <c r="C2004" t="s">
        <v>218</v>
      </c>
      <c r="D2004" t="s">
        <v>980</v>
      </c>
      <c r="E2004" t="s">
        <v>3707</v>
      </c>
      <c r="F2004" t="s">
        <v>2598</v>
      </c>
      <c r="G2004" t="s">
        <v>2658</v>
      </c>
      <c r="H2004" t="s">
        <v>2581</v>
      </c>
      <c r="I2004">
        <v>0</v>
      </c>
      <c r="J2004">
        <v>894</v>
      </c>
      <c r="K2004" t="s">
        <v>45</v>
      </c>
      <c r="L2004" t="s">
        <v>20</v>
      </c>
    </row>
    <row r="2005" spans="1:12" x14ac:dyDescent="0.25">
      <c r="A2005">
        <v>101335</v>
      </c>
      <c r="B2005" t="s">
        <v>863</v>
      </c>
      <c r="C2005" t="s">
        <v>39</v>
      </c>
      <c r="D2005" t="s">
        <v>2386</v>
      </c>
      <c r="E2005" t="s">
        <v>3708</v>
      </c>
      <c r="F2005" t="s">
        <v>2646</v>
      </c>
      <c r="G2005" t="s">
        <v>2584</v>
      </c>
      <c r="H2005" t="s">
        <v>83</v>
      </c>
      <c r="J2005">
        <v>427</v>
      </c>
      <c r="K2005" t="s">
        <v>45</v>
      </c>
      <c r="L2005" t="s">
        <v>2582</v>
      </c>
    </row>
    <row r="2006" spans="1:12" x14ac:dyDescent="0.25">
      <c r="A2006">
        <v>100511</v>
      </c>
      <c r="B2006" t="s">
        <v>1053</v>
      </c>
      <c r="C2006" t="s">
        <v>47</v>
      </c>
      <c r="D2006" t="s">
        <v>1580</v>
      </c>
      <c r="E2006" t="s">
        <v>3709</v>
      </c>
      <c r="F2006" t="s">
        <v>2629</v>
      </c>
      <c r="G2006" t="s">
        <v>2596</v>
      </c>
      <c r="H2006" t="s">
        <v>2644</v>
      </c>
      <c r="I2006">
        <v>0</v>
      </c>
      <c r="J2006">
        <v>864</v>
      </c>
      <c r="K2006" t="s">
        <v>37</v>
      </c>
      <c r="L2006" t="s">
        <v>26</v>
      </c>
    </row>
    <row r="2007" spans="1:12" x14ac:dyDescent="0.25">
      <c r="A2007">
        <v>100180</v>
      </c>
      <c r="B2007" t="s">
        <v>125</v>
      </c>
      <c r="C2007" t="s">
        <v>126</v>
      </c>
      <c r="D2007" t="s">
        <v>405</v>
      </c>
      <c r="E2007" t="s">
        <v>2387</v>
      </c>
      <c r="F2007" t="s">
        <v>2598</v>
      </c>
      <c r="G2007" t="s">
        <v>2611</v>
      </c>
      <c r="H2007" t="s">
        <v>18</v>
      </c>
      <c r="I2007">
        <v>0</v>
      </c>
      <c r="J2007">
        <v>461</v>
      </c>
      <c r="K2007" t="s">
        <v>56</v>
      </c>
      <c r="L2007" t="s">
        <v>26</v>
      </c>
    </row>
    <row r="2008" spans="1:12" x14ac:dyDescent="0.25">
      <c r="A2008">
        <v>101936</v>
      </c>
      <c r="B2008" t="s">
        <v>202</v>
      </c>
      <c r="C2008" t="s">
        <v>95</v>
      </c>
      <c r="D2008" t="s">
        <v>1209</v>
      </c>
      <c r="E2008" t="s">
        <v>3710</v>
      </c>
      <c r="F2008" t="s">
        <v>2646</v>
      </c>
      <c r="G2008" t="s">
        <v>2633</v>
      </c>
      <c r="H2008" t="s">
        <v>2587</v>
      </c>
      <c r="I2008">
        <v>0</v>
      </c>
      <c r="J2008">
        <v>570</v>
      </c>
      <c r="K2008" t="s">
        <v>37</v>
      </c>
      <c r="L2008" t="s">
        <v>2582</v>
      </c>
    </row>
    <row r="2009" spans="1:12" x14ac:dyDescent="0.25">
      <c r="A2009">
        <v>101834</v>
      </c>
      <c r="B2009" t="s">
        <v>728</v>
      </c>
      <c r="C2009" t="s">
        <v>85</v>
      </c>
      <c r="D2009" t="s">
        <v>2388</v>
      </c>
      <c r="E2009" t="s">
        <v>3711</v>
      </c>
      <c r="F2009" t="s">
        <v>41</v>
      </c>
      <c r="G2009" t="s">
        <v>2609</v>
      </c>
      <c r="H2009" t="s">
        <v>18</v>
      </c>
      <c r="I2009">
        <v>0</v>
      </c>
      <c r="J2009">
        <v>653</v>
      </c>
      <c r="K2009" t="s">
        <v>45</v>
      </c>
      <c r="L2009" t="s">
        <v>26</v>
      </c>
    </row>
    <row r="2010" spans="1:12" x14ac:dyDescent="0.25">
      <c r="A2010">
        <v>101845</v>
      </c>
      <c r="B2010" t="s">
        <v>2030</v>
      </c>
      <c r="C2010" t="s">
        <v>168</v>
      </c>
      <c r="D2010" t="s">
        <v>2389</v>
      </c>
      <c r="E2010" t="s">
        <v>3712</v>
      </c>
      <c r="F2010" t="s">
        <v>2648</v>
      </c>
      <c r="G2010" t="s">
        <v>2607</v>
      </c>
      <c r="H2010" t="s">
        <v>2618</v>
      </c>
      <c r="I2010">
        <v>0</v>
      </c>
      <c r="J2010">
        <v>768</v>
      </c>
      <c r="K2010" t="s">
        <v>19</v>
      </c>
      <c r="L2010" t="s">
        <v>26</v>
      </c>
    </row>
    <row r="2011" spans="1:12" x14ac:dyDescent="0.25">
      <c r="A2011">
        <v>101094</v>
      </c>
      <c r="B2011" t="s">
        <v>1175</v>
      </c>
      <c r="C2011" t="s">
        <v>142</v>
      </c>
      <c r="D2011" t="s">
        <v>2390</v>
      </c>
      <c r="E2011" t="s">
        <v>2391</v>
      </c>
      <c r="F2011" t="s">
        <v>2608</v>
      </c>
      <c r="G2011" t="s">
        <v>2591</v>
      </c>
      <c r="H2011" t="s">
        <v>2620</v>
      </c>
      <c r="I2011">
        <v>0</v>
      </c>
      <c r="J2011">
        <v>573</v>
      </c>
      <c r="K2011" t="s">
        <v>19</v>
      </c>
      <c r="L2011" t="s">
        <v>2582</v>
      </c>
    </row>
    <row r="2012" spans="1:12" x14ac:dyDescent="0.25">
      <c r="A2012">
        <v>101808</v>
      </c>
      <c r="B2012" t="s">
        <v>148</v>
      </c>
      <c r="C2012" t="s">
        <v>149</v>
      </c>
      <c r="D2012" t="s">
        <v>1277</v>
      </c>
      <c r="E2012" t="s">
        <v>2392</v>
      </c>
      <c r="F2012" t="s">
        <v>2608</v>
      </c>
      <c r="G2012" t="s">
        <v>2652</v>
      </c>
      <c r="H2012" t="s">
        <v>18</v>
      </c>
      <c r="I2012">
        <v>0</v>
      </c>
      <c r="J2012">
        <v>876</v>
      </c>
      <c r="K2012" t="s">
        <v>37</v>
      </c>
      <c r="L2012" t="s">
        <v>26</v>
      </c>
    </row>
    <row r="2013" spans="1:12" x14ac:dyDescent="0.25">
      <c r="A2013">
        <v>101989</v>
      </c>
      <c r="B2013" t="s">
        <v>276</v>
      </c>
      <c r="C2013" t="s">
        <v>52</v>
      </c>
      <c r="D2013" t="s">
        <v>2393</v>
      </c>
      <c r="E2013" t="s">
        <v>2394</v>
      </c>
      <c r="F2013" t="s">
        <v>2648</v>
      </c>
      <c r="G2013" t="s">
        <v>2631</v>
      </c>
      <c r="H2013" t="s">
        <v>2630</v>
      </c>
      <c r="I2013">
        <v>11</v>
      </c>
      <c r="J2013">
        <v>638</v>
      </c>
      <c r="K2013" t="s">
        <v>45</v>
      </c>
      <c r="L2013" t="s">
        <v>20</v>
      </c>
    </row>
    <row r="2014" spans="1:12" x14ac:dyDescent="0.25">
      <c r="A2014">
        <v>101548</v>
      </c>
      <c r="B2014" t="s">
        <v>131</v>
      </c>
      <c r="C2014" t="s">
        <v>39</v>
      </c>
      <c r="D2014" t="s">
        <v>700</v>
      </c>
      <c r="E2014" t="s">
        <v>2395</v>
      </c>
      <c r="F2014" t="s">
        <v>2627</v>
      </c>
      <c r="G2014" t="s">
        <v>2602</v>
      </c>
      <c r="H2014" t="s">
        <v>2587</v>
      </c>
      <c r="I2014">
        <v>0</v>
      </c>
      <c r="J2014">
        <v>867</v>
      </c>
      <c r="K2014" t="s">
        <v>45</v>
      </c>
      <c r="L2014" t="s">
        <v>2588</v>
      </c>
    </row>
    <row r="2015" spans="1:12" x14ac:dyDescent="0.25">
      <c r="A2015">
        <v>101560</v>
      </c>
      <c r="B2015" t="s">
        <v>390</v>
      </c>
      <c r="C2015" t="s">
        <v>110</v>
      </c>
      <c r="D2015" t="s">
        <v>2396</v>
      </c>
      <c r="E2015" t="s">
        <v>3713</v>
      </c>
      <c r="F2015" t="s">
        <v>2590</v>
      </c>
      <c r="G2015" t="s">
        <v>2602</v>
      </c>
      <c r="H2015" t="s">
        <v>18</v>
      </c>
      <c r="I2015">
        <v>0</v>
      </c>
      <c r="J2015">
        <v>773</v>
      </c>
      <c r="K2015" t="s">
        <v>45</v>
      </c>
      <c r="L2015" t="s">
        <v>2582</v>
      </c>
    </row>
    <row r="2016" spans="1:12" x14ac:dyDescent="0.25">
      <c r="A2016">
        <v>101184</v>
      </c>
      <c r="B2016" t="s">
        <v>276</v>
      </c>
      <c r="C2016" t="s">
        <v>52</v>
      </c>
      <c r="D2016" t="s">
        <v>1502</v>
      </c>
      <c r="E2016" t="s">
        <v>3362</v>
      </c>
      <c r="F2016" t="s">
        <v>50</v>
      </c>
      <c r="G2016" t="s">
        <v>2602</v>
      </c>
      <c r="H2016" t="s">
        <v>2587</v>
      </c>
      <c r="I2016">
        <v>0</v>
      </c>
      <c r="J2016">
        <v>638</v>
      </c>
      <c r="K2016" t="s">
        <v>37</v>
      </c>
      <c r="L2016" t="s">
        <v>20</v>
      </c>
    </row>
    <row r="2017" spans="1:12" x14ac:dyDescent="0.25">
      <c r="A2017">
        <v>101829</v>
      </c>
      <c r="B2017" t="s">
        <v>167</v>
      </c>
      <c r="D2017" t="s">
        <v>2397</v>
      </c>
      <c r="E2017" t="s">
        <v>2398</v>
      </c>
      <c r="F2017" t="s">
        <v>2643</v>
      </c>
      <c r="G2017" t="s">
        <v>81</v>
      </c>
      <c r="H2017" t="s">
        <v>2581</v>
      </c>
      <c r="I2017">
        <v>0</v>
      </c>
      <c r="J2017">
        <v>658</v>
      </c>
      <c r="L2017" t="s">
        <v>2588</v>
      </c>
    </row>
    <row r="2018" spans="1:12" x14ac:dyDescent="0.25">
      <c r="A2018">
        <v>100816</v>
      </c>
      <c r="B2018" t="s">
        <v>478</v>
      </c>
      <c r="C2018" t="s">
        <v>218</v>
      </c>
      <c r="D2018" t="s">
        <v>2399</v>
      </c>
      <c r="E2018" t="s">
        <v>3714</v>
      </c>
      <c r="F2018" t="s">
        <v>2583</v>
      </c>
      <c r="G2018" t="s">
        <v>2580</v>
      </c>
      <c r="H2018" t="s">
        <v>2623</v>
      </c>
      <c r="I2018">
        <v>75</v>
      </c>
      <c r="J2018">
        <v>712</v>
      </c>
      <c r="K2018" t="s">
        <v>45</v>
      </c>
      <c r="L2018" t="s">
        <v>26</v>
      </c>
    </row>
    <row r="2019" spans="1:12" x14ac:dyDescent="0.25">
      <c r="A2019">
        <v>101148</v>
      </c>
      <c r="B2019" t="s">
        <v>708</v>
      </c>
      <c r="C2019" t="s">
        <v>270</v>
      </c>
      <c r="D2019" t="s">
        <v>1998</v>
      </c>
      <c r="E2019" t="s">
        <v>3715</v>
      </c>
      <c r="F2019" t="s">
        <v>2646</v>
      </c>
      <c r="G2019" t="s">
        <v>2611</v>
      </c>
      <c r="H2019" t="s">
        <v>42</v>
      </c>
      <c r="I2019">
        <v>168</v>
      </c>
      <c r="J2019">
        <v>451</v>
      </c>
      <c r="K2019" t="s">
        <v>32</v>
      </c>
      <c r="L2019" t="s">
        <v>20</v>
      </c>
    </row>
    <row r="2020" spans="1:12" x14ac:dyDescent="0.25">
      <c r="A2020">
        <v>100864</v>
      </c>
      <c r="B2020" t="s">
        <v>236</v>
      </c>
      <c r="C2020" t="s">
        <v>47</v>
      </c>
      <c r="D2020" t="s">
        <v>2400</v>
      </c>
      <c r="E2020" t="s">
        <v>3716</v>
      </c>
      <c r="F2020" t="s">
        <v>2579</v>
      </c>
      <c r="G2020" t="s">
        <v>2596</v>
      </c>
      <c r="H2020" t="s">
        <v>83</v>
      </c>
      <c r="I2020">
        <v>0</v>
      </c>
      <c r="J2020">
        <v>797</v>
      </c>
      <c r="K2020" t="s">
        <v>19</v>
      </c>
      <c r="L2020" t="s">
        <v>2588</v>
      </c>
    </row>
    <row r="2021" spans="1:12" x14ac:dyDescent="0.25">
      <c r="A2021">
        <v>101083</v>
      </c>
      <c r="B2021" t="s">
        <v>1168</v>
      </c>
      <c r="C2021" t="s">
        <v>218</v>
      </c>
      <c r="D2021" t="s">
        <v>2401</v>
      </c>
      <c r="E2021" t="s">
        <v>3717</v>
      </c>
      <c r="F2021" t="s">
        <v>2613</v>
      </c>
      <c r="G2021" t="s">
        <v>55</v>
      </c>
      <c r="H2021" t="s">
        <v>2644</v>
      </c>
      <c r="I2021">
        <v>0</v>
      </c>
      <c r="J2021">
        <v>606</v>
      </c>
      <c r="K2021" t="s">
        <v>32</v>
      </c>
      <c r="L2021" t="s">
        <v>2582</v>
      </c>
    </row>
    <row r="2022" spans="1:12" x14ac:dyDescent="0.25">
      <c r="A2022">
        <v>101209</v>
      </c>
      <c r="B2022" t="s">
        <v>798</v>
      </c>
      <c r="C2022" t="s">
        <v>149</v>
      </c>
      <c r="D2022" t="s">
        <v>2238</v>
      </c>
      <c r="E2022" t="s">
        <v>3718</v>
      </c>
      <c r="F2022" t="s">
        <v>50</v>
      </c>
      <c r="G2022" t="s">
        <v>2631</v>
      </c>
      <c r="H2022" t="s">
        <v>18</v>
      </c>
      <c r="I2022">
        <v>0</v>
      </c>
      <c r="J2022">
        <v>555</v>
      </c>
      <c r="K2022" t="s">
        <v>19</v>
      </c>
      <c r="L2022" t="s">
        <v>20</v>
      </c>
    </row>
    <row r="2023" spans="1:12" x14ac:dyDescent="0.25">
      <c r="A2023">
        <v>100722</v>
      </c>
      <c r="B2023" t="s">
        <v>87</v>
      </c>
      <c r="C2023" t="s">
        <v>47</v>
      </c>
      <c r="D2023" t="s">
        <v>98</v>
      </c>
      <c r="E2023" t="s">
        <v>2624</v>
      </c>
      <c r="F2023" t="s">
        <v>41</v>
      </c>
      <c r="G2023" t="s">
        <v>2625</v>
      </c>
      <c r="H2023" t="s">
        <v>2618</v>
      </c>
      <c r="I2023">
        <v>0</v>
      </c>
      <c r="J2023">
        <v>892</v>
      </c>
      <c r="K2023" t="s">
        <v>45</v>
      </c>
      <c r="L2023" t="s">
        <v>20</v>
      </c>
    </row>
    <row r="2024" spans="1:12" x14ac:dyDescent="0.25">
      <c r="A2024">
        <v>101616</v>
      </c>
      <c r="B2024" t="s">
        <v>212</v>
      </c>
      <c r="C2024" t="s">
        <v>95</v>
      </c>
      <c r="D2024" t="s">
        <v>759</v>
      </c>
      <c r="E2024" t="s">
        <v>3719</v>
      </c>
      <c r="F2024" t="s">
        <v>64</v>
      </c>
      <c r="G2024" t="s">
        <v>2596</v>
      </c>
      <c r="H2024" t="s">
        <v>2623</v>
      </c>
      <c r="I2024">
        <v>115</v>
      </c>
      <c r="J2024">
        <v>662</v>
      </c>
      <c r="K2024" t="s">
        <v>56</v>
      </c>
      <c r="L2024" t="s">
        <v>20</v>
      </c>
    </row>
    <row r="2025" spans="1:12" x14ac:dyDescent="0.25">
      <c r="A2025">
        <v>101290</v>
      </c>
      <c r="B2025" t="s">
        <v>928</v>
      </c>
      <c r="C2025" t="s">
        <v>2940</v>
      </c>
      <c r="D2025" t="s">
        <v>2402</v>
      </c>
      <c r="E2025" t="s">
        <v>3720</v>
      </c>
      <c r="F2025" t="s">
        <v>2646</v>
      </c>
      <c r="G2025" t="s">
        <v>2625</v>
      </c>
      <c r="H2025" t="s">
        <v>2644</v>
      </c>
      <c r="I2025">
        <v>0</v>
      </c>
      <c r="J2025">
        <v>409</v>
      </c>
      <c r="K2025" t="s">
        <v>37</v>
      </c>
      <c r="L2025" t="s">
        <v>2582</v>
      </c>
    </row>
    <row r="2026" spans="1:12" x14ac:dyDescent="0.25">
      <c r="A2026">
        <v>101858</v>
      </c>
      <c r="B2026" t="s">
        <v>601</v>
      </c>
      <c r="C2026" t="s">
        <v>100</v>
      </c>
      <c r="D2026" t="s">
        <v>1555</v>
      </c>
      <c r="E2026" t="s">
        <v>2403</v>
      </c>
      <c r="F2026" t="s">
        <v>2604</v>
      </c>
      <c r="G2026" t="s">
        <v>2580</v>
      </c>
      <c r="H2026" t="s">
        <v>2587</v>
      </c>
      <c r="I2026">
        <v>0</v>
      </c>
      <c r="J2026">
        <v>849</v>
      </c>
      <c r="K2026" t="s">
        <v>56</v>
      </c>
      <c r="L2026" t="s">
        <v>2582</v>
      </c>
    </row>
    <row r="2027" spans="1:12" x14ac:dyDescent="0.25">
      <c r="A2027">
        <v>100096</v>
      </c>
      <c r="B2027" t="s">
        <v>21</v>
      </c>
      <c r="C2027" t="s">
        <v>22</v>
      </c>
      <c r="D2027" t="s">
        <v>2404</v>
      </c>
      <c r="E2027" t="s">
        <v>3721</v>
      </c>
      <c r="F2027" t="s">
        <v>2608</v>
      </c>
      <c r="G2027" t="s">
        <v>2617</v>
      </c>
      <c r="H2027" t="s">
        <v>2644</v>
      </c>
      <c r="I2027">
        <v>0</v>
      </c>
      <c r="J2027">
        <v>771</v>
      </c>
      <c r="K2027" t="s">
        <v>32</v>
      </c>
      <c r="L2027" t="s">
        <v>20</v>
      </c>
    </row>
    <row r="2028" spans="1:12" x14ac:dyDescent="0.25">
      <c r="A2028">
        <v>101273</v>
      </c>
      <c r="B2028" t="s">
        <v>34</v>
      </c>
      <c r="C2028" t="s">
        <v>13</v>
      </c>
      <c r="D2028" t="s">
        <v>2405</v>
      </c>
      <c r="E2028" t="s">
        <v>2406</v>
      </c>
      <c r="F2028" t="s">
        <v>64</v>
      </c>
      <c r="G2028" t="s">
        <v>31</v>
      </c>
      <c r="H2028" t="s">
        <v>2618</v>
      </c>
      <c r="I2028">
        <v>0</v>
      </c>
      <c r="J2028">
        <v>672</v>
      </c>
      <c r="K2028" t="s">
        <v>56</v>
      </c>
      <c r="L2028" t="s">
        <v>26</v>
      </c>
    </row>
    <row r="2029" spans="1:12" x14ac:dyDescent="0.25">
      <c r="A2029">
        <v>100381</v>
      </c>
      <c r="B2029" t="s">
        <v>84</v>
      </c>
      <c r="C2029" t="s">
        <v>85</v>
      </c>
      <c r="D2029" t="s">
        <v>2369</v>
      </c>
      <c r="E2029" t="s">
        <v>3722</v>
      </c>
      <c r="F2029" t="s">
        <v>2579</v>
      </c>
      <c r="G2029" t="s">
        <v>2599</v>
      </c>
      <c r="H2029" t="s">
        <v>2620</v>
      </c>
      <c r="I2029">
        <v>0</v>
      </c>
      <c r="J2029">
        <v>400</v>
      </c>
      <c r="K2029" t="s">
        <v>45</v>
      </c>
      <c r="L2029" t="s">
        <v>26</v>
      </c>
    </row>
    <row r="2030" spans="1:12" x14ac:dyDescent="0.25">
      <c r="A2030">
        <v>100605</v>
      </c>
      <c r="B2030" t="s">
        <v>340</v>
      </c>
      <c r="C2030" t="s">
        <v>100</v>
      </c>
      <c r="D2030" t="s">
        <v>2407</v>
      </c>
      <c r="E2030" t="s">
        <v>3723</v>
      </c>
      <c r="F2030" t="s">
        <v>2641</v>
      </c>
      <c r="G2030" t="s">
        <v>2580</v>
      </c>
      <c r="H2030" t="s">
        <v>2620</v>
      </c>
      <c r="I2030">
        <v>0</v>
      </c>
      <c r="J2030">
        <v>705</v>
      </c>
      <c r="K2030" t="s">
        <v>56</v>
      </c>
      <c r="L2030" t="s">
        <v>26</v>
      </c>
    </row>
    <row r="2031" spans="1:12" x14ac:dyDescent="0.25">
      <c r="A2031">
        <v>102071</v>
      </c>
      <c r="B2031" t="s">
        <v>167</v>
      </c>
      <c r="C2031" t="s">
        <v>168</v>
      </c>
      <c r="D2031" t="s">
        <v>2408</v>
      </c>
      <c r="E2031" t="s">
        <v>2409</v>
      </c>
      <c r="F2031" t="s">
        <v>2640</v>
      </c>
      <c r="G2031" t="s">
        <v>2607</v>
      </c>
      <c r="H2031" t="s">
        <v>2581</v>
      </c>
      <c r="I2031">
        <v>0</v>
      </c>
      <c r="J2031">
        <v>658</v>
      </c>
      <c r="K2031" t="s">
        <v>45</v>
      </c>
      <c r="L2031" t="s">
        <v>2588</v>
      </c>
    </row>
    <row r="2032" spans="1:12" x14ac:dyDescent="0.25">
      <c r="A2032">
        <v>102124</v>
      </c>
      <c r="B2032" t="s">
        <v>160</v>
      </c>
      <c r="C2032" t="s">
        <v>72</v>
      </c>
      <c r="D2032" t="s">
        <v>2002</v>
      </c>
      <c r="E2032" t="s">
        <v>2410</v>
      </c>
      <c r="F2032" t="s">
        <v>2616</v>
      </c>
      <c r="G2032" t="s">
        <v>31</v>
      </c>
      <c r="H2032" t="s">
        <v>2623</v>
      </c>
      <c r="I2032">
        <v>36</v>
      </c>
      <c r="J2032">
        <v>585</v>
      </c>
      <c r="K2032" t="s">
        <v>32</v>
      </c>
      <c r="L2032" t="s">
        <v>20</v>
      </c>
    </row>
    <row r="2033" spans="1:12" x14ac:dyDescent="0.25">
      <c r="A2033">
        <v>100551</v>
      </c>
      <c r="B2033" t="s">
        <v>89</v>
      </c>
      <c r="C2033" t="s">
        <v>72</v>
      </c>
      <c r="D2033" t="s">
        <v>1580</v>
      </c>
      <c r="E2033" t="s">
        <v>3724</v>
      </c>
      <c r="F2033" t="s">
        <v>2593</v>
      </c>
      <c r="G2033" t="s">
        <v>2614</v>
      </c>
      <c r="H2033" t="s">
        <v>2618</v>
      </c>
      <c r="I2033">
        <v>0</v>
      </c>
      <c r="J2033">
        <v>358</v>
      </c>
      <c r="K2033" t="s">
        <v>56</v>
      </c>
      <c r="L2033" t="s">
        <v>20</v>
      </c>
    </row>
    <row r="2034" spans="1:12" x14ac:dyDescent="0.25">
      <c r="A2034">
        <v>101172</v>
      </c>
      <c r="B2034" t="s">
        <v>553</v>
      </c>
      <c r="C2034" t="s">
        <v>72</v>
      </c>
      <c r="D2034" t="s">
        <v>1347</v>
      </c>
      <c r="E2034" t="s">
        <v>2411</v>
      </c>
      <c r="F2034" t="s">
        <v>2616</v>
      </c>
      <c r="G2034" t="s">
        <v>2617</v>
      </c>
      <c r="H2034" t="s">
        <v>42</v>
      </c>
      <c r="I2034">
        <v>113</v>
      </c>
      <c r="J2034">
        <v>638</v>
      </c>
      <c r="K2034" t="s">
        <v>32</v>
      </c>
      <c r="L2034" t="s">
        <v>26</v>
      </c>
    </row>
    <row r="2035" spans="1:12" x14ac:dyDescent="0.25">
      <c r="A2035">
        <v>100252</v>
      </c>
      <c r="B2035" t="s">
        <v>210</v>
      </c>
      <c r="C2035" t="s">
        <v>95</v>
      </c>
      <c r="D2035" t="s">
        <v>2412</v>
      </c>
      <c r="E2035" t="s">
        <v>2413</v>
      </c>
      <c r="F2035" t="s">
        <v>2590</v>
      </c>
      <c r="G2035" t="s">
        <v>2607</v>
      </c>
      <c r="H2035" t="s">
        <v>2620</v>
      </c>
      <c r="I2035">
        <v>0</v>
      </c>
      <c r="J2035">
        <v>369</v>
      </c>
      <c r="K2035" t="s">
        <v>45</v>
      </c>
      <c r="L2035" t="s">
        <v>26</v>
      </c>
    </row>
    <row r="2036" spans="1:12" x14ac:dyDescent="0.25">
      <c r="A2036">
        <v>100476</v>
      </c>
      <c r="B2036" t="s">
        <v>621</v>
      </c>
      <c r="C2036" t="s">
        <v>72</v>
      </c>
      <c r="D2036" t="s">
        <v>2414</v>
      </c>
      <c r="E2036" t="s">
        <v>3725</v>
      </c>
      <c r="F2036" t="s">
        <v>2646</v>
      </c>
      <c r="G2036" t="s">
        <v>2600</v>
      </c>
      <c r="H2036" t="s">
        <v>42</v>
      </c>
      <c r="I2036">
        <v>47</v>
      </c>
      <c r="J2036">
        <v>377</v>
      </c>
      <c r="K2036" t="s">
        <v>19</v>
      </c>
      <c r="L2036" t="s">
        <v>2582</v>
      </c>
    </row>
    <row r="2037" spans="1:12" x14ac:dyDescent="0.25">
      <c r="A2037">
        <v>101500</v>
      </c>
      <c r="B2037" t="s">
        <v>396</v>
      </c>
      <c r="C2037" t="s">
        <v>103</v>
      </c>
      <c r="D2037" t="s">
        <v>1062</v>
      </c>
      <c r="E2037" t="s">
        <v>2988</v>
      </c>
      <c r="F2037" t="s">
        <v>30</v>
      </c>
      <c r="G2037" t="s">
        <v>2600</v>
      </c>
      <c r="H2037" t="s">
        <v>83</v>
      </c>
      <c r="I2037">
        <v>0</v>
      </c>
      <c r="J2037">
        <v>437</v>
      </c>
      <c r="K2037" t="s">
        <v>19</v>
      </c>
      <c r="L2037" t="s">
        <v>20</v>
      </c>
    </row>
    <row r="2038" spans="1:12" x14ac:dyDescent="0.25">
      <c r="A2038">
        <v>100213</v>
      </c>
      <c r="B2038" t="s">
        <v>186</v>
      </c>
      <c r="C2038" t="s">
        <v>187</v>
      </c>
      <c r="D2038" t="s">
        <v>1336</v>
      </c>
      <c r="E2038" t="s">
        <v>3726</v>
      </c>
      <c r="F2038" t="s">
        <v>2613</v>
      </c>
      <c r="G2038" t="s">
        <v>81</v>
      </c>
      <c r="H2038" t="s">
        <v>2644</v>
      </c>
      <c r="I2038">
        <v>0</v>
      </c>
      <c r="J2038">
        <v>709</v>
      </c>
      <c r="K2038" t="s">
        <v>19</v>
      </c>
      <c r="L2038" t="s">
        <v>26</v>
      </c>
    </row>
    <row r="2039" spans="1:12" x14ac:dyDescent="0.25">
      <c r="A2039">
        <v>101465</v>
      </c>
      <c r="B2039" t="s">
        <v>282</v>
      </c>
      <c r="C2039" t="s">
        <v>152</v>
      </c>
      <c r="D2039" t="s">
        <v>2415</v>
      </c>
      <c r="E2039" t="s">
        <v>3727</v>
      </c>
      <c r="F2039" t="s">
        <v>2598</v>
      </c>
      <c r="G2039" t="s">
        <v>2635</v>
      </c>
      <c r="H2039" t="s">
        <v>42</v>
      </c>
      <c r="I2039">
        <v>96</v>
      </c>
      <c r="J2039">
        <v>301</v>
      </c>
      <c r="K2039" t="s">
        <v>37</v>
      </c>
      <c r="L2039" t="s">
        <v>2588</v>
      </c>
    </row>
    <row r="2040" spans="1:12" x14ac:dyDescent="0.25">
      <c r="A2040">
        <v>100903</v>
      </c>
      <c r="B2040" t="s">
        <v>1663</v>
      </c>
      <c r="C2040" t="s">
        <v>100</v>
      </c>
      <c r="D2040" t="s">
        <v>2416</v>
      </c>
      <c r="E2040" t="s">
        <v>2417</v>
      </c>
      <c r="F2040" t="s">
        <v>2613</v>
      </c>
      <c r="G2040" t="s">
        <v>60</v>
      </c>
      <c r="H2040" t="s">
        <v>2581</v>
      </c>
      <c r="I2040">
        <v>0</v>
      </c>
      <c r="J2040">
        <v>452</v>
      </c>
      <c r="K2040" t="s">
        <v>32</v>
      </c>
      <c r="L2040" t="s">
        <v>2582</v>
      </c>
    </row>
    <row r="2041" spans="1:12" x14ac:dyDescent="0.25">
      <c r="A2041">
        <v>101589</v>
      </c>
      <c r="B2041" t="s">
        <v>684</v>
      </c>
      <c r="C2041" t="s">
        <v>149</v>
      </c>
      <c r="D2041" t="s">
        <v>685</v>
      </c>
      <c r="E2041" t="s">
        <v>686</v>
      </c>
      <c r="F2041" t="s">
        <v>41</v>
      </c>
      <c r="G2041" t="s">
        <v>2617</v>
      </c>
      <c r="H2041" t="s">
        <v>18</v>
      </c>
      <c r="I2041">
        <v>0</v>
      </c>
      <c r="J2041">
        <v>494</v>
      </c>
      <c r="K2041" t="s">
        <v>56</v>
      </c>
      <c r="L2041" t="s">
        <v>26</v>
      </c>
    </row>
    <row r="2042" spans="1:12" x14ac:dyDescent="0.25">
      <c r="A2042">
        <v>102025</v>
      </c>
      <c r="B2042" t="s">
        <v>444</v>
      </c>
      <c r="C2042" t="s">
        <v>52</v>
      </c>
      <c r="D2042" t="s">
        <v>694</v>
      </c>
      <c r="E2042" t="s">
        <v>3728</v>
      </c>
      <c r="F2042" t="s">
        <v>64</v>
      </c>
      <c r="G2042" t="s">
        <v>2635</v>
      </c>
      <c r="H2042" t="s">
        <v>25</v>
      </c>
      <c r="I2042">
        <v>26</v>
      </c>
      <c r="J2042">
        <v>688</v>
      </c>
      <c r="K2042" t="s">
        <v>56</v>
      </c>
      <c r="L2042" t="s">
        <v>2582</v>
      </c>
    </row>
    <row r="2043" spans="1:12" x14ac:dyDescent="0.25">
      <c r="A2043">
        <v>100331</v>
      </c>
      <c r="B2043" t="s">
        <v>431</v>
      </c>
      <c r="C2043" t="s">
        <v>28</v>
      </c>
      <c r="E2043" t="s">
        <v>2418</v>
      </c>
      <c r="F2043" t="s">
        <v>2608</v>
      </c>
      <c r="G2043" t="s">
        <v>2633</v>
      </c>
      <c r="H2043" t="s">
        <v>2581</v>
      </c>
      <c r="I2043">
        <v>0</v>
      </c>
      <c r="J2043">
        <v>691</v>
      </c>
      <c r="K2043" t="s">
        <v>37</v>
      </c>
      <c r="L2043" t="s">
        <v>2588</v>
      </c>
    </row>
    <row r="2044" spans="1:12" x14ac:dyDescent="0.25">
      <c r="A2044">
        <v>100433</v>
      </c>
      <c r="B2044" t="s">
        <v>545</v>
      </c>
      <c r="C2044" t="s">
        <v>126</v>
      </c>
      <c r="D2044" t="s">
        <v>1465</v>
      </c>
      <c r="E2044" t="s">
        <v>3729</v>
      </c>
      <c r="F2044" t="s">
        <v>2590</v>
      </c>
      <c r="G2044" t="s">
        <v>2607</v>
      </c>
      <c r="H2044" t="s">
        <v>2581</v>
      </c>
      <c r="I2044">
        <v>0</v>
      </c>
      <c r="J2044">
        <v>494</v>
      </c>
      <c r="K2044" t="s">
        <v>19</v>
      </c>
      <c r="L2044" t="s">
        <v>2588</v>
      </c>
    </row>
    <row r="2045" spans="1:12" x14ac:dyDescent="0.25">
      <c r="A2045">
        <v>100277</v>
      </c>
      <c r="B2045" t="s">
        <v>160</v>
      </c>
      <c r="C2045" t="s">
        <v>72</v>
      </c>
      <c r="D2045" t="s">
        <v>883</v>
      </c>
      <c r="E2045" t="s">
        <v>3730</v>
      </c>
      <c r="F2045" t="s">
        <v>2593</v>
      </c>
      <c r="G2045" t="s">
        <v>31</v>
      </c>
      <c r="H2045" t="s">
        <v>2581</v>
      </c>
      <c r="I2045">
        <v>0</v>
      </c>
      <c r="J2045">
        <v>585</v>
      </c>
      <c r="K2045" t="s">
        <v>19</v>
      </c>
      <c r="L2045" t="s">
        <v>20</v>
      </c>
    </row>
    <row r="2046" spans="1:12" x14ac:dyDescent="0.25">
      <c r="A2046">
        <v>100506</v>
      </c>
      <c r="B2046" t="s">
        <v>347</v>
      </c>
      <c r="C2046" t="s">
        <v>95</v>
      </c>
      <c r="D2046" t="s">
        <v>290</v>
      </c>
      <c r="E2046" t="s">
        <v>2419</v>
      </c>
      <c r="F2046" t="s">
        <v>2608</v>
      </c>
      <c r="G2046" t="s">
        <v>2580</v>
      </c>
      <c r="H2046" t="s">
        <v>2618</v>
      </c>
      <c r="J2046">
        <v>699</v>
      </c>
      <c r="K2046" t="s">
        <v>37</v>
      </c>
      <c r="L2046" t="s">
        <v>20</v>
      </c>
    </row>
    <row r="2047" spans="1:12" x14ac:dyDescent="0.25">
      <c r="A2047">
        <v>101336</v>
      </c>
      <c r="B2047" t="s">
        <v>164</v>
      </c>
      <c r="C2047" t="s">
        <v>126</v>
      </c>
      <c r="D2047" t="s">
        <v>1433</v>
      </c>
      <c r="E2047" t="s">
        <v>2420</v>
      </c>
      <c r="F2047" t="s">
        <v>2608</v>
      </c>
      <c r="G2047" t="s">
        <v>2607</v>
      </c>
      <c r="H2047" t="s">
        <v>2585</v>
      </c>
      <c r="I2047">
        <v>3</v>
      </c>
      <c r="J2047">
        <v>722</v>
      </c>
      <c r="K2047" t="s">
        <v>56</v>
      </c>
      <c r="L2047" t="s">
        <v>2582</v>
      </c>
    </row>
    <row r="2048" spans="1:12" x14ac:dyDescent="0.25">
      <c r="A2048">
        <v>101285</v>
      </c>
      <c r="B2048" t="s">
        <v>576</v>
      </c>
      <c r="C2048" t="s">
        <v>22</v>
      </c>
      <c r="D2048" t="s">
        <v>263</v>
      </c>
      <c r="E2048" t="s">
        <v>3731</v>
      </c>
      <c r="F2048" t="s">
        <v>2608</v>
      </c>
      <c r="G2048" t="s">
        <v>60</v>
      </c>
      <c r="H2048" t="s">
        <v>2585</v>
      </c>
      <c r="I2048">
        <v>5</v>
      </c>
      <c r="J2048">
        <v>418</v>
      </c>
      <c r="K2048" t="s">
        <v>56</v>
      </c>
      <c r="L2048" t="s">
        <v>2582</v>
      </c>
    </row>
    <row r="2049" spans="1:12" x14ac:dyDescent="0.25">
      <c r="A2049">
        <v>100292</v>
      </c>
      <c r="B2049" t="s">
        <v>364</v>
      </c>
      <c r="C2049" t="s">
        <v>103</v>
      </c>
      <c r="D2049" t="s">
        <v>1090</v>
      </c>
      <c r="E2049" t="s">
        <v>3732</v>
      </c>
      <c r="F2049" t="s">
        <v>2616</v>
      </c>
      <c r="G2049" t="s">
        <v>2625</v>
      </c>
      <c r="H2049" t="s">
        <v>2587</v>
      </c>
      <c r="I2049">
        <v>0</v>
      </c>
      <c r="J2049">
        <v>351</v>
      </c>
      <c r="K2049" t="s">
        <v>19</v>
      </c>
      <c r="L2049" t="s">
        <v>20</v>
      </c>
    </row>
    <row r="2050" spans="1:12" x14ac:dyDescent="0.25">
      <c r="A2050">
        <v>100902</v>
      </c>
      <c r="B2050" t="s">
        <v>504</v>
      </c>
      <c r="C2050" t="s">
        <v>187</v>
      </c>
      <c r="D2050" t="s">
        <v>1341</v>
      </c>
      <c r="E2050" t="s">
        <v>3733</v>
      </c>
      <c r="F2050" t="s">
        <v>2641</v>
      </c>
      <c r="G2050" t="s">
        <v>2635</v>
      </c>
      <c r="H2050" t="s">
        <v>2620</v>
      </c>
      <c r="I2050">
        <v>0</v>
      </c>
      <c r="J2050">
        <v>494</v>
      </c>
      <c r="K2050" t="s">
        <v>45</v>
      </c>
      <c r="L2050" t="s">
        <v>20</v>
      </c>
    </row>
    <row r="2051" spans="1:12" x14ac:dyDescent="0.25">
      <c r="A2051">
        <v>100449</v>
      </c>
      <c r="B2051" t="s">
        <v>167</v>
      </c>
      <c r="C2051" t="s">
        <v>168</v>
      </c>
      <c r="D2051" t="s">
        <v>1395</v>
      </c>
      <c r="E2051" t="s">
        <v>3734</v>
      </c>
      <c r="F2051" t="s">
        <v>30</v>
      </c>
      <c r="G2051" t="s">
        <v>2617</v>
      </c>
      <c r="H2051" t="s">
        <v>2585</v>
      </c>
      <c r="I2051">
        <v>3</v>
      </c>
      <c r="J2051">
        <v>658</v>
      </c>
      <c r="K2051" t="s">
        <v>32</v>
      </c>
      <c r="L2051" t="s">
        <v>2588</v>
      </c>
    </row>
    <row r="2052" spans="1:12" x14ac:dyDescent="0.25">
      <c r="A2052">
        <v>101410</v>
      </c>
      <c r="B2052" t="s">
        <v>102</v>
      </c>
      <c r="C2052" t="s">
        <v>103</v>
      </c>
      <c r="D2052" t="s">
        <v>647</v>
      </c>
      <c r="E2052" t="s">
        <v>3735</v>
      </c>
      <c r="F2052" t="s">
        <v>2598</v>
      </c>
      <c r="G2052" t="s">
        <v>2596</v>
      </c>
      <c r="H2052" t="s">
        <v>83</v>
      </c>
      <c r="I2052">
        <v>0</v>
      </c>
      <c r="J2052">
        <v>733</v>
      </c>
      <c r="K2052" t="s">
        <v>32</v>
      </c>
      <c r="L2052" t="s">
        <v>2582</v>
      </c>
    </row>
    <row r="2053" spans="1:12" x14ac:dyDescent="0.25">
      <c r="A2053">
        <v>100990</v>
      </c>
      <c r="B2053" t="s">
        <v>138</v>
      </c>
      <c r="C2053" t="s">
        <v>2699</v>
      </c>
      <c r="D2053" t="s">
        <v>2421</v>
      </c>
      <c r="E2053" t="s">
        <v>2422</v>
      </c>
      <c r="F2053" t="s">
        <v>2593</v>
      </c>
      <c r="G2053" t="s">
        <v>60</v>
      </c>
      <c r="H2053" t="s">
        <v>2620</v>
      </c>
      <c r="I2053">
        <v>0</v>
      </c>
      <c r="J2053">
        <v>623</v>
      </c>
      <c r="K2053" t="s">
        <v>19</v>
      </c>
      <c r="L2053" t="s">
        <v>2582</v>
      </c>
    </row>
    <row r="2054" spans="1:12" x14ac:dyDescent="0.25">
      <c r="A2054">
        <v>100304</v>
      </c>
      <c r="B2054" t="s">
        <v>619</v>
      </c>
      <c r="C2054" t="s">
        <v>244</v>
      </c>
      <c r="D2054" t="s">
        <v>700</v>
      </c>
      <c r="E2054" t="s">
        <v>3736</v>
      </c>
      <c r="F2054" t="s">
        <v>2583</v>
      </c>
      <c r="G2054" t="s">
        <v>2631</v>
      </c>
      <c r="H2054" t="s">
        <v>2594</v>
      </c>
      <c r="I2054">
        <v>136</v>
      </c>
      <c r="J2054">
        <v>351</v>
      </c>
      <c r="K2054" t="s">
        <v>56</v>
      </c>
      <c r="L2054" t="s">
        <v>2588</v>
      </c>
    </row>
    <row r="2055" spans="1:12" x14ac:dyDescent="0.25">
      <c r="A2055">
        <v>102105</v>
      </c>
      <c r="B2055" t="s">
        <v>141</v>
      </c>
      <c r="C2055" t="s">
        <v>142</v>
      </c>
      <c r="D2055" t="s">
        <v>1835</v>
      </c>
      <c r="E2055" t="s">
        <v>3737</v>
      </c>
      <c r="F2055" t="s">
        <v>2590</v>
      </c>
      <c r="G2055" t="s">
        <v>31</v>
      </c>
      <c r="H2055" t="s">
        <v>2594</v>
      </c>
      <c r="I2055">
        <v>126</v>
      </c>
      <c r="J2055">
        <v>430</v>
      </c>
      <c r="K2055" t="s">
        <v>56</v>
      </c>
      <c r="L2055" t="s">
        <v>26</v>
      </c>
    </row>
    <row r="2056" spans="1:12" x14ac:dyDescent="0.25">
      <c r="A2056">
        <v>102194</v>
      </c>
      <c r="B2056" t="s">
        <v>262</v>
      </c>
      <c r="C2056" t="s">
        <v>134</v>
      </c>
      <c r="D2056" t="s">
        <v>541</v>
      </c>
      <c r="E2056" t="s">
        <v>3738</v>
      </c>
      <c r="F2056" t="s">
        <v>2590</v>
      </c>
      <c r="G2056" t="s">
        <v>2611</v>
      </c>
      <c r="H2056" t="s">
        <v>2620</v>
      </c>
      <c r="I2056">
        <v>0</v>
      </c>
      <c r="J2056">
        <v>399</v>
      </c>
      <c r="K2056" t="s">
        <v>37</v>
      </c>
      <c r="L2056" t="s">
        <v>2582</v>
      </c>
    </row>
    <row r="2057" spans="1:12" x14ac:dyDescent="0.25">
      <c r="A2057">
        <v>101997</v>
      </c>
      <c r="B2057" t="s">
        <v>109</v>
      </c>
      <c r="C2057" t="s">
        <v>110</v>
      </c>
      <c r="D2057" t="s">
        <v>2423</v>
      </c>
      <c r="E2057" t="s">
        <v>2424</v>
      </c>
      <c r="F2057" t="s">
        <v>2641</v>
      </c>
      <c r="G2057" t="s">
        <v>31</v>
      </c>
      <c r="H2057" t="s">
        <v>2587</v>
      </c>
      <c r="I2057">
        <v>0</v>
      </c>
      <c r="J2057">
        <v>591</v>
      </c>
      <c r="K2057" t="s">
        <v>19</v>
      </c>
      <c r="L2057" t="s">
        <v>26</v>
      </c>
    </row>
    <row r="2058" spans="1:12" x14ac:dyDescent="0.25">
      <c r="A2058">
        <v>101902</v>
      </c>
      <c r="B2058" t="s">
        <v>1663</v>
      </c>
      <c r="C2058" t="s">
        <v>2703</v>
      </c>
      <c r="D2058" t="s">
        <v>688</v>
      </c>
      <c r="E2058" t="s">
        <v>2425</v>
      </c>
      <c r="F2058" t="s">
        <v>2640</v>
      </c>
      <c r="G2058" t="s">
        <v>2625</v>
      </c>
      <c r="H2058" t="s">
        <v>2597</v>
      </c>
      <c r="I2058">
        <v>22</v>
      </c>
      <c r="J2058">
        <v>452</v>
      </c>
      <c r="K2058" t="s">
        <v>19</v>
      </c>
      <c r="L2058" t="s">
        <v>20</v>
      </c>
    </row>
    <row r="2059" spans="1:12" x14ac:dyDescent="0.25">
      <c r="A2059">
        <v>100325</v>
      </c>
      <c r="B2059" t="s">
        <v>294</v>
      </c>
      <c r="C2059" t="s">
        <v>100</v>
      </c>
      <c r="D2059" t="s">
        <v>1272</v>
      </c>
      <c r="E2059" t="s">
        <v>3739</v>
      </c>
      <c r="F2059" t="s">
        <v>2579</v>
      </c>
      <c r="G2059" t="s">
        <v>2682</v>
      </c>
      <c r="H2059" t="s">
        <v>2620</v>
      </c>
      <c r="I2059">
        <v>0</v>
      </c>
      <c r="J2059">
        <v>377</v>
      </c>
      <c r="K2059" t="s">
        <v>45</v>
      </c>
      <c r="L2059" t="s">
        <v>20</v>
      </c>
    </row>
    <row r="2060" spans="1:12" x14ac:dyDescent="0.25">
      <c r="A2060">
        <v>102177</v>
      </c>
      <c r="B2060" t="s">
        <v>840</v>
      </c>
      <c r="C2060" t="s">
        <v>187</v>
      </c>
      <c r="D2060" t="s">
        <v>397</v>
      </c>
      <c r="E2060" t="s">
        <v>2426</v>
      </c>
      <c r="F2060" t="s">
        <v>2654</v>
      </c>
      <c r="G2060" t="s">
        <v>2596</v>
      </c>
      <c r="H2060" t="s">
        <v>2618</v>
      </c>
      <c r="I2060">
        <v>0</v>
      </c>
      <c r="J2060">
        <v>519</v>
      </c>
      <c r="K2060" t="s">
        <v>37</v>
      </c>
      <c r="L2060" t="s">
        <v>2588</v>
      </c>
    </row>
    <row r="2061" spans="1:12" x14ac:dyDescent="0.25">
      <c r="A2061">
        <v>101434</v>
      </c>
      <c r="B2061" t="s">
        <v>481</v>
      </c>
      <c r="C2061" t="s">
        <v>168</v>
      </c>
      <c r="D2061" t="s">
        <v>1218</v>
      </c>
      <c r="E2061" t="s">
        <v>3740</v>
      </c>
      <c r="F2061" t="s">
        <v>2579</v>
      </c>
      <c r="G2061" t="s">
        <v>2617</v>
      </c>
      <c r="H2061" t="s">
        <v>2618</v>
      </c>
      <c r="I2061">
        <v>0</v>
      </c>
      <c r="J2061">
        <v>548</v>
      </c>
      <c r="K2061" t="s">
        <v>56</v>
      </c>
      <c r="L2061" t="s">
        <v>26</v>
      </c>
    </row>
    <row r="2062" spans="1:12" x14ac:dyDescent="0.25">
      <c r="A2062">
        <v>101474</v>
      </c>
      <c r="B2062" t="s">
        <v>131</v>
      </c>
      <c r="C2062" t="s">
        <v>39</v>
      </c>
      <c r="D2062" t="s">
        <v>2427</v>
      </c>
      <c r="E2062" t="s">
        <v>3741</v>
      </c>
      <c r="F2062" t="s">
        <v>50</v>
      </c>
      <c r="G2062" t="s">
        <v>31</v>
      </c>
      <c r="H2062" t="s">
        <v>2644</v>
      </c>
      <c r="I2062">
        <v>0</v>
      </c>
      <c r="J2062">
        <v>867</v>
      </c>
      <c r="K2062" t="s">
        <v>56</v>
      </c>
      <c r="L2062" t="s">
        <v>26</v>
      </c>
    </row>
    <row r="2063" spans="1:12" x14ac:dyDescent="0.25">
      <c r="A2063">
        <v>100151</v>
      </c>
      <c r="B2063" t="s">
        <v>489</v>
      </c>
      <c r="C2063" t="s">
        <v>126</v>
      </c>
      <c r="D2063" t="s">
        <v>1810</v>
      </c>
      <c r="E2063" t="s">
        <v>2428</v>
      </c>
      <c r="F2063" t="s">
        <v>2640</v>
      </c>
      <c r="G2063" t="s">
        <v>55</v>
      </c>
      <c r="H2063" t="s">
        <v>2618</v>
      </c>
      <c r="I2063">
        <v>0</v>
      </c>
      <c r="J2063">
        <v>843</v>
      </c>
      <c r="K2063" t="s">
        <v>19</v>
      </c>
      <c r="L2063" t="s">
        <v>20</v>
      </c>
    </row>
    <row r="2064" spans="1:12" x14ac:dyDescent="0.25">
      <c r="A2064">
        <v>102191</v>
      </c>
      <c r="B2064" t="s">
        <v>99</v>
      </c>
      <c r="C2064" t="s">
        <v>100</v>
      </c>
      <c r="D2064" t="s">
        <v>1927</v>
      </c>
      <c r="E2064" t="s">
        <v>2429</v>
      </c>
      <c r="F2064" t="s">
        <v>2627</v>
      </c>
      <c r="G2064" t="s">
        <v>2596</v>
      </c>
      <c r="H2064" t="s">
        <v>2581</v>
      </c>
      <c r="I2064">
        <v>0</v>
      </c>
      <c r="J2064">
        <v>414</v>
      </c>
      <c r="K2064" t="s">
        <v>37</v>
      </c>
      <c r="L2064" t="s">
        <v>2588</v>
      </c>
    </row>
    <row r="2065" spans="1:12" x14ac:dyDescent="0.25">
      <c r="A2065">
        <v>101122</v>
      </c>
      <c r="B2065" t="s">
        <v>767</v>
      </c>
      <c r="D2065" t="s">
        <v>2430</v>
      </c>
      <c r="E2065" t="s">
        <v>3742</v>
      </c>
      <c r="F2065" t="s">
        <v>2604</v>
      </c>
      <c r="G2065" t="s">
        <v>2607</v>
      </c>
      <c r="H2065" t="s">
        <v>2644</v>
      </c>
      <c r="I2065">
        <v>0</v>
      </c>
      <c r="J2065">
        <v>543</v>
      </c>
      <c r="K2065" t="s">
        <v>32</v>
      </c>
      <c r="L2065" t="s">
        <v>2582</v>
      </c>
    </row>
    <row r="2066" spans="1:12" x14ac:dyDescent="0.25">
      <c r="A2066">
        <v>102085</v>
      </c>
      <c r="B2066" t="s">
        <v>1091</v>
      </c>
      <c r="C2066" t="s">
        <v>270</v>
      </c>
      <c r="D2066" t="s">
        <v>2431</v>
      </c>
      <c r="E2066" t="s">
        <v>3743</v>
      </c>
      <c r="F2066" t="s">
        <v>50</v>
      </c>
      <c r="G2066" t="s">
        <v>2599</v>
      </c>
      <c r="H2066" t="s">
        <v>2581</v>
      </c>
      <c r="I2066">
        <v>0</v>
      </c>
      <c r="J2066">
        <v>817</v>
      </c>
      <c r="K2066" t="s">
        <v>37</v>
      </c>
      <c r="L2066" t="s">
        <v>2582</v>
      </c>
    </row>
    <row r="2067" spans="1:12" x14ac:dyDescent="0.25">
      <c r="A2067">
        <v>101131</v>
      </c>
      <c r="B2067" t="s">
        <v>825</v>
      </c>
      <c r="C2067" t="s">
        <v>58</v>
      </c>
      <c r="D2067" t="s">
        <v>724</v>
      </c>
      <c r="E2067" t="s">
        <v>3744</v>
      </c>
      <c r="F2067" t="s">
        <v>2646</v>
      </c>
      <c r="G2067" t="s">
        <v>55</v>
      </c>
      <c r="H2067" t="s">
        <v>2581</v>
      </c>
      <c r="I2067">
        <v>0</v>
      </c>
      <c r="J2067">
        <v>636</v>
      </c>
      <c r="K2067" t="s">
        <v>19</v>
      </c>
      <c r="L2067" t="s">
        <v>26</v>
      </c>
    </row>
    <row r="2068" spans="1:12" x14ac:dyDescent="0.25">
      <c r="A2068">
        <v>102097</v>
      </c>
      <c r="B2068" t="s">
        <v>347</v>
      </c>
      <c r="C2068" t="s">
        <v>95</v>
      </c>
      <c r="D2068" t="s">
        <v>2432</v>
      </c>
      <c r="E2068" t="s">
        <v>3745</v>
      </c>
      <c r="F2068" t="s">
        <v>2608</v>
      </c>
      <c r="G2068" t="s">
        <v>2635</v>
      </c>
      <c r="H2068" t="s">
        <v>2585</v>
      </c>
      <c r="I2068">
        <v>22</v>
      </c>
      <c r="J2068">
        <v>699</v>
      </c>
      <c r="K2068" t="s">
        <v>32</v>
      </c>
      <c r="L2068" t="s">
        <v>2582</v>
      </c>
    </row>
    <row r="2069" spans="1:12" x14ac:dyDescent="0.25">
      <c r="A2069">
        <v>101049</v>
      </c>
      <c r="B2069" t="s">
        <v>742</v>
      </c>
      <c r="C2069" t="s">
        <v>100</v>
      </c>
      <c r="D2069" t="s">
        <v>2433</v>
      </c>
      <c r="E2069" t="s">
        <v>2434</v>
      </c>
      <c r="F2069" t="s">
        <v>2629</v>
      </c>
      <c r="G2069" t="s">
        <v>2625</v>
      </c>
      <c r="H2069" t="s">
        <v>2597</v>
      </c>
      <c r="I2069">
        <v>11</v>
      </c>
      <c r="J2069">
        <v>571</v>
      </c>
      <c r="K2069" t="s">
        <v>32</v>
      </c>
      <c r="L2069" t="s">
        <v>20</v>
      </c>
    </row>
    <row r="2070" spans="1:12" x14ac:dyDescent="0.25">
      <c r="A2070">
        <v>100812</v>
      </c>
      <c r="B2070" t="s">
        <v>68</v>
      </c>
      <c r="C2070" t="s">
        <v>52</v>
      </c>
      <c r="D2070" t="s">
        <v>1959</v>
      </c>
      <c r="E2070" t="s">
        <v>2435</v>
      </c>
      <c r="F2070" t="s">
        <v>2613</v>
      </c>
      <c r="G2070" t="s">
        <v>2617</v>
      </c>
      <c r="H2070" t="s">
        <v>2594</v>
      </c>
      <c r="I2070">
        <v>122</v>
      </c>
      <c r="J2070">
        <v>309</v>
      </c>
      <c r="K2070" t="s">
        <v>37</v>
      </c>
      <c r="L2070" t="s">
        <v>2582</v>
      </c>
    </row>
    <row r="2071" spans="1:12" x14ac:dyDescent="0.25">
      <c r="A2071">
        <v>101558</v>
      </c>
      <c r="B2071" t="s">
        <v>1059</v>
      </c>
      <c r="C2071" t="s">
        <v>149</v>
      </c>
      <c r="D2071" t="s">
        <v>40</v>
      </c>
      <c r="E2071" t="s">
        <v>2436</v>
      </c>
      <c r="F2071" t="s">
        <v>41</v>
      </c>
      <c r="G2071" t="s">
        <v>2609</v>
      </c>
      <c r="H2071" t="s">
        <v>2581</v>
      </c>
      <c r="I2071">
        <v>0</v>
      </c>
      <c r="J2071">
        <v>571</v>
      </c>
      <c r="K2071" t="s">
        <v>37</v>
      </c>
      <c r="L2071" t="s">
        <v>2582</v>
      </c>
    </row>
    <row r="2072" spans="1:12" x14ac:dyDescent="0.25">
      <c r="A2072">
        <v>101064</v>
      </c>
      <c r="B2072" t="s">
        <v>807</v>
      </c>
      <c r="C2072" t="s">
        <v>85</v>
      </c>
      <c r="D2072" t="s">
        <v>2437</v>
      </c>
      <c r="E2072" t="s">
        <v>3746</v>
      </c>
      <c r="F2072" t="s">
        <v>2593</v>
      </c>
      <c r="G2072" t="s">
        <v>2599</v>
      </c>
      <c r="H2072" t="s">
        <v>42</v>
      </c>
      <c r="I2072">
        <v>46</v>
      </c>
      <c r="J2072">
        <v>443</v>
      </c>
      <c r="K2072" t="s">
        <v>45</v>
      </c>
      <c r="L2072" t="s">
        <v>2582</v>
      </c>
    </row>
    <row r="2073" spans="1:12" x14ac:dyDescent="0.25">
      <c r="A2073">
        <v>100870</v>
      </c>
      <c r="B2073" t="s">
        <v>34</v>
      </c>
      <c r="C2073" t="s">
        <v>13</v>
      </c>
      <c r="D2073" t="s">
        <v>1418</v>
      </c>
      <c r="E2073" t="s">
        <v>2438</v>
      </c>
      <c r="F2073" t="s">
        <v>2598</v>
      </c>
      <c r="G2073" t="s">
        <v>2600</v>
      </c>
      <c r="H2073" t="s">
        <v>83</v>
      </c>
      <c r="I2073">
        <v>0</v>
      </c>
      <c r="J2073">
        <v>672</v>
      </c>
      <c r="K2073" t="s">
        <v>37</v>
      </c>
      <c r="L2073" t="s">
        <v>2588</v>
      </c>
    </row>
    <row r="2074" spans="1:12" x14ac:dyDescent="0.25">
      <c r="A2074">
        <v>100893</v>
      </c>
      <c r="B2074" t="s">
        <v>450</v>
      </c>
      <c r="C2074" t="s">
        <v>95</v>
      </c>
      <c r="D2074" t="s">
        <v>1411</v>
      </c>
      <c r="E2074" t="s">
        <v>3747</v>
      </c>
      <c r="F2074" t="s">
        <v>2598</v>
      </c>
      <c r="G2074" t="s">
        <v>2614</v>
      </c>
      <c r="H2074" t="s">
        <v>2618</v>
      </c>
      <c r="I2074">
        <v>0</v>
      </c>
      <c r="J2074">
        <v>890</v>
      </c>
      <c r="K2074" t="s">
        <v>56</v>
      </c>
      <c r="L2074" t="s">
        <v>20</v>
      </c>
    </row>
    <row r="2075" spans="1:12" x14ac:dyDescent="0.25">
      <c r="A2075">
        <v>101404</v>
      </c>
      <c r="B2075" t="s">
        <v>558</v>
      </c>
      <c r="C2075" t="s">
        <v>218</v>
      </c>
      <c r="D2075" t="s">
        <v>1316</v>
      </c>
      <c r="E2075" t="s">
        <v>2439</v>
      </c>
      <c r="F2075" t="s">
        <v>64</v>
      </c>
      <c r="G2075" t="s">
        <v>2631</v>
      </c>
      <c r="H2075" t="s">
        <v>2597</v>
      </c>
      <c r="I2075">
        <v>21</v>
      </c>
      <c r="J2075">
        <v>784</v>
      </c>
      <c r="K2075" t="s">
        <v>32</v>
      </c>
      <c r="L2075" t="s">
        <v>2588</v>
      </c>
    </row>
    <row r="2076" spans="1:12" x14ac:dyDescent="0.25">
      <c r="A2076">
        <v>101101</v>
      </c>
      <c r="B2076" t="s">
        <v>217</v>
      </c>
      <c r="C2076" t="s">
        <v>218</v>
      </c>
      <c r="D2076" t="s">
        <v>2347</v>
      </c>
      <c r="E2076" t="s">
        <v>3748</v>
      </c>
      <c r="F2076" t="s">
        <v>30</v>
      </c>
      <c r="G2076" t="s">
        <v>2635</v>
      </c>
      <c r="H2076" t="s">
        <v>2581</v>
      </c>
      <c r="I2076">
        <v>0</v>
      </c>
      <c r="J2076">
        <v>894</v>
      </c>
      <c r="K2076" t="s">
        <v>19</v>
      </c>
      <c r="L2076" t="s">
        <v>20</v>
      </c>
    </row>
    <row r="2077" spans="1:12" x14ac:dyDescent="0.25">
      <c r="A2077">
        <v>101316</v>
      </c>
      <c r="B2077" t="s">
        <v>1069</v>
      </c>
      <c r="C2077" t="s">
        <v>22</v>
      </c>
      <c r="D2077" t="s">
        <v>48</v>
      </c>
      <c r="E2077" t="s">
        <v>3749</v>
      </c>
      <c r="F2077" t="s">
        <v>2598</v>
      </c>
      <c r="G2077" t="s">
        <v>81</v>
      </c>
      <c r="H2077" t="s">
        <v>2587</v>
      </c>
      <c r="I2077">
        <v>0</v>
      </c>
      <c r="J2077">
        <v>607</v>
      </c>
      <c r="K2077" t="s">
        <v>19</v>
      </c>
      <c r="L2077" t="s">
        <v>20</v>
      </c>
    </row>
    <row r="2078" spans="1:12" x14ac:dyDescent="0.25">
      <c r="A2078">
        <v>101135</v>
      </c>
      <c r="B2078" t="s">
        <v>2124</v>
      </c>
      <c r="C2078" t="s">
        <v>134</v>
      </c>
      <c r="D2078" t="s">
        <v>2000</v>
      </c>
      <c r="E2078" t="s">
        <v>2440</v>
      </c>
      <c r="F2078" t="s">
        <v>2648</v>
      </c>
      <c r="G2078" t="s">
        <v>2652</v>
      </c>
      <c r="H2078" t="s">
        <v>18</v>
      </c>
      <c r="I2078">
        <v>0</v>
      </c>
      <c r="J2078">
        <v>340</v>
      </c>
      <c r="K2078" t="s">
        <v>56</v>
      </c>
      <c r="L2078" t="s">
        <v>26</v>
      </c>
    </row>
    <row r="2079" spans="1:12" x14ac:dyDescent="0.25">
      <c r="A2079">
        <v>101649</v>
      </c>
      <c r="B2079" t="s">
        <v>506</v>
      </c>
      <c r="C2079" t="s">
        <v>58</v>
      </c>
      <c r="D2079" t="s">
        <v>1787</v>
      </c>
      <c r="E2079" t="s">
        <v>2441</v>
      </c>
      <c r="F2079" t="s">
        <v>30</v>
      </c>
      <c r="G2079" t="s">
        <v>2611</v>
      </c>
      <c r="H2079" t="s">
        <v>2587</v>
      </c>
      <c r="I2079">
        <v>0</v>
      </c>
      <c r="J2079">
        <v>394</v>
      </c>
      <c r="K2079" t="s">
        <v>56</v>
      </c>
      <c r="L2079" t="s">
        <v>2582</v>
      </c>
    </row>
    <row r="2080" spans="1:12" x14ac:dyDescent="0.25">
      <c r="A2080">
        <v>101024</v>
      </c>
      <c r="B2080" t="s">
        <v>118</v>
      </c>
      <c r="C2080" t="s">
        <v>62</v>
      </c>
      <c r="D2080" t="s">
        <v>1047</v>
      </c>
      <c r="F2080" t="s">
        <v>2627</v>
      </c>
      <c r="G2080" t="s">
        <v>2609</v>
      </c>
      <c r="H2080" t="s">
        <v>2620</v>
      </c>
      <c r="I2080">
        <v>0</v>
      </c>
      <c r="J2080">
        <v>463</v>
      </c>
      <c r="K2080" t="s">
        <v>32</v>
      </c>
      <c r="L2080" t="s">
        <v>2582</v>
      </c>
    </row>
    <row r="2081" spans="1:12" x14ac:dyDescent="0.25">
      <c r="A2081">
        <v>100247</v>
      </c>
      <c r="B2081" t="s">
        <v>355</v>
      </c>
      <c r="C2081" t="s">
        <v>244</v>
      </c>
      <c r="D2081" t="s">
        <v>1098</v>
      </c>
      <c r="E2081" t="s">
        <v>3750</v>
      </c>
      <c r="F2081" t="s">
        <v>2593</v>
      </c>
      <c r="G2081" t="s">
        <v>60</v>
      </c>
      <c r="H2081" t="s">
        <v>2644</v>
      </c>
      <c r="I2081">
        <v>0</v>
      </c>
      <c r="J2081">
        <v>746</v>
      </c>
      <c r="K2081" t="s">
        <v>32</v>
      </c>
      <c r="L2081" t="s">
        <v>26</v>
      </c>
    </row>
    <row r="2082" spans="1:12" x14ac:dyDescent="0.25">
      <c r="A2082">
        <v>100146</v>
      </c>
      <c r="B2082" t="s">
        <v>1036</v>
      </c>
      <c r="C2082" t="s">
        <v>149</v>
      </c>
      <c r="D2082" t="s">
        <v>2442</v>
      </c>
      <c r="E2082" t="s">
        <v>3751</v>
      </c>
      <c r="F2082" t="s">
        <v>2643</v>
      </c>
      <c r="G2082" t="s">
        <v>2591</v>
      </c>
      <c r="H2082" t="s">
        <v>2587</v>
      </c>
      <c r="I2082">
        <v>0</v>
      </c>
      <c r="J2082">
        <v>358</v>
      </c>
      <c r="K2082" t="s">
        <v>45</v>
      </c>
      <c r="L2082" t="s">
        <v>20</v>
      </c>
    </row>
    <row r="2083" spans="1:12" x14ac:dyDescent="0.25">
      <c r="A2083">
        <v>100796</v>
      </c>
      <c r="B2083" t="s">
        <v>1059</v>
      </c>
      <c r="C2083" t="s">
        <v>149</v>
      </c>
      <c r="D2083" t="s">
        <v>2073</v>
      </c>
      <c r="E2083" t="s">
        <v>3752</v>
      </c>
      <c r="F2083" t="s">
        <v>2593</v>
      </c>
      <c r="G2083" t="s">
        <v>2617</v>
      </c>
      <c r="H2083" t="s">
        <v>2620</v>
      </c>
      <c r="I2083">
        <v>0</v>
      </c>
      <c r="J2083">
        <v>571</v>
      </c>
      <c r="K2083" t="s">
        <v>56</v>
      </c>
      <c r="L2083" t="s">
        <v>26</v>
      </c>
    </row>
    <row r="2084" spans="1:12" x14ac:dyDescent="0.25">
      <c r="A2084">
        <v>100590</v>
      </c>
      <c r="B2084" t="s">
        <v>621</v>
      </c>
      <c r="C2084" t="s">
        <v>72</v>
      </c>
      <c r="D2084" t="s">
        <v>1533</v>
      </c>
      <c r="E2084" t="s">
        <v>3753</v>
      </c>
      <c r="F2084" t="s">
        <v>50</v>
      </c>
      <c r="H2084" t="s">
        <v>2587</v>
      </c>
      <c r="I2084">
        <v>0</v>
      </c>
      <c r="J2084">
        <v>377</v>
      </c>
      <c r="K2084" t="s">
        <v>19</v>
      </c>
      <c r="L2084" t="s">
        <v>20</v>
      </c>
    </row>
    <row r="2085" spans="1:12" x14ac:dyDescent="0.25">
      <c r="A2085">
        <v>100074</v>
      </c>
      <c r="B2085" t="s">
        <v>460</v>
      </c>
      <c r="C2085" t="s">
        <v>95</v>
      </c>
      <c r="D2085" t="s">
        <v>1540</v>
      </c>
      <c r="E2085" t="s">
        <v>2443</v>
      </c>
      <c r="F2085" t="s">
        <v>2583</v>
      </c>
      <c r="G2085" t="s">
        <v>2596</v>
      </c>
      <c r="H2085" t="s">
        <v>2587</v>
      </c>
      <c r="I2085">
        <v>0</v>
      </c>
      <c r="J2085">
        <v>716</v>
      </c>
      <c r="K2085" t="s">
        <v>37</v>
      </c>
    </row>
    <row r="2086" spans="1:12" x14ac:dyDescent="0.25">
      <c r="A2086">
        <v>100461</v>
      </c>
      <c r="B2086" t="s">
        <v>438</v>
      </c>
      <c r="C2086" t="s">
        <v>95</v>
      </c>
      <c r="D2086" t="s">
        <v>795</v>
      </c>
      <c r="E2086" t="s">
        <v>3754</v>
      </c>
      <c r="F2086" t="s">
        <v>64</v>
      </c>
      <c r="G2086" t="s">
        <v>55</v>
      </c>
      <c r="H2086" t="s">
        <v>2644</v>
      </c>
      <c r="I2086">
        <v>0</v>
      </c>
      <c r="J2086">
        <v>858</v>
      </c>
      <c r="L2086" t="s">
        <v>2582</v>
      </c>
    </row>
    <row r="2087" spans="1:12" x14ac:dyDescent="0.25">
      <c r="A2087">
        <v>100487</v>
      </c>
      <c r="B2087" t="s">
        <v>1357</v>
      </c>
      <c r="C2087" t="s">
        <v>100</v>
      </c>
      <c r="D2087" t="s">
        <v>410</v>
      </c>
      <c r="F2087" t="s">
        <v>2593</v>
      </c>
      <c r="G2087" t="s">
        <v>2599</v>
      </c>
      <c r="H2087" t="s">
        <v>83</v>
      </c>
      <c r="I2087">
        <v>0</v>
      </c>
      <c r="J2087">
        <v>522</v>
      </c>
      <c r="K2087" t="s">
        <v>37</v>
      </c>
      <c r="L2087" t="s">
        <v>2588</v>
      </c>
    </row>
    <row r="2088" spans="1:12" x14ac:dyDescent="0.25">
      <c r="A2088">
        <v>100447</v>
      </c>
      <c r="B2088" t="s">
        <v>610</v>
      </c>
      <c r="C2088" t="s">
        <v>126</v>
      </c>
      <c r="D2088" t="s">
        <v>2444</v>
      </c>
      <c r="E2088" t="s">
        <v>3755</v>
      </c>
      <c r="F2088" t="s">
        <v>2613</v>
      </c>
      <c r="G2088" t="s">
        <v>31</v>
      </c>
      <c r="H2088" t="s">
        <v>2597</v>
      </c>
      <c r="I2088">
        <v>27</v>
      </c>
      <c r="J2088">
        <v>315</v>
      </c>
      <c r="K2088" t="s">
        <v>56</v>
      </c>
      <c r="L2088" t="s">
        <v>2588</v>
      </c>
    </row>
    <row r="2089" spans="1:12" x14ac:dyDescent="0.25">
      <c r="A2089">
        <v>101230</v>
      </c>
      <c r="B2089" t="s">
        <v>43</v>
      </c>
      <c r="C2089" t="s">
        <v>22</v>
      </c>
      <c r="D2089" t="s">
        <v>2445</v>
      </c>
      <c r="E2089" t="s">
        <v>2446</v>
      </c>
      <c r="F2089" t="s">
        <v>2598</v>
      </c>
      <c r="G2089" t="s">
        <v>2631</v>
      </c>
      <c r="H2089" t="s">
        <v>25</v>
      </c>
      <c r="I2089">
        <v>28</v>
      </c>
      <c r="J2089">
        <v>396</v>
      </c>
      <c r="K2089" t="s">
        <v>45</v>
      </c>
      <c r="L2089" t="s">
        <v>2582</v>
      </c>
    </row>
    <row r="2090" spans="1:12" x14ac:dyDescent="0.25">
      <c r="A2090">
        <v>100493</v>
      </c>
      <c r="B2090" t="s">
        <v>908</v>
      </c>
      <c r="C2090" t="s">
        <v>110</v>
      </c>
      <c r="D2090" t="s">
        <v>806</v>
      </c>
      <c r="E2090" t="s">
        <v>2447</v>
      </c>
      <c r="F2090" t="s">
        <v>2643</v>
      </c>
      <c r="G2090" t="s">
        <v>2633</v>
      </c>
      <c r="H2090" t="s">
        <v>2623</v>
      </c>
      <c r="I2090">
        <v>119</v>
      </c>
      <c r="J2090">
        <v>550</v>
      </c>
      <c r="K2090" t="s">
        <v>56</v>
      </c>
      <c r="L2090" t="s">
        <v>26</v>
      </c>
    </row>
    <row r="2091" spans="1:12" x14ac:dyDescent="0.25">
      <c r="A2091">
        <v>100171</v>
      </c>
      <c r="B2091" t="s">
        <v>75</v>
      </c>
      <c r="C2091" t="s">
        <v>39</v>
      </c>
      <c r="D2091" t="s">
        <v>348</v>
      </c>
      <c r="E2091" t="s">
        <v>3756</v>
      </c>
      <c r="F2091" t="s">
        <v>2613</v>
      </c>
      <c r="G2091" t="s">
        <v>2611</v>
      </c>
      <c r="H2091" t="s">
        <v>2620</v>
      </c>
      <c r="I2091">
        <v>0</v>
      </c>
      <c r="J2091">
        <v>554</v>
      </c>
      <c r="K2091" t="s">
        <v>56</v>
      </c>
      <c r="L2091" t="s">
        <v>2582</v>
      </c>
    </row>
    <row r="2092" spans="1:12" x14ac:dyDescent="0.25">
      <c r="A2092">
        <v>102190</v>
      </c>
      <c r="B2092" t="s">
        <v>21</v>
      </c>
      <c r="C2092" t="s">
        <v>22</v>
      </c>
      <c r="D2092" t="s">
        <v>2448</v>
      </c>
      <c r="E2092" t="s">
        <v>3757</v>
      </c>
      <c r="F2092" t="s">
        <v>2583</v>
      </c>
      <c r="G2092" t="s">
        <v>2602</v>
      </c>
      <c r="H2092" t="s">
        <v>2585</v>
      </c>
      <c r="I2092">
        <v>7</v>
      </c>
      <c r="J2092">
        <v>771</v>
      </c>
      <c r="K2092" t="s">
        <v>19</v>
      </c>
      <c r="L2092" t="s">
        <v>20</v>
      </c>
    </row>
    <row r="2093" spans="1:12" x14ac:dyDescent="0.25">
      <c r="A2093">
        <v>101266</v>
      </c>
      <c r="B2093" t="s">
        <v>425</v>
      </c>
      <c r="C2093" t="s">
        <v>149</v>
      </c>
      <c r="D2093" t="s">
        <v>2338</v>
      </c>
      <c r="E2093" t="s">
        <v>3758</v>
      </c>
      <c r="F2093" t="s">
        <v>2646</v>
      </c>
      <c r="G2093" t="s">
        <v>31</v>
      </c>
      <c r="H2093" t="s">
        <v>2618</v>
      </c>
      <c r="I2093">
        <v>0</v>
      </c>
      <c r="J2093">
        <v>720</v>
      </c>
      <c r="K2093" t="s">
        <v>56</v>
      </c>
      <c r="L2093" t="s">
        <v>20</v>
      </c>
    </row>
    <row r="2094" spans="1:12" x14ac:dyDescent="0.25">
      <c r="A2094">
        <v>101016</v>
      </c>
      <c r="B2094" t="s">
        <v>238</v>
      </c>
      <c r="C2094" t="s">
        <v>47</v>
      </c>
      <c r="D2094" t="s">
        <v>2449</v>
      </c>
      <c r="E2094" t="s">
        <v>2450</v>
      </c>
      <c r="F2094" t="s">
        <v>2613</v>
      </c>
      <c r="H2094" t="s">
        <v>2581</v>
      </c>
      <c r="I2094">
        <v>0</v>
      </c>
      <c r="J2094">
        <v>497</v>
      </c>
      <c r="K2094" t="s">
        <v>56</v>
      </c>
      <c r="L2094" t="s">
        <v>2582</v>
      </c>
    </row>
    <row r="2095" spans="1:12" x14ac:dyDescent="0.25">
      <c r="A2095">
        <v>100098</v>
      </c>
      <c r="B2095" t="s">
        <v>396</v>
      </c>
      <c r="C2095" t="s">
        <v>103</v>
      </c>
      <c r="D2095" t="s">
        <v>1093</v>
      </c>
      <c r="E2095" t="s">
        <v>3759</v>
      </c>
      <c r="F2095" t="s">
        <v>2583</v>
      </c>
      <c r="G2095" t="s">
        <v>2631</v>
      </c>
      <c r="H2095" t="s">
        <v>2581</v>
      </c>
      <c r="I2095">
        <v>0</v>
      </c>
      <c r="J2095">
        <v>437</v>
      </c>
      <c r="K2095" t="s">
        <v>32</v>
      </c>
      <c r="L2095" t="s">
        <v>2582</v>
      </c>
    </row>
    <row r="2096" spans="1:12" x14ac:dyDescent="0.25">
      <c r="A2096">
        <v>101218</v>
      </c>
      <c r="B2096" t="s">
        <v>278</v>
      </c>
      <c r="C2096" t="s">
        <v>62</v>
      </c>
      <c r="D2096" t="s">
        <v>1767</v>
      </c>
      <c r="E2096" t="s">
        <v>2451</v>
      </c>
      <c r="F2096" t="s">
        <v>2583</v>
      </c>
      <c r="G2096" t="s">
        <v>81</v>
      </c>
      <c r="H2096" t="s">
        <v>2618</v>
      </c>
      <c r="I2096">
        <v>0</v>
      </c>
      <c r="J2096">
        <v>713</v>
      </c>
      <c r="K2096" t="s">
        <v>32</v>
      </c>
      <c r="L2096" t="s">
        <v>2582</v>
      </c>
    </row>
    <row r="2097" spans="1:12" x14ac:dyDescent="0.25">
      <c r="A2097">
        <v>101773</v>
      </c>
      <c r="B2097" t="s">
        <v>779</v>
      </c>
      <c r="C2097" t="s">
        <v>39</v>
      </c>
      <c r="D2097" t="s">
        <v>544</v>
      </c>
      <c r="E2097" t="s">
        <v>3760</v>
      </c>
      <c r="F2097" t="s">
        <v>2640</v>
      </c>
      <c r="G2097" t="s">
        <v>2602</v>
      </c>
      <c r="H2097" t="s">
        <v>18</v>
      </c>
      <c r="I2097">
        <v>0</v>
      </c>
      <c r="J2097">
        <v>402</v>
      </c>
      <c r="K2097" t="s">
        <v>56</v>
      </c>
      <c r="L2097" t="s">
        <v>2588</v>
      </c>
    </row>
    <row r="2098" spans="1:12" x14ac:dyDescent="0.25">
      <c r="A2098">
        <v>101468</v>
      </c>
      <c r="B2098" t="s">
        <v>429</v>
      </c>
      <c r="C2098" t="s">
        <v>52</v>
      </c>
      <c r="D2098" t="s">
        <v>1782</v>
      </c>
      <c r="E2098" t="s">
        <v>3761</v>
      </c>
      <c r="F2098" t="s">
        <v>2627</v>
      </c>
      <c r="G2098" t="s">
        <v>81</v>
      </c>
      <c r="H2098" t="s">
        <v>2581</v>
      </c>
      <c r="I2098">
        <v>0</v>
      </c>
      <c r="J2098">
        <v>568</v>
      </c>
      <c r="K2098" t="s">
        <v>19</v>
      </c>
      <c r="L2098" t="s">
        <v>20</v>
      </c>
    </row>
    <row r="2099" spans="1:12" x14ac:dyDescent="0.25">
      <c r="A2099">
        <v>101750</v>
      </c>
      <c r="B2099" t="s">
        <v>1168</v>
      </c>
      <c r="C2099" t="s">
        <v>218</v>
      </c>
      <c r="D2099" t="s">
        <v>1856</v>
      </c>
      <c r="E2099" t="s">
        <v>3762</v>
      </c>
      <c r="F2099" t="s">
        <v>64</v>
      </c>
      <c r="G2099" t="s">
        <v>2614</v>
      </c>
      <c r="H2099" t="s">
        <v>18</v>
      </c>
      <c r="I2099">
        <v>0</v>
      </c>
      <c r="J2099">
        <v>606</v>
      </c>
      <c r="K2099" t="s">
        <v>19</v>
      </c>
      <c r="L2099" t="s">
        <v>2588</v>
      </c>
    </row>
    <row r="2100" spans="1:12" x14ac:dyDescent="0.25">
      <c r="A2100">
        <v>102153</v>
      </c>
      <c r="B2100" t="s">
        <v>282</v>
      </c>
      <c r="C2100" t="s">
        <v>2949</v>
      </c>
      <c r="D2100" t="s">
        <v>1992</v>
      </c>
      <c r="E2100" t="s">
        <v>2452</v>
      </c>
      <c r="F2100" t="s">
        <v>64</v>
      </c>
      <c r="G2100" t="s">
        <v>81</v>
      </c>
      <c r="H2100" t="s">
        <v>18</v>
      </c>
      <c r="I2100">
        <v>0</v>
      </c>
      <c r="J2100">
        <v>301</v>
      </c>
      <c r="K2100" t="s">
        <v>45</v>
      </c>
      <c r="L2100" t="s">
        <v>2582</v>
      </c>
    </row>
    <row r="2101" spans="1:12" x14ac:dyDescent="0.25">
      <c r="A2101">
        <v>101479</v>
      </c>
      <c r="B2101" t="s">
        <v>325</v>
      </c>
      <c r="C2101" t="s">
        <v>126</v>
      </c>
      <c r="D2101" t="s">
        <v>2369</v>
      </c>
      <c r="E2101" t="s">
        <v>3763</v>
      </c>
      <c r="F2101" t="s">
        <v>2640</v>
      </c>
      <c r="G2101" t="s">
        <v>2633</v>
      </c>
      <c r="H2101" t="s">
        <v>2618</v>
      </c>
      <c r="I2101">
        <v>0</v>
      </c>
      <c r="J2101">
        <v>570</v>
      </c>
      <c r="K2101" t="s">
        <v>37</v>
      </c>
      <c r="L2101" t="s">
        <v>2588</v>
      </c>
    </row>
    <row r="2102" spans="1:12" x14ac:dyDescent="0.25">
      <c r="A2102">
        <v>101891</v>
      </c>
      <c r="B2102" t="s">
        <v>738</v>
      </c>
      <c r="C2102" t="s">
        <v>100</v>
      </c>
      <c r="D2102" t="s">
        <v>817</v>
      </c>
      <c r="E2102" t="s">
        <v>3764</v>
      </c>
      <c r="F2102" t="s">
        <v>2590</v>
      </c>
      <c r="G2102" t="s">
        <v>60</v>
      </c>
      <c r="H2102" t="s">
        <v>18</v>
      </c>
      <c r="I2102">
        <v>0</v>
      </c>
      <c r="J2102">
        <v>585</v>
      </c>
      <c r="K2102" t="s">
        <v>56</v>
      </c>
      <c r="L2102" t="s">
        <v>2588</v>
      </c>
    </row>
    <row r="2103" spans="1:12" x14ac:dyDescent="0.25">
      <c r="A2103">
        <v>100099</v>
      </c>
      <c r="B2103" t="s">
        <v>719</v>
      </c>
      <c r="C2103" t="s">
        <v>22</v>
      </c>
      <c r="D2103" t="s">
        <v>156</v>
      </c>
      <c r="E2103" t="s">
        <v>3765</v>
      </c>
      <c r="F2103" t="s">
        <v>2629</v>
      </c>
      <c r="G2103" t="s">
        <v>2584</v>
      </c>
      <c r="H2103" t="s">
        <v>2623</v>
      </c>
      <c r="I2103">
        <v>43</v>
      </c>
      <c r="J2103">
        <v>461</v>
      </c>
      <c r="K2103" t="s">
        <v>37</v>
      </c>
      <c r="L2103" t="s">
        <v>20</v>
      </c>
    </row>
    <row r="2104" spans="1:12" x14ac:dyDescent="0.25">
      <c r="A2104">
        <v>100348</v>
      </c>
      <c r="B2104" t="s">
        <v>444</v>
      </c>
      <c r="C2104" t="s">
        <v>52</v>
      </c>
      <c r="D2104" t="s">
        <v>2453</v>
      </c>
      <c r="E2104" t="s">
        <v>3766</v>
      </c>
      <c r="F2104" t="s">
        <v>50</v>
      </c>
      <c r="H2104" t="s">
        <v>25</v>
      </c>
      <c r="I2104">
        <v>21</v>
      </c>
      <c r="J2104">
        <v>688</v>
      </c>
      <c r="K2104" t="s">
        <v>56</v>
      </c>
      <c r="L2104" t="s">
        <v>2588</v>
      </c>
    </row>
    <row r="2105" spans="1:12" x14ac:dyDescent="0.25">
      <c r="A2105">
        <v>100602</v>
      </c>
      <c r="B2105" t="s">
        <v>402</v>
      </c>
      <c r="C2105" t="s">
        <v>95</v>
      </c>
      <c r="D2105" t="s">
        <v>495</v>
      </c>
      <c r="E2105" t="s">
        <v>3767</v>
      </c>
      <c r="F2105" t="s">
        <v>2640</v>
      </c>
      <c r="G2105" t="s">
        <v>31</v>
      </c>
      <c r="H2105" t="s">
        <v>2620</v>
      </c>
      <c r="I2105">
        <v>0</v>
      </c>
      <c r="J2105">
        <v>355</v>
      </c>
      <c r="K2105" t="s">
        <v>32</v>
      </c>
      <c r="L2105" t="s">
        <v>26</v>
      </c>
    </row>
    <row r="2106" spans="1:12" x14ac:dyDescent="0.25">
      <c r="A2106">
        <v>100396</v>
      </c>
      <c r="B2106" t="s">
        <v>599</v>
      </c>
      <c r="C2106" t="s">
        <v>52</v>
      </c>
      <c r="D2106" t="s">
        <v>1815</v>
      </c>
      <c r="E2106" t="s">
        <v>2454</v>
      </c>
      <c r="F2106" t="s">
        <v>2640</v>
      </c>
      <c r="G2106" t="s">
        <v>55</v>
      </c>
      <c r="H2106" t="s">
        <v>2581</v>
      </c>
      <c r="I2106">
        <v>0</v>
      </c>
      <c r="J2106">
        <v>552</v>
      </c>
      <c r="K2106" t="s">
        <v>45</v>
      </c>
      <c r="L2106" t="s">
        <v>26</v>
      </c>
    </row>
    <row r="2107" spans="1:12" x14ac:dyDescent="0.25">
      <c r="A2107">
        <v>100427</v>
      </c>
      <c r="B2107" t="s">
        <v>570</v>
      </c>
      <c r="C2107" t="s">
        <v>39</v>
      </c>
      <c r="D2107" t="s">
        <v>1374</v>
      </c>
      <c r="E2107" t="s">
        <v>2455</v>
      </c>
      <c r="F2107" t="s">
        <v>2640</v>
      </c>
      <c r="H2107" t="s">
        <v>83</v>
      </c>
      <c r="I2107">
        <v>0</v>
      </c>
      <c r="J2107">
        <v>371</v>
      </c>
      <c r="K2107" t="s">
        <v>19</v>
      </c>
      <c r="L2107" t="s">
        <v>20</v>
      </c>
    </row>
    <row r="2108" spans="1:12" x14ac:dyDescent="0.25">
      <c r="A2108">
        <v>100022</v>
      </c>
      <c r="B2108" t="s">
        <v>151</v>
      </c>
      <c r="C2108" t="s">
        <v>152</v>
      </c>
      <c r="D2108" t="s">
        <v>101</v>
      </c>
      <c r="E2108" t="s">
        <v>3768</v>
      </c>
      <c r="F2108" t="s">
        <v>30</v>
      </c>
      <c r="G2108" t="s">
        <v>2635</v>
      </c>
      <c r="H2108" t="s">
        <v>2587</v>
      </c>
      <c r="I2108">
        <v>0</v>
      </c>
      <c r="J2108">
        <v>534</v>
      </c>
      <c r="K2108" t="s">
        <v>45</v>
      </c>
      <c r="L2108" t="s">
        <v>2588</v>
      </c>
    </row>
    <row r="2109" spans="1:12" x14ac:dyDescent="0.25">
      <c r="A2109">
        <v>101584</v>
      </c>
      <c r="B2109" t="s">
        <v>342</v>
      </c>
      <c r="C2109" t="s">
        <v>110</v>
      </c>
      <c r="D2109" t="s">
        <v>1533</v>
      </c>
      <c r="E2109" t="s">
        <v>2456</v>
      </c>
      <c r="F2109" t="s">
        <v>2604</v>
      </c>
      <c r="G2109" t="s">
        <v>2609</v>
      </c>
      <c r="H2109" t="s">
        <v>42</v>
      </c>
      <c r="I2109">
        <v>97</v>
      </c>
      <c r="J2109">
        <v>659</v>
      </c>
      <c r="K2109" t="s">
        <v>37</v>
      </c>
      <c r="L2109" t="s">
        <v>2588</v>
      </c>
    </row>
    <row r="2110" spans="1:12" x14ac:dyDescent="0.25">
      <c r="A2110">
        <v>101039</v>
      </c>
      <c r="B2110" t="s">
        <v>847</v>
      </c>
      <c r="C2110" t="s">
        <v>22</v>
      </c>
      <c r="D2110" t="s">
        <v>1320</v>
      </c>
      <c r="E2110" t="s">
        <v>3769</v>
      </c>
      <c r="F2110" t="s">
        <v>2627</v>
      </c>
      <c r="G2110" t="s">
        <v>81</v>
      </c>
      <c r="H2110" t="s">
        <v>18</v>
      </c>
      <c r="I2110">
        <v>0</v>
      </c>
      <c r="J2110">
        <v>612</v>
      </c>
      <c r="K2110" t="s">
        <v>37</v>
      </c>
      <c r="L2110" t="s">
        <v>26</v>
      </c>
    </row>
    <row r="2111" spans="1:12" x14ac:dyDescent="0.25">
      <c r="A2111">
        <v>101865</v>
      </c>
      <c r="B2111" t="s">
        <v>118</v>
      </c>
      <c r="C2111" t="s">
        <v>62</v>
      </c>
      <c r="D2111" t="s">
        <v>1966</v>
      </c>
      <c r="E2111" t="s">
        <v>3770</v>
      </c>
      <c r="F2111" t="s">
        <v>2654</v>
      </c>
      <c r="G2111" t="s">
        <v>2633</v>
      </c>
      <c r="H2111" t="s">
        <v>2620</v>
      </c>
      <c r="I2111">
        <v>0</v>
      </c>
      <c r="J2111">
        <v>463</v>
      </c>
      <c r="K2111" t="s">
        <v>37</v>
      </c>
      <c r="L2111" t="s">
        <v>26</v>
      </c>
    </row>
    <row r="2112" spans="1:12" x14ac:dyDescent="0.25">
      <c r="A2112">
        <v>101145</v>
      </c>
      <c r="B2112" t="s">
        <v>129</v>
      </c>
      <c r="C2112" t="s">
        <v>13</v>
      </c>
      <c r="D2112" t="s">
        <v>2457</v>
      </c>
      <c r="E2112" t="s">
        <v>2458</v>
      </c>
      <c r="F2112" t="s">
        <v>2593</v>
      </c>
      <c r="H2112" t="s">
        <v>2587</v>
      </c>
      <c r="I2112">
        <v>0</v>
      </c>
      <c r="J2112">
        <v>336</v>
      </c>
      <c r="K2112" t="s">
        <v>56</v>
      </c>
      <c r="L2112" t="s">
        <v>26</v>
      </c>
    </row>
    <row r="2113" spans="1:12" x14ac:dyDescent="0.25">
      <c r="A2113">
        <v>100845</v>
      </c>
      <c r="B2113" t="s">
        <v>474</v>
      </c>
      <c r="C2113" t="s">
        <v>270</v>
      </c>
      <c r="D2113" t="s">
        <v>2459</v>
      </c>
      <c r="E2113" t="s">
        <v>2460</v>
      </c>
      <c r="F2113" t="s">
        <v>2598</v>
      </c>
      <c r="G2113" t="s">
        <v>55</v>
      </c>
      <c r="H2113" t="s">
        <v>2581</v>
      </c>
      <c r="I2113">
        <v>0</v>
      </c>
      <c r="J2113">
        <v>483</v>
      </c>
      <c r="K2113" t="s">
        <v>56</v>
      </c>
      <c r="L2113" t="s">
        <v>2588</v>
      </c>
    </row>
    <row r="2114" spans="1:12" x14ac:dyDescent="0.25">
      <c r="A2114">
        <v>101221</v>
      </c>
      <c r="B2114" t="s">
        <v>425</v>
      </c>
      <c r="C2114" t="s">
        <v>149</v>
      </c>
      <c r="D2114" t="s">
        <v>1031</v>
      </c>
      <c r="E2114" t="s">
        <v>3771</v>
      </c>
      <c r="F2114" t="s">
        <v>2640</v>
      </c>
      <c r="G2114" t="s">
        <v>2602</v>
      </c>
      <c r="H2114" t="s">
        <v>2630</v>
      </c>
      <c r="I2114">
        <v>12</v>
      </c>
      <c r="J2114">
        <v>720</v>
      </c>
      <c r="K2114" t="s">
        <v>19</v>
      </c>
      <c r="L2114" t="s">
        <v>2588</v>
      </c>
    </row>
    <row r="2115" spans="1:12" x14ac:dyDescent="0.25">
      <c r="A2115">
        <v>100251</v>
      </c>
      <c r="B2115" t="s">
        <v>832</v>
      </c>
      <c r="C2115" t="s">
        <v>134</v>
      </c>
      <c r="D2115" t="s">
        <v>2461</v>
      </c>
      <c r="E2115" t="s">
        <v>3772</v>
      </c>
      <c r="F2115" t="s">
        <v>2648</v>
      </c>
      <c r="G2115" t="s">
        <v>2658</v>
      </c>
      <c r="H2115" t="s">
        <v>2620</v>
      </c>
      <c r="I2115">
        <v>0</v>
      </c>
      <c r="J2115">
        <v>641</v>
      </c>
      <c r="K2115" t="s">
        <v>45</v>
      </c>
      <c r="L2115" t="s">
        <v>26</v>
      </c>
    </row>
    <row r="2116" spans="1:12" x14ac:dyDescent="0.25">
      <c r="A2116">
        <v>100740</v>
      </c>
      <c r="B2116" t="s">
        <v>805</v>
      </c>
      <c r="C2116" t="s">
        <v>62</v>
      </c>
      <c r="D2116" t="s">
        <v>2462</v>
      </c>
      <c r="E2116" t="s">
        <v>3773</v>
      </c>
      <c r="F2116" t="s">
        <v>2604</v>
      </c>
      <c r="G2116" t="s">
        <v>2600</v>
      </c>
      <c r="H2116" t="s">
        <v>2581</v>
      </c>
      <c r="I2116">
        <v>0</v>
      </c>
      <c r="J2116">
        <v>352</v>
      </c>
      <c r="K2116" t="s">
        <v>37</v>
      </c>
      <c r="L2116" t="s">
        <v>2582</v>
      </c>
    </row>
    <row r="2117" spans="1:12" x14ac:dyDescent="0.25">
      <c r="A2117">
        <v>100965</v>
      </c>
      <c r="B2117" t="s">
        <v>462</v>
      </c>
      <c r="C2117" t="s">
        <v>168</v>
      </c>
      <c r="D2117" t="s">
        <v>2463</v>
      </c>
      <c r="F2117" t="s">
        <v>41</v>
      </c>
      <c r="G2117" t="s">
        <v>2596</v>
      </c>
      <c r="H2117" t="s">
        <v>25</v>
      </c>
      <c r="I2117">
        <v>25</v>
      </c>
      <c r="J2117">
        <v>716</v>
      </c>
      <c r="K2117" t="s">
        <v>37</v>
      </c>
      <c r="L2117" t="s">
        <v>26</v>
      </c>
    </row>
    <row r="2118" spans="1:12" x14ac:dyDescent="0.25">
      <c r="A2118">
        <v>101670</v>
      </c>
      <c r="B2118" t="s">
        <v>537</v>
      </c>
      <c r="C2118" t="s">
        <v>187</v>
      </c>
      <c r="D2118" t="s">
        <v>1672</v>
      </c>
      <c r="E2118" t="s">
        <v>3774</v>
      </c>
      <c r="F2118" t="s">
        <v>2640</v>
      </c>
      <c r="G2118" t="s">
        <v>2614</v>
      </c>
      <c r="H2118" t="s">
        <v>18</v>
      </c>
      <c r="I2118">
        <v>0</v>
      </c>
      <c r="J2118">
        <v>874</v>
      </c>
      <c r="K2118" t="s">
        <v>19</v>
      </c>
      <c r="L2118" t="s">
        <v>26</v>
      </c>
    </row>
    <row r="2119" spans="1:12" x14ac:dyDescent="0.25">
      <c r="A2119">
        <v>101510</v>
      </c>
      <c r="B2119" t="s">
        <v>319</v>
      </c>
      <c r="C2119" t="s">
        <v>100</v>
      </c>
      <c r="D2119" t="s">
        <v>2464</v>
      </c>
      <c r="E2119" t="s">
        <v>3775</v>
      </c>
      <c r="F2119" t="s">
        <v>2608</v>
      </c>
      <c r="G2119" t="s">
        <v>2607</v>
      </c>
      <c r="H2119" t="s">
        <v>18</v>
      </c>
      <c r="I2119">
        <v>0</v>
      </c>
      <c r="J2119">
        <v>411</v>
      </c>
      <c r="K2119" t="s">
        <v>45</v>
      </c>
      <c r="L2119" t="s">
        <v>26</v>
      </c>
    </row>
    <row r="2120" spans="1:12" x14ac:dyDescent="0.25">
      <c r="A2120">
        <v>102125</v>
      </c>
      <c r="B2120" t="s">
        <v>136</v>
      </c>
      <c r="C2120" t="s">
        <v>58</v>
      </c>
      <c r="D2120" t="s">
        <v>2465</v>
      </c>
      <c r="E2120" t="s">
        <v>3776</v>
      </c>
      <c r="F2120" t="s">
        <v>2590</v>
      </c>
      <c r="G2120" t="s">
        <v>2607</v>
      </c>
      <c r="H2120" t="s">
        <v>2587</v>
      </c>
      <c r="J2120">
        <v>540</v>
      </c>
      <c r="K2120" t="s">
        <v>19</v>
      </c>
      <c r="L2120" t="s">
        <v>2588</v>
      </c>
    </row>
    <row r="2121" spans="1:12" x14ac:dyDescent="0.25">
      <c r="A2121">
        <v>101315</v>
      </c>
      <c r="B2121" t="s">
        <v>176</v>
      </c>
      <c r="C2121" t="s">
        <v>58</v>
      </c>
      <c r="D2121" t="s">
        <v>2466</v>
      </c>
      <c r="E2121" t="s">
        <v>2467</v>
      </c>
      <c r="F2121" t="s">
        <v>50</v>
      </c>
      <c r="G2121" t="s">
        <v>2617</v>
      </c>
      <c r="H2121" t="s">
        <v>42</v>
      </c>
      <c r="I2121">
        <v>39</v>
      </c>
      <c r="J2121">
        <v>528</v>
      </c>
      <c r="K2121" t="s">
        <v>19</v>
      </c>
      <c r="L2121" t="s">
        <v>26</v>
      </c>
    </row>
    <row r="2122" spans="1:12" x14ac:dyDescent="0.25">
      <c r="A2122">
        <v>101847</v>
      </c>
      <c r="B2122" t="s">
        <v>779</v>
      </c>
      <c r="C2122" t="s">
        <v>39</v>
      </c>
      <c r="D2122" t="s">
        <v>759</v>
      </c>
      <c r="E2122" t="s">
        <v>3777</v>
      </c>
      <c r="F2122" t="s">
        <v>2616</v>
      </c>
      <c r="G2122" t="s">
        <v>2635</v>
      </c>
      <c r="H2122" t="s">
        <v>2644</v>
      </c>
      <c r="I2122">
        <v>0</v>
      </c>
      <c r="J2122">
        <v>402</v>
      </c>
      <c r="K2122" t="s">
        <v>19</v>
      </c>
      <c r="L2122" t="s">
        <v>20</v>
      </c>
    </row>
    <row r="2123" spans="1:12" x14ac:dyDescent="0.25">
      <c r="A2123">
        <v>101183</v>
      </c>
      <c r="B2123" t="s">
        <v>2030</v>
      </c>
      <c r="C2123" t="s">
        <v>2655</v>
      </c>
      <c r="D2123" t="s">
        <v>1454</v>
      </c>
      <c r="E2123" t="s">
        <v>2468</v>
      </c>
      <c r="F2123" t="s">
        <v>2641</v>
      </c>
      <c r="G2123" t="s">
        <v>2633</v>
      </c>
      <c r="H2123" t="s">
        <v>2587</v>
      </c>
      <c r="I2123">
        <v>0</v>
      </c>
      <c r="J2123">
        <v>768</v>
      </c>
      <c r="K2123" t="s">
        <v>37</v>
      </c>
      <c r="L2123" t="s">
        <v>26</v>
      </c>
    </row>
    <row r="2124" spans="1:12" x14ac:dyDescent="0.25">
      <c r="A2124">
        <v>100244</v>
      </c>
      <c r="B2124" t="s">
        <v>667</v>
      </c>
      <c r="C2124" t="s">
        <v>122</v>
      </c>
      <c r="D2124" t="s">
        <v>363</v>
      </c>
      <c r="E2124" t="s">
        <v>2469</v>
      </c>
      <c r="F2124" t="s">
        <v>30</v>
      </c>
      <c r="G2124" t="s">
        <v>2652</v>
      </c>
      <c r="H2124" t="s">
        <v>18</v>
      </c>
      <c r="I2124">
        <v>0</v>
      </c>
      <c r="J2124">
        <v>896</v>
      </c>
      <c r="K2124" t="s">
        <v>45</v>
      </c>
    </row>
    <row r="2125" spans="1:12" x14ac:dyDescent="0.25">
      <c r="A2125">
        <v>100067</v>
      </c>
      <c r="B2125" t="s">
        <v>1163</v>
      </c>
      <c r="C2125" t="s">
        <v>13</v>
      </c>
      <c r="D2125" t="s">
        <v>1767</v>
      </c>
      <c r="E2125" t="s">
        <v>2470</v>
      </c>
      <c r="F2125" t="s">
        <v>2627</v>
      </c>
      <c r="G2125" t="s">
        <v>2591</v>
      </c>
      <c r="H2125" t="s">
        <v>25</v>
      </c>
      <c r="I2125">
        <v>12</v>
      </c>
      <c r="J2125">
        <v>850</v>
      </c>
      <c r="K2125" t="s">
        <v>37</v>
      </c>
      <c r="L2125" t="s">
        <v>26</v>
      </c>
    </row>
    <row r="2126" spans="1:12" x14ac:dyDescent="0.25">
      <c r="A2126">
        <v>100659</v>
      </c>
      <c r="B2126" t="s">
        <v>46</v>
      </c>
      <c r="C2126" t="s">
        <v>47</v>
      </c>
      <c r="D2126" t="s">
        <v>1107</v>
      </c>
      <c r="E2126" t="s">
        <v>3778</v>
      </c>
      <c r="F2126" t="s">
        <v>2604</v>
      </c>
      <c r="G2126" t="s">
        <v>2602</v>
      </c>
      <c r="H2126" t="s">
        <v>2581</v>
      </c>
      <c r="I2126">
        <v>0</v>
      </c>
      <c r="J2126">
        <v>615</v>
      </c>
      <c r="K2126" t="s">
        <v>19</v>
      </c>
      <c r="L2126" t="s">
        <v>2582</v>
      </c>
    </row>
    <row r="2127" spans="1:12" x14ac:dyDescent="0.25">
      <c r="A2127">
        <v>100934</v>
      </c>
      <c r="B2127" t="s">
        <v>390</v>
      </c>
      <c r="C2127" t="s">
        <v>110</v>
      </c>
      <c r="D2127" t="s">
        <v>2471</v>
      </c>
      <c r="E2127" t="s">
        <v>3779</v>
      </c>
      <c r="F2127" t="s">
        <v>2646</v>
      </c>
      <c r="G2127" t="s">
        <v>2602</v>
      </c>
      <c r="H2127" t="s">
        <v>2630</v>
      </c>
      <c r="I2127">
        <v>27</v>
      </c>
      <c r="J2127">
        <v>773</v>
      </c>
      <c r="K2127" t="s">
        <v>37</v>
      </c>
      <c r="L2127" t="s">
        <v>2588</v>
      </c>
    </row>
    <row r="2128" spans="1:12" x14ac:dyDescent="0.25">
      <c r="A2128">
        <v>101656</v>
      </c>
      <c r="B2128" t="s">
        <v>61</v>
      </c>
      <c r="C2128" t="s">
        <v>62</v>
      </c>
      <c r="D2128" t="s">
        <v>397</v>
      </c>
      <c r="E2128" t="s">
        <v>3780</v>
      </c>
      <c r="F2128" t="s">
        <v>2608</v>
      </c>
      <c r="G2128" t="s">
        <v>2631</v>
      </c>
      <c r="H2128" t="s">
        <v>2594</v>
      </c>
      <c r="I2128">
        <v>38</v>
      </c>
      <c r="J2128">
        <v>542</v>
      </c>
      <c r="K2128" t="s">
        <v>32</v>
      </c>
      <c r="L2128" t="s">
        <v>20</v>
      </c>
    </row>
    <row r="2129" spans="1:12" x14ac:dyDescent="0.25">
      <c r="A2129">
        <v>101529</v>
      </c>
      <c r="B2129" t="s">
        <v>489</v>
      </c>
      <c r="C2129" t="s">
        <v>126</v>
      </c>
      <c r="D2129" t="s">
        <v>2472</v>
      </c>
      <c r="E2129" t="s">
        <v>2473</v>
      </c>
      <c r="F2129" t="s">
        <v>2648</v>
      </c>
      <c r="G2129" t="s">
        <v>31</v>
      </c>
      <c r="H2129" t="s">
        <v>18</v>
      </c>
      <c r="I2129">
        <v>0</v>
      </c>
      <c r="J2129">
        <v>843</v>
      </c>
      <c r="K2129" t="s">
        <v>45</v>
      </c>
      <c r="L2129" t="s">
        <v>26</v>
      </c>
    </row>
    <row r="2130" spans="1:12" x14ac:dyDescent="0.25">
      <c r="A2130">
        <v>101497</v>
      </c>
      <c r="B2130" t="s">
        <v>443</v>
      </c>
      <c r="C2130" t="s">
        <v>72</v>
      </c>
      <c r="D2130" t="s">
        <v>888</v>
      </c>
      <c r="E2130" t="s">
        <v>3781</v>
      </c>
      <c r="F2130" t="s">
        <v>2593</v>
      </c>
      <c r="H2130" t="s">
        <v>2620</v>
      </c>
      <c r="I2130">
        <v>0</v>
      </c>
      <c r="J2130">
        <v>309</v>
      </c>
      <c r="K2130" t="s">
        <v>56</v>
      </c>
    </row>
    <row r="2131" spans="1:12" x14ac:dyDescent="0.25">
      <c r="A2131">
        <v>101197</v>
      </c>
      <c r="B2131" t="s">
        <v>234</v>
      </c>
      <c r="C2131" t="s">
        <v>2649</v>
      </c>
      <c r="D2131" t="s">
        <v>235</v>
      </c>
      <c r="E2131" t="s">
        <v>2675</v>
      </c>
      <c r="F2131" t="s">
        <v>2583</v>
      </c>
      <c r="G2131" t="s">
        <v>60</v>
      </c>
      <c r="H2131" t="s">
        <v>2581</v>
      </c>
      <c r="I2131">
        <v>0</v>
      </c>
      <c r="J2131">
        <v>494</v>
      </c>
      <c r="K2131" t="s">
        <v>19</v>
      </c>
      <c r="L2131" t="s">
        <v>2582</v>
      </c>
    </row>
    <row r="2132" spans="1:12" x14ac:dyDescent="0.25">
      <c r="A2132">
        <v>101345</v>
      </c>
      <c r="B2132" t="s">
        <v>443</v>
      </c>
      <c r="D2132" t="s">
        <v>2474</v>
      </c>
      <c r="E2132" t="s">
        <v>3782</v>
      </c>
      <c r="F2132" t="s">
        <v>64</v>
      </c>
      <c r="G2132" t="s">
        <v>2602</v>
      </c>
      <c r="H2132" t="s">
        <v>2585</v>
      </c>
      <c r="I2132">
        <v>22</v>
      </c>
      <c r="J2132">
        <v>309</v>
      </c>
      <c r="K2132" t="s">
        <v>45</v>
      </c>
      <c r="L2132" t="s">
        <v>26</v>
      </c>
    </row>
    <row r="2133" spans="1:12" x14ac:dyDescent="0.25">
      <c r="A2133">
        <v>101555</v>
      </c>
      <c r="B2133" t="s">
        <v>474</v>
      </c>
      <c r="C2133" t="s">
        <v>2691</v>
      </c>
      <c r="D2133" t="s">
        <v>2475</v>
      </c>
      <c r="E2133" t="s">
        <v>2476</v>
      </c>
      <c r="F2133" t="s">
        <v>2579</v>
      </c>
      <c r="G2133" t="s">
        <v>2611</v>
      </c>
      <c r="H2133" t="s">
        <v>2620</v>
      </c>
      <c r="I2133">
        <v>0</v>
      </c>
      <c r="J2133">
        <v>483</v>
      </c>
      <c r="K2133" t="s">
        <v>56</v>
      </c>
      <c r="L2133" t="s">
        <v>26</v>
      </c>
    </row>
    <row r="2134" spans="1:12" x14ac:dyDescent="0.25">
      <c r="A2134">
        <v>101433</v>
      </c>
      <c r="B2134" t="s">
        <v>297</v>
      </c>
      <c r="C2134" t="s">
        <v>72</v>
      </c>
      <c r="D2134" t="s">
        <v>1347</v>
      </c>
      <c r="E2134" t="s">
        <v>2477</v>
      </c>
      <c r="F2134" t="s">
        <v>41</v>
      </c>
      <c r="G2134" t="s">
        <v>2611</v>
      </c>
      <c r="H2134" t="s">
        <v>2620</v>
      </c>
      <c r="I2134">
        <v>0</v>
      </c>
      <c r="J2134">
        <v>878</v>
      </c>
      <c r="K2134" t="s">
        <v>45</v>
      </c>
      <c r="L2134" t="s">
        <v>2582</v>
      </c>
    </row>
    <row r="2135" spans="1:12" x14ac:dyDescent="0.25">
      <c r="A2135">
        <v>100362</v>
      </c>
      <c r="B2135" t="s">
        <v>1211</v>
      </c>
      <c r="D2135" t="s">
        <v>1763</v>
      </c>
      <c r="E2135" t="s">
        <v>2478</v>
      </c>
      <c r="F2135" t="s">
        <v>2598</v>
      </c>
      <c r="G2135" t="s">
        <v>2596</v>
      </c>
      <c r="H2135" t="s">
        <v>2620</v>
      </c>
      <c r="J2135">
        <v>741</v>
      </c>
      <c r="K2135" t="s">
        <v>37</v>
      </c>
      <c r="L2135" t="s">
        <v>20</v>
      </c>
    </row>
    <row r="2136" spans="1:12" x14ac:dyDescent="0.25">
      <c r="A2136">
        <v>101457</v>
      </c>
      <c r="B2136" t="s">
        <v>61</v>
      </c>
      <c r="C2136" t="s">
        <v>62</v>
      </c>
      <c r="D2136" t="s">
        <v>498</v>
      </c>
      <c r="E2136" t="s">
        <v>3783</v>
      </c>
      <c r="F2136" t="s">
        <v>2598</v>
      </c>
      <c r="G2136" t="s">
        <v>2607</v>
      </c>
      <c r="H2136" t="s">
        <v>2620</v>
      </c>
      <c r="I2136">
        <v>0</v>
      </c>
      <c r="J2136">
        <v>542</v>
      </c>
      <c r="K2136" t="s">
        <v>32</v>
      </c>
      <c r="L2136" t="s">
        <v>2582</v>
      </c>
    </row>
    <row r="2137" spans="1:12" x14ac:dyDescent="0.25">
      <c r="A2137">
        <v>100485</v>
      </c>
      <c r="B2137" t="s">
        <v>596</v>
      </c>
      <c r="C2137" t="s">
        <v>22</v>
      </c>
      <c r="D2137" t="s">
        <v>1658</v>
      </c>
      <c r="E2137" t="s">
        <v>3784</v>
      </c>
      <c r="F2137" t="s">
        <v>2579</v>
      </c>
      <c r="G2137" t="s">
        <v>2584</v>
      </c>
      <c r="H2137" t="s">
        <v>2587</v>
      </c>
      <c r="J2137">
        <v>603</v>
      </c>
      <c r="K2137" t="s">
        <v>32</v>
      </c>
      <c r="L2137" t="s">
        <v>20</v>
      </c>
    </row>
    <row r="2138" spans="1:12" x14ac:dyDescent="0.25">
      <c r="A2138">
        <v>101809</v>
      </c>
      <c r="B2138" t="s">
        <v>371</v>
      </c>
      <c r="C2138" t="s">
        <v>52</v>
      </c>
      <c r="D2138" t="s">
        <v>2479</v>
      </c>
      <c r="E2138" t="s">
        <v>3785</v>
      </c>
      <c r="F2138" t="s">
        <v>2593</v>
      </c>
      <c r="G2138" t="s">
        <v>2617</v>
      </c>
      <c r="H2138" t="s">
        <v>18</v>
      </c>
      <c r="I2138">
        <v>0</v>
      </c>
      <c r="J2138">
        <v>339</v>
      </c>
      <c r="K2138" t="s">
        <v>45</v>
      </c>
      <c r="L2138" t="s">
        <v>2582</v>
      </c>
    </row>
    <row r="2139" spans="1:12" x14ac:dyDescent="0.25">
      <c r="A2139">
        <v>101158</v>
      </c>
      <c r="B2139" t="s">
        <v>890</v>
      </c>
      <c r="C2139" t="s">
        <v>149</v>
      </c>
      <c r="D2139" t="s">
        <v>1047</v>
      </c>
      <c r="E2139" t="s">
        <v>2480</v>
      </c>
      <c r="F2139" t="s">
        <v>64</v>
      </c>
      <c r="G2139" t="s">
        <v>2625</v>
      </c>
      <c r="H2139" t="s">
        <v>42</v>
      </c>
      <c r="I2139">
        <v>63</v>
      </c>
      <c r="J2139">
        <v>733</v>
      </c>
      <c r="K2139" t="s">
        <v>19</v>
      </c>
      <c r="L2139" t="s">
        <v>20</v>
      </c>
    </row>
    <row r="2140" spans="1:12" x14ac:dyDescent="0.25">
      <c r="A2140">
        <v>102080</v>
      </c>
      <c r="B2140" t="s">
        <v>57</v>
      </c>
      <c r="C2140" t="s">
        <v>2728</v>
      </c>
      <c r="D2140" t="s">
        <v>2481</v>
      </c>
      <c r="E2140" t="s">
        <v>3786</v>
      </c>
      <c r="F2140" t="s">
        <v>2629</v>
      </c>
      <c r="H2140" t="s">
        <v>83</v>
      </c>
      <c r="I2140">
        <v>0</v>
      </c>
      <c r="J2140">
        <v>798</v>
      </c>
      <c r="K2140" t="s">
        <v>19</v>
      </c>
      <c r="L2140" t="s">
        <v>2582</v>
      </c>
    </row>
    <row r="2141" spans="1:12" x14ac:dyDescent="0.25">
      <c r="A2141">
        <v>100766</v>
      </c>
      <c r="B2141" t="s">
        <v>212</v>
      </c>
      <c r="C2141" t="s">
        <v>95</v>
      </c>
      <c r="D2141" t="s">
        <v>391</v>
      </c>
      <c r="E2141" t="s">
        <v>2482</v>
      </c>
      <c r="F2141" t="s">
        <v>41</v>
      </c>
      <c r="G2141" t="s">
        <v>2591</v>
      </c>
      <c r="H2141" t="s">
        <v>2620</v>
      </c>
      <c r="I2141">
        <v>0</v>
      </c>
      <c r="J2141">
        <v>662</v>
      </c>
      <c r="K2141" t="s">
        <v>56</v>
      </c>
      <c r="L2141" t="s">
        <v>2582</v>
      </c>
    </row>
    <row r="2142" spans="1:12" x14ac:dyDescent="0.25">
      <c r="A2142">
        <v>101807</v>
      </c>
      <c r="B2142" t="s">
        <v>1005</v>
      </c>
      <c r="C2142" t="s">
        <v>244</v>
      </c>
      <c r="D2142" t="s">
        <v>2202</v>
      </c>
      <c r="E2142" t="s">
        <v>2483</v>
      </c>
      <c r="F2142" t="s">
        <v>2640</v>
      </c>
      <c r="G2142" t="s">
        <v>2607</v>
      </c>
      <c r="H2142" t="s">
        <v>2644</v>
      </c>
      <c r="I2142">
        <v>0</v>
      </c>
      <c r="J2142">
        <v>370</v>
      </c>
      <c r="K2142" t="s">
        <v>37</v>
      </c>
      <c r="L2142" t="s">
        <v>20</v>
      </c>
    </row>
    <row r="2143" spans="1:12" x14ac:dyDescent="0.25">
      <c r="A2143">
        <v>101186</v>
      </c>
      <c r="B2143" t="s">
        <v>79</v>
      </c>
      <c r="C2143" t="s">
        <v>2696</v>
      </c>
      <c r="D2143" t="s">
        <v>830</v>
      </c>
      <c r="E2143" t="s">
        <v>2484</v>
      </c>
      <c r="F2143" t="s">
        <v>2598</v>
      </c>
      <c r="G2143" t="s">
        <v>2596</v>
      </c>
      <c r="H2143" t="s">
        <v>18</v>
      </c>
      <c r="I2143">
        <v>0</v>
      </c>
      <c r="J2143">
        <v>585</v>
      </c>
      <c r="K2143" t="s">
        <v>32</v>
      </c>
      <c r="L2143" t="s">
        <v>26</v>
      </c>
    </row>
    <row r="2144" spans="1:12" x14ac:dyDescent="0.25">
      <c r="A2144">
        <v>100287</v>
      </c>
      <c r="B2144" t="s">
        <v>805</v>
      </c>
      <c r="C2144" t="s">
        <v>62</v>
      </c>
      <c r="D2144" t="s">
        <v>455</v>
      </c>
      <c r="E2144" t="s">
        <v>2485</v>
      </c>
      <c r="F2144" t="s">
        <v>50</v>
      </c>
      <c r="G2144" t="s">
        <v>2652</v>
      </c>
      <c r="H2144" t="s">
        <v>18</v>
      </c>
      <c r="I2144">
        <v>0</v>
      </c>
      <c r="J2144">
        <v>352</v>
      </c>
      <c r="K2144" t="s">
        <v>37</v>
      </c>
      <c r="L2144" t="s">
        <v>26</v>
      </c>
    </row>
    <row r="2145" spans="1:12" x14ac:dyDescent="0.25">
      <c r="A2145">
        <v>100950</v>
      </c>
      <c r="B2145" t="s">
        <v>769</v>
      </c>
      <c r="C2145" t="s">
        <v>2621</v>
      </c>
      <c r="D2145" t="s">
        <v>263</v>
      </c>
      <c r="E2145" t="s">
        <v>2486</v>
      </c>
      <c r="F2145" t="s">
        <v>2613</v>
      </c>
      <c r="G2145" t="s">
        <v>60</v>
      </c>
      <c r="H2145" t="s">
        <v>83</v>
      </c>
      <c r="I2145">
        <v>0</v>
      </c>
      <c r="J2145">
        <v>496</v>
      </c>
      <c r="K2145" t="s">
        <v>56</v>
      </c>
      <c r="L2145" t="s">
        <v>20</v>
      </c>
    </row>
    <row r="2146" spans="1:12" x14ac:dyDescent="0.25">
      <c r="A2146">
        <v>101604</v>
      </c>
      <c r="B2146" t="s">
        <v>570</v>
      </c>
      <c r="C2146" t="s">
        <v>2792</v>
      </c>
      <c r="D2146" t="s">
        <v>1167</v>
      </c>
      <c r="E2146" t="s">
        <v>3787</v>
      </c>
      <c r="F2146" t="s">
        <v>2613</v>
      </c>
      <c r="H2146" t="s">
        <v>18</v>
      </c>
      <c r="I2146">
        <v>0</v>
      </c>
      <c r="J2146">
        <v>371</v>
      </c>
      <c r="K2146" t="s">
        <v>45</v>
      </c>
      <c r="L2146" t="s">
        <v>2588</v>
      </c>
    </row>
    <row r="2147" spans="1:12" x14ac:dyDescent="0.25">
      <c r="A2147">
        <v>100140</v>
      </c>
      <c r="B2147" t="s">
        <v>220</v>
      </c>
      <c r="C2147" t="s">
        <v>152</v>
      </c>
      <c r="D2147" t="s">
        <v>1443</v>
      </c>
      <c r="E2147" t="s">
        <v>2487</v>
      </c>
      <c r="F2147" t="s">
        <v>2579</v>
      </c>
      <c r="G2147" t="s">
        <v>2631</v>
      </c>
      <c r="H2147" t="s">
        <v>2581</v>
      </c>
      <c r="I2147">
        <v>0</v>
      </c>
      <c r="J2147">
        <v>710</v>
      </c>
      <c r="K2147" t="s">
        <v>32</v>
      </c>
      <c r="L2147" t="s">
        <v>2582</v>
      </c>
    </row>
    <row r="2148" spans="1:12" x14ac:dyDescent="0.25">
      <c r="A2148">
        <v>100849</v>
      </c>
      <c r="B2148" t="s">
        <v>487</v>
      </c>
      <c r="C2148" t="s">
        <v>22</v>
      </c>
      <c r="D2148" t="s">
        <v>488</v>
      </c>
      <c r="E2148" t="s">
        <v>2770</v>
      </c>
      <c r="F2148" t="s">
        <v>2629</v>
      </c>
      <c r="G2148" t="s">
        <v>2652</v>
      </c>
      <c r="H2148" t="s">
        <v>18</v>
      </c>
      <c r="I2148">
        <v>0</v>
      </c>
      <c r="J2148">
        <v>647</v>
      </c>
      <c r="K2148" t="s">
        <v>19</v>
      </c>
      <c r="L2148" t="s">
        <v>20</v>
      </c>
    </row>
    <row r="2149" spans="1:12" x14ac:dyDescent="0.25">
      <c r="A2149">
        <v>101688</v>
      </c>
      <c r="B2149" t="s">
        <v>1402</v>
      </c>
      <c r="C2149" t="s">
        <v>100</v>
      </c>
      <c r="D2149" t="s">
        <v>2488</v>
      </c>
      <c r="E2149" t="s">
        <v>2489</v>
      </c>
      <c r="F2149" t="s">
        <v>2604</v>
      </c>
      <c r="G2149" t="s">
        <v>2617</v>
      </c>
      <c r="H2149" t="s">
        <v>2587</v>
      </c>
      <c r="I2149">
        <v>0</v>
      </c>
      <c r="J2149">
        <v>588</v>
      </c>
      <c r="K2149" t="s">
        <v>19</v>
      </c>
      <c r="L2149" t="s">
        <v>2582</v>
      </c>
    </row>
    <row r="2150" spans="1:12" x14ac:dyDescent="0.25">
      <c r="A2150">
        <v>101761</v>
      </c>
      <c r="B2150" t="s">
        <v>94</v>
      </c>
      <c r="C2150" t="s">
        <v>95</v>
      </c>
      <c r="D2150" t="s">
        <v>2310</v>
      </c>
      <c r="E2150" t="s">
        <v>3788</v>
      </c>
      <c r="F2150" t="s">
        <v>2608</v>
      </c>
      <c r="H2150" t="s">
        <v>42</v>
      </c>
      <c r="I2150">
        <v>142</v>
      </c>
      <c r="J2150">
        <v>360</v>
      </c>
      <c r="K2150" t="s">
        <v>19</v>
      </c>
      <c r="L2150" t="s">
        <v>20</v>
      </c>
    </row>
    <row r="2151" spans="1:12" x14ac:dyDescent="0.25">
      <c r="A2151">
        <v>101966</v>
      </c>
      <c r="B2151" t="s">
        <v>866</v>
      </c>
      <c r="C2151" t="s">
        <v>168</v>
      </c>
      <c r="D2151" t="s">
        <v>2292</v>
      </c>
      <c r="E2151" t="s">
        <v>3789</v>
      </c>
      <c r="F2151" t="s">
        <v>2593</v>
      </c>
      <c r="G2151" t="s">
        <v>55</v>
      </c>
      <c r="H2151" t="s">
        <v>2581</v>
      </c>
      <c r="I2151">
        <v>0</v>
      </c>
      <c r="J2151">
        <v>458</v>
      </c>
      <c r="K2151" t="s">
        <v>37</v>
      </c>
      <c r="L2151" t="s">
        <v>26</v>
      </c>
    </row>
    <row r="2152" spans="1:12" x14ac:dyDescent="0.25">
      <c r="A2152">
        <v>101139</v>
      </c>
      <c r="B2152" t="s">
        <v>474</v>
      </c>
      <c r="C2152" t="s">
        <v>270</v>
      </c>
      <c r="D2152" t="s">
        <v>933</v>
      </c>
      <c r="E2152" t="s">
        <v>2490</v>
      </c>
      <c r="F2152" t="s">
        <v>2646</v>
      </c>
      <c r="G2152" t="s">
        <v>2584</v>
      </c>
      <c r="H2152" t="s">
        <v>2630</v>
      </c>
      <c r="I2152">
        <v>13</v>
      </c>
      <c r="J2152">
        <v>483</v>
      </c>
      <c r="K2152" t="s">
        <v>37</v>
      </c>
      <c r="L2152" t="s">
        <v>2588</v>
      </c>
    </row>
    <row r="2153" spans="1:12" x14ac:dyDescent="0.25">
      <c r="A2153">
        <v>101944</v>
      </c>
      <c r="B2153" t="s">
        <v>1026</v>
      </c>
      <c r="C2153" t="s">
        <v>244</v>
      </c>
      <c r="D2153" t="s">
        <v>893</v>
      </c>
      <c r="E2153" t="s">
        <v>2491</v>
      </c>
      <c r="F2153" t="s">
        <v>64</v>
      </c>
      <c r="G2153" t="s">
        <v>2591</v>
      </c>
      <c r="H2153" t="s">
        <v>2620</v>
      </c>
      <c r="I2153">
        <v>0</v>
      </c>
      <c r="J2153">
        <v>560</v>
      </c>
      <c r="K2153" t="s">
        <v>56</v>
      </c>
      <c r="L2153" t="s">
        <v>2582</v>
      </c>
    </row>
    <row r="2154" spans="1:12" x14ac:dyDescent="0.25">
      <c r="A2154">
        <v>101665</v>
      </c>
      <c r="B2154" t="s">
        <v>202</v>
      </c>
      <c r="C2154" t="s">
        <v>95</v>
      </c>
      <c r="D2154" t="s">
        <v>1979</v>
      </c>
      <c r="E2154" t="s">
        <v>2492</v>
      </c>
      <c r="F2154" t="s">
        <v>2590</v>
      </c>
      <c r="G2154" t="s">
        <v>60</v>
      </c>
      <c r="H2154" t="s">
        <v>2620</v>
      </c>
      <c r="I2154">
        <v>0</v>
      </c>
      <c r="J2154">
        <v>570</v>
      </c>
      <c r="K2154" t="s">
        <v>45</v>
      </c>
      <c r="L2154" t="s">
        <v>26</v>
      </c>
    </row>
    <row r="2155" spans="1:12" x14ac:dyDescent="0.25">
      <c r="A2155">
        <v>100445</v>
      </c>
      <c r="B2155" t="s">
        <v>443</v>
      </c>
      <c r="C2155" t="s">
        <v>72</v>
      </c>
      <c r="D2155" t="s">
        <v>2493</v>
      </c>
      <c r="E2155" t="s">
        <v>2494</v>
      </c>
      <c r="F2155" t="s">
        <v>50</v>
      </c>
      <c r="G2155" t="s">
        <v>81</v>
      </c>
      <c r="H2155" t="s">
        <v>42</v>
      </c>
      <c r="I2155">
        <v>43</v>
      </c>
      <c r="J2155">
        <v>309</v>
      </c>
      <c r="K2155" t="s">
        <v>56</v>
      </c>
      <c r="L2155" t="s">
        <v>26</v>
      </c>
    </row>
    <row r="2156" spans="1:12" x14ac:dyDescent="0.25">
      <c r="A2156">
        <v>102088</v>
      </c>
      <c r="B2156" t="s">
        <v>595</v>
      </c>
      <c r="C2156" t="s">
        <v>22</v>
      </c>
      <c r="D2156" t="s">
        <v>2495</v>
      </c>
      <c r="E2156" t="s">
        <v>3790</v>
      </c>
      <c r="F2156" t="s">
        <v>2593</v>
      </c>
      <c r="G2156" t="s">
        <v>60</v>
      </c>
      <c r="H2156" t="s">
        <v>2644</v>
      </c>
      <c r="I2156">
        <v>0</v>
      </c>
      <c r="J2156">
        <v>372</v>
      </c>
      <c r="K2156" t="s">
        <v>19</v>
      </c>
      <c r="L2156" t="s">
        <v>26</v>
      </c>
    </row>
    <row r="2157" spans="1:12" x14ac:dyDescent="0.25">
      <c r="A2157">
        <v>101123</v>
      </c>
      <c r="B2157" t="s">
        <v>136</v>
      </c>
      <c r="C2157" t="s">
        <v>58</v>
      </c>
      <c r="D2157" t="s">
        <v>1101</v>
      </c>
      <c r="E2157" t="s">
        <v>3791</v>
      </c>
      <c r="F2157" t="s">
        <v>2579</v>
      </c>
      <c r="G2157" t="s">
        <v>2602</v>
      </c>
      <c r="H2157" t="s">
        <v>83</v>
      </c>
      <c r="I2157">
        <v>0</v>
      </c>
      <c r="J2157">
        <v>540</v>
      </c>
      <c r="K2157" t="s">
        <v>56</v>
      </c>
      <c r="L2157" t="s">
        <v>2588</v>
      </c>
    </row>
    <row r="2158" spans="1:12" x14ac:dyDescent="0.25">
      <c r="A2158">
        <v>101265</v>
      </c>
      <c r="B2158" t="s">
        <v>553</v>
      </c>
      <c r="C2158" t="s">
        <v>72</v>
      </c>
      <c r="D2158" t="s">
        <v>1945</v>
      </c>
      <c r="E2158" t="s">
        <v>3792</v>
      </c>
      <c r="F2158" t="s">
        <v>2590</v>
      </c>
      <c r="G2158" t="s">
        <v>2611</v>
      </c>
      <c r="H2158" t="s">
        <v>2587</v>
      </c>
      <c r="I2158">
        <v>0</v>
      </c>
      <c r="J2158">
        <v>638</v>
      </c>
      <c r="K2158" t="s">
        <v>45</v>
      </c>
      <c r="L2158" t="s">
        <v>2588</v>
      </c>
    </row>
    <row r="2159" spans="1:12" x14ac:dyDescent="0.25">
      <c r="A2159">
        <v>102070</v>
      </c>
      <c r="B2159" t="s">
        <v>269</v>
      </c>
      <c r="C2159" t="s">
        <v>270</v>
      </c>
      <c r="D2159" t="s">
        <v>407</v>
      </c>
      <c r="E2159" t="s">
        <v>2496</v>
      </c>
      <c r="F2159" t="s">
        <v>2579</v>
      </c>
      <c r="G2159" t="s">
        <v>2652</v>
      </c>
      <c r="H2159" t="s">
        <v>2581</v>
      </c>
      <c r="I2159">
        <v>0</v>
      </c>
      <c r="J2159">
        <v>515</v>
      </c>
      <c r="K2159" t="s">
        <v>56</v>
      </c>
      <c r="L2159" t="s">
        <v>26</v>
      </c>
    </row>
    <row r="2160" spans="1:12" x14ac:dyDescent="0.25">
      <c r="A2160">
        <v>101439</v>
      </c>
      <c r="B2160" t="s">
        <v>553</v>
      </c>
      <c r="C2160" t="s">
        <v>72</v>
      </c>
      <c r="D2160" t="s">
        <v>768</v>
      </c>
      <c r="E2160" t="s">
        <v>3793</v>
      </c>
      <c r="F2160" t="s">
        <v>64</v>
      </c>
      <c r="G2160" t="s">
        <v>2658</v>
      </c>
      <c r="H2160" t="s">
        <v>2644</v>
      </c>
      <c r="I2160">
        <v>0</v>
      </c>
      <c r="J2160">
        <v>638</v>
      </c>
      <c r="K2160" t="s">
        <v>45</v>
      </c>
      <c r="L2160" t="s">
        <v>2588</v>
      </c>
    </row>
    <row r="2161" spans="1:12" x14ac:dyDescent="0.25">
      <c r="A2161">
        <v>101174</v>
      </c>
      <c r="B2161" t="s">
        <v>352</v>
      </c>
      <c r="C2161" t="s">
        <v>85</v>
      </c>
      <c r="D2161" t="s">
        <v>1447</v>
      </c>
      <c r="E2161" t="s">
        <v>3794</v>
      </c>
      <c r="F2161" t="s">
        <v>2590</v>
      </c>
      <c r="G2161" t="s">
        <v>2652</v>
      </c>
      <c r="H2161" t="s">
        <v>18</v>
      </c>
      <c r="I2161">
        <v>0</v>
      </c>
      <c r="J2161">
        <v>778</v>
      </c>
      <c r="K2161" t="s">
        <v>45</v>
      </c>
      <c r="L2161" t="s">
        <v>2582</v>
      </c>
    </row>
    <row r="2162" spans="1:12" x14ac:dyDescent="0.25">
      <c r="A2162">
        <v>101850</v>
      </c>
      <c r="B2162" t="s">
        <v>607</v>
      </c>
      <c r="C2162" t="s">
        <v>134</v>
      </c>
      <c r="D2162" t="s">
        <v>1266</v>
      </c>
      <c r="E2162" t="s">
        <v>1267</v>
      </c>
      <c r="F2162" t="s">
        <v>2641</v>
      </c>
      <c r="G2162" t="s">
        <v>2617</v>
      </c>
      <c r="H2162" t="s">
        <v>2581</v>
      </c>
      <c r="I2162">
        <v>0</v>
      </c>
      <c r="J2162">
        <v>458</v>
      </c>
      <c r="K2162" t="s">
        <v>19</v>
      </c>
      <c r="L2162" t="s">
        <v>20</v>
      </c>
    </row>
    <row r="2163" spans="1:12" x14ac:dyDescent="0.25">
      <c r="A2163">
        <v>101672</v>
      </c>
      <c r="B2163" t="s">
        <v>177</v>
      </c>
      <c r="C2163" t="s">
        <v>85</v>
      </c>
      <c r="D2163" t="s">
        <v>1073</v>
      </c>
      <c r="E2163" t="s">
        <v>1074</v>
      </c>
      <c r="F2163" t="s">
        <v>2648</v>
      </c>
      <c r="G2163" t="s">
        <v>2596</v>
      </c>
      <c r="H2163" t="s">
        <v>2587</v>
      </c>
      <c r="I2163">
        <v>0</v>
      </c>
      <c r="J2163">
        <v>375</v>
      </c>
      <c r="K2163" t="s">
        <v>45</v>
      </c>
      <c r="L2163" t="s">
        <v>2582</v>
      </c>
    </row>
    <row r="2164" spans="1:12" x14ac:dyDescent="0.25">
      <c r="A2164">
        <v>100355</v>
      </c>
      <c r="B2164" t="s">
        <v>438</v>
      </c>
      <c r="C2164" t="s">
        <v>95</v>
      </c>
      <c r="D2164" t="s">
        <v>2497</v>
      </c>
      <c r="E2164" t="s">
        <v>3795</v>
      </c>
      <c r="F2164" t="s">
        <v>2598</v>
      </c>
      <c r="G2164" t="s">
        <v>2617</v>
      </c>
      <c r="H2164" t="s">
        <v>2587</v>
      </c>
      <c r="I2164">
        <v>0</v>
      </c>
      <c r="J2164">
        <v>858</v>
      </c>
      <c r="K2164" t="s">
        <v>19</v>
      </c>
      <c r="L2164" t="s">
        <v>2582</v>
      </c>
    </row>
    <row r="2165" spans="1:12" x14ac:dyDescent="0.25">
      <c r="A2165">
        <v>101941</v>
      </c>
      <c r="B2165" t="s">
        <v>196</v>
      </c>
      <c r="C2165" t="s">
        <v>152</v>
      </c>
      <c r="D2165" t="s">
        <v>1718</v>
      </c>
      <c r="E2165" t="s">
        <v>3345</v>
      </c>
      <c r="F2165" t="s">
        <v>2629</v>
      </c>
      <c r="G2165" t="s">
        <v>31</v>
      </c>
      <c r="H2165" t="s">
        <v>18</v>
      </c>
      <c r="I2165">
        <v>0</v>
      </c>
      <c r="J2165">
        <v>405</v>
      </c>
      <c r="K2165" t="s">
        <v>32</v>
      </c>
      <c r="L2165" t="s">
        <v>2588</v>
      </c>
    </row>
    <row r="2166" spans="1:12" x14ac:dyDescent="0.25">
      <c r="A2166">
        <v>101077</v>
      </c>
      <c r="B2166" t="s">
        <v>610</v>
      </c>
      <c r="C2166" t="s">
        <v>126</v>
      </c>
      <c r="D2166" t="s">
        <v>295</v>
      </c>
      <c r="E2166" t="s">
        <v>2498</v>
      </c>
      <c r="F2166" t="s">
        <v>2593</v>
      </c>
      <c r="G2166" t="s">
        <v>81</v>
      </c>
      <c r="H2166" t="s">
        <v>42</v>
      </c>
      <c r="I2166">
        <v>142</v>
      </c>
      <c r="J2166">
        <v>315</v>
      </c>
      <c r="K2166" t="s">
        <v>45</v>
      </c>
      <c r="L2166" t="s">
        <v>20</v>
      </c>
    </row>
    <row r="2167" spans="1:12" x14ac:dyDescent="0.25">
      <c r="A2167">
        <v>101228</v>
      </c>
      <c r="B2167" t="s">
        <v>21</v>
      </c>
      <c r="C2167" t="s">
        <v>22</v>
      </c>
      <c r="D2167" t="s">
        <v>1389</v>
      </c>
      <c r="E2167" t="s">
        <v>3796</v>
      </c>
      <c r="F2167" t="s">
        <v>2593</v>
      </c>
      <c r="G2167" t="s">
        <v>2584</v>
      </c>
      <c r="H2167" t="s">
        <v>2581</v>
      </c>
      <c r="I2167">
        <v>0</v>
      </c>
      <c r="J2167">
        <v>771</v>
      </c>
      <c r="K2167" t="s">
        <v>45</v>
      </c>
      <c r="L2167" t="s">
        <v>2588</v>
      </c>
    </row>
    <row r="2168" spans="1:12" x14ac:dyDescent="0.25">
      <c r="A2168">
        <v>101092</v>
      </c>
      <c r="B2168" t="s">
        <v>282</v>
      </c>
      <c r="C2168" t="s">
        <v>2949</v>
      </c>
      <c r="D2168" t="s">
        <v>2174</v>
      </c>
      <c r="E2168" t="s">
        <v>2499</v>
      </c>
      <c r="F2168" t="s">
        <v>50</v>
      </c>
      <c r="G2168" t="s">
        <v>55</v>
      </c>
      <c r="H2168" t="s">
        <v>2644</v>
      </c>
      <c r="I2168">
        <v>0</v>
      </c>
      <c r="J2168">
        <v>301</v>
      </c>
      <c r="K2168" t="s">
        <v>56</v>
      </c>
      <c r="L2168" t="s">
        <v>20</v>
      </c>
    </row>
    <row r="2169" spans="1:12" x14ac:dyDescent="0.25">
      <c r="A2169">
        <v>101152</v>
      </c>
      <c r="B2169" t="s">
        <v>230</v>
      </c>
      <c r="C2169" t="s">
        <v>2743</v>
      </c>
      <c r="D2169" t="s">
        <v>2500</v>
      </c>
      <c r="E2169" t="s">
        <v>2501</v>
      </c>
      <c r="F2169" t="s">
        <v>2629</v>
      </c>
      <c r="G2169" t="s">
        <v>2602</v>
      </c>
      <c r="H2169" t="s">
        <v>25</v>
      </c>
      <c r="I2169">
        <v>15</v>
      </c>
      <c r="J2169">
        <v>818</v>
      </c>
      <c r="K2169" t="s">
        <v>19</v>
      </c>
      <c r="L2169" t="s">
        <v>20</v>
      </c>
    </row>
    <row r="2170" spans="1:12" x14ac:dyDescent="0.25">
      <c r="A2170">
        <v>101863</v>
      </c>
      <c r="B2170" t="s">
        <v>2030</v>
      </c>
      <c r="C2170" t="s">
        <v>168</v>
      </c>
      <c r="D2170" t="s">
        <v>254</v>
      </c>
      <c r="E2170" t="s">
        <v>3797</v>
      </c>
      <c r="F2170" t="s">
        <v>2640</v>
      </c>
      <c r="G2170" t="s">
        <v>2596</v>
      </c>
      <c r="H2170" t="s">
        <v>2644</v>
      </c>
      <c r="I2170">
        <v>0</v>
      </c>
      <c r="J2170">
        <v>768</v>
      </c>
      <c r="K2170" t="s">
        <v>32</v>
      </c>
      <c r="L2170" t="s">
        <v>2582</v>
      </c>
    </row>
    <row r="2171" spans="1:12" x14ac:dyDescent="0.25">
      <c r="A2171">
        <v>100418</v>
      </c>
      <c r="B2171" t="s">
        <v>429</v>
      </c>
      <c r="C2171" t="s">
        <v>52</v>
      </c>
      <c r="D2171" t="s">
        <v>2003</v>
      </c>
      <c r="E2171" t="s">
        <v>2502</v>
      </c>
      <c r="F2171" t="s">
        <v>30</v>
      </c>
      <c r="G2171" t="s">
        <v>2617</v>
      </c>
      <c r="H2171" t="s">
        <v>18</v>
      </c>
      <c r="I2171">
        <v>0</v>
      </c>
      <c r="J2171">
        <v>568</v>
      </c>
      <c r="K2171" t="s">
        <v>56</v>
      </c>
      <c r="L2171" t="s">
        <v>2588</v>
      </c>
    </row>
    <row r="2172" spans="1:12" x14ac:dyDescent="0.25">
      <c r="A2172">
        <v>100967</v>
      </c>
      <c r="B2172" t="s">
        <v>243</v>
      </c>
      <c r="C2172" t="s">
        <v>244</v>
      </c>
      <c r="D2172" t="s">
        <v>1161</v>
      </c>
      <c r="E2172" t="s">
        <v>2503</v>
      </c>
      <c r="F2172" t="s">
        <v>41</v>
      </c>
      <c r="G2172" t="s">
        <v>2609</v>
      </c>
      <c r="H2172" t="s">
        <v>18</v>
      </c>
      <c r="I2172">
        <v>0</v>
      </c>
      <c r="J2172">
        <v>729</v>
      </c>
      <c r="K2172" t="s">
        <v>19</v>
      </c>
      <c r="L2172" t="s">
        <v>20</v>
      </c>
    </row>
    <row r="2173" spans="1:12" x14ac:dyDescent="0.25">
      <c r="A2173">
        <v>101243</v>
      </c>
      <c r="B2173" t="s">
        <v>121</v>
      </c>
      <c r="C2173" t="s">
        <v>122</v>
      </c>
      <c r="D2173" t="s">
        <v>970</v>
      </c>
      <c r="E2173" t="s">
        <v>2504</v>
      </c>
      <c r="F2173" t="s">
        <v>2608</v>
      </c>
      <c r="G2173" t="s">
        <v>2611</v>
      </c>
      <c r="H2173" t="s">
        <v>2587</v>
      </c>
      <c r="I2173">
        <v>0</v>
      </c>
      <c r="J2173">
        <v>823</v>
      </c>
      <c r="K2173" t="s">
        <v>32</v>
      </c>
      <c r="L2173" t="s">
        <v>26</v>
      </c>
    </row>
    <row r="2174" spans="1:12" x14ac:dyDescent="0.25">
      <c r="A2174">
        <v>101571</v>
      </c>
      <c r="B2174" t="s">
        <v>376</v>
      </c>
      <c r="C2174" t="s">
        <v>22</v>
      </c>
      <c r="D2174" t="s">
        <v>2497</v>
      </c>
      <c r="E2174" t="s">
        <v>2505</v>
      </c>
      <c r="F2174" t="s">
        <v>2646</v>
      </c>
      <c r="G2174" t="s">
        <v>2658</v>
      </c>
      <c r="H2174" t="s">
        <v>2620</v>
      </c>
      <c r="I2174">
        <v>0</v>
      </c>
      <c r="J2174">
        <v>340</v>
      </c>
      <c r="K2174" t="s">
        <v>19</v>
      </c>
      <c r="L2174" t="s">
        <v>20</v>
      </c>
    </row>
    <row r="2175" spans="1:12" x14ac:dyDescent="0.25">
      <c r="A2175">
        <v>101867</v>
      </c>
      <c r="B2175" t="s">
        <v>133</v>
      </c>
      <c r="C2175" t="s">
        <v>134</v>
      </c>
      <c r="D2175" t="s">
        <v>1164</v>
      </c>
      <c r="E2175" t="s">
        <v>3798</v>
      </c>
      <c r="F2175" t="s">
        <v>41</v>
      </c>
      <c r="G2175" t="s">
        <v>2611</v>
      </c>
      <c r="H2175" t="s">
        <v>2581</v>
      </c>
      <c r="I2175">
        <v>0</v>
      </c>
      <c r="J2175">
        <v>345</v>
      </c>
      <c r="K2175" t="s">
        <v>19</v>
      </c>
      <c r="L2175" t="s">
        <v>2582</v>
      </c>
    </row>
    <row r="2176" spans="1:12" x14ac:dyDescent="0.25">
      <c r="A2176">
        <v>100158</v>
      </c>
      <c r="B2176" t="s">
        <v>89</v>
      </c>
      <c r="C2176" t="s">
        <v>72</v>
      </c>
      <c r="D2176" t="s">
        <v>393</v>
      </c>
      <c r="E2176" t="s">
        <v>2506</v>
      </c>
      <c r="F2176" t="s">
        <v>2616</v>
      </c>
      <c r="G2176" t="s">
        <v>2614</v>
      </c>
      <c r="H2176" t="s">
        <v>2644</v>
      </c>
      <c r="I2176">
        <v>0</v>
      </c>
      <c r="J2176">
        <v>358</v>
      </c>
      <c r="K2176" t="s">
        <v>45</v>
      </c>
      <c r="L2176" t="s">
        <v>2582</v>
      </c>
    </row>
    <row r="2177" spans="1:12" x14ac:dyDescent="0.25">
      <c r="A2177">
        <v>101763</v>
      </c>
      <c r="B2177" t="s">
        <v>1175</v>
      </c>
      <c r="C2177" t="s">
        <v>142</v>
      </c>
      <c r="D2177" t="s">
        <v>341</v>
      </c>
      <c r="E2177" t="s">
        <v>3799</v>
      </c>
      <c r="F2177" t="s">
        <v>64</v>
      </c>
      <c r="G2177" t="s">
        <v>55</v>
      </c>
      <c r="H2177" t="s">
        <v>2581</v>
      </c>
      <c r="I2177">
        <v>0</v>
      </c>
      <c r="J2177">
        <v>573</v>
      </c>
      <c r="K2177" t="s">
        <v>32</v>
      </c>
      <c r="L2177" t="s">
        <v>2588</v>
      </c>
    </row>
    <row r="2178" spans="1:12" x14ac:dyDescent="0.25">
      <c r="A2178">
        <v>101155</v>
      </c>
      <c r="B2178" t="s">
        <v>636</v>
      </c>
      <c r="C2178" t="s">
        <v>2818</v>
      </c>
      <c r="D2178" t="s">
        <v>2507</v>
      </c>
      <c r="E2178" t="s">
        <v>2508</v>
      </c>
      <c r="F2178" t="s">
        <v>2608</v>
      </c>
      <c r="G2178" t="s">
        <v>55</v>
      </c>
      <c r="H2178" t="s">
        <v>2587</v>
      </c>
      <c r="I2178">
        <v>0</v>
      </c>
      <c r="J2178">
        <v>303</v>
      </c>
      <c r="K2178" t="s">
        <v>56</v>
      </c>
      <c r="L2178" t="s">
        <v>20</v>
      </c>
    </row>
    <row r="2179" spans="1:12" x14ac:dyDescent="0.25">
      <c r="A2179">
        <v>101279</v>
      </c>
      <c r="B2179" t="s">
        <v>418</v>
      </c>
      <c r="C2179" t="s">
        <v>52</v>
      </c>
      <c r="D2179" t="s">
        <v>2509</v>
      </c>
      <c r="E2179" t="s">
        <v>3800</v>
      </c>
      <c r="F2179" t="s">
        <v>2598</v>
      </c>
      <c r="G2179" t="s">
        <v>55</v>
      </c>
      <c r="H2179" t="s">
        <v>18</v>
      </c>
      <c r="I2179">
        <v>0</v>
      </c>
      <c r="J2179">
        <v>371</v>
      </c>
      <c r="K2179" t="s">
        <v>37</v>
      </c>
      <c r="L2179" t="s">
        <v>26</v>
      </c>
    </row>
    <row r="2180" spans="1:12" x14ac:dyDescent="0.25">
      <c r="A2180">
        <v>101427</v>
      </c>
      <c r="B2180" t="s">
        <v>953</v>
      </c>
      <c r="C2180" t="s">
        <v>270</v>
      </c>
      <c r="D2180" t="s">
        <v>544</v>
      </c>
      <c r="E2180" t="s">
        <v>2510</v>
      </c>
      <c r="F2180" t="s">
        <v>2616</v>
      </c>
      <c r="G2180" t="s">
        <v>2652</v>
      </c>
      <c r="H2180" t="s">
        <v>2587</v>
      </c>
      <c r="I2180">
        <v>0</v>
      </c>
      <c r="J2180">
        <v>759</v>
      </c>
      <c r="K2180" t="s">
        <v>32</v>
      </c>
      <c r="L2180" t="s">
        <v>26</v>
      </c>
    </row>
    <row r="2181" spans="1:12" x14ac:dyDescent="0.25">
      <c r="A2181">
        <v>100761</v>
      </c>
      <c r="B2181" t="s">
        <v>157</v>
      </c>
      <c r="C2181" t="s">
        <v>103</v>
      </c>
      <c r="D2181" t="s">
        <v>1886</v>
      </c>
      <c r="E2181" t="s">
        <v>2511</v>
      </c>
      <c r="F2181" t="s">
        <v>50</v>
      </c>
      <c r="G2181" t="s">
        <v>2607</v>
      </c>
      <c r="H2181" t="s">
        <v>2587</v>
      </c>
      <c r="I2181">
        <v>0</v>
      </c>
      <c r="J2181">
        <v>897</v>
      </c>
      <c r="K2181" t="s">
        <v>37</v>
      </c>
      <c r="L2181" t="s">
        <v>26</v>
      </c>
    </row>
    <row r="2182" spans="1:12" x14ac:dyDescent="0.25">
      <c r="A2182">
        <v>100243</v>
      </c>
      <c r="B2182" t="s">
        <v>396</v>
      </c>
      <c r="C2182" t="s">
        <v>103</v>
      </c>
      <c r="D2182" t="s">
        <v>1107</v>
      </c>
      <c r="E2182" t="s">
        <v>2512</v>
      </c>
      <c r="F2182" t="s">
        <v>2590</v>
      </c>
      <c r="G2182" t="s">
        <v>2631</v>
      </c>
      <c r="H2182" t="s">
        <v>2581</v>
      </c>
      <c r="I2182">
        <v>0</v>
      </c>
      <c r="J2182">
        <v>437</v>
      </c>
      <c r="K2182" t="s">
        <v>56</v>
      </c>
      <c r="L2182" t="s">
        <v>20</v>
      </c>
    </row>
    <row r="2183" spans="1:12" x14ac:dyDescent="0.25">
      <c r="A2183">
        <v>100885</v>
      </c>
      <c r="B2183" t="s">
        <v>232</v>
      </c>
      <c r="C2183" t="s">
        <v>152</v>
      </c>
      <c r="D2183" t="s">
        <v>804</v>
      </c>
      <c r="E2183" t="s">
        <v>3801</v>
      </c>
      <c r="F2183" t="s">
        <v>2641</v>
      </c>
      <c r="G2183" t="s">
        <v>2631</v>
      </c>
      <c r="H2183" t="s">
        <v>18</v>
      </c>
      <c r="I2183">
        <v>0</v>
      </c>
      <c r="J2183">
        <v>781</v>
      </c>
      <c r="K2183" t="s">
        <v>19</v>
      </c>
      <c r="L2183" t="s">
        <v>2588</v>
      </c>
    </row>
    <row r="2184" spans="1:12" x14ac:dyDescent="0.25">
      <c r="A2184">
        <v>100621</v>
      </c>
      <c r="B2184" t="s">
        <v>595</v>
      </c>
      <c r="C2184" t="s">
        <v>22</v>
      </c>
      <c r="D2184" t="s">
        <v>2513</v>
      </c>
      <c r="E2184" t="s">
        <v>2514</v>
      </c>
      <c r="F2184" t="s">
        <v>2641</v>
      </c>
      <c r="G2184" t="s">
        <v>2614</v>
      </c>
      <c r="H2184" t="s">
        <v>25</v>
      </c>
      <c r="I2184">
        <v>4</v>
      </c>
      <c r="J2184">
        <v>372</v>
      </c>
      <c r="K2184" t="s">
        <v>37</v>
      </c>
      <c r="L2184" t="s">
        <v>2588</v>
      </c>
    </row>
    <row r="2185" spans="1:12" x14ac:dyDescent="0.25">
      <c r="A2185">
        <v>100538</v>
      </c>
      <c r="B2185" t="s">
        <v>512</v>
      </c>
      <c r="C2185" t="s">
        <v>152</v>
      </c>
      <c r="D2185" t="s">
        <v>2515</v>
      </c>
      <c r="E2185" t="s">
        <v>3802</v>
      </c>
      <c r="F2185" t="s">
        <v>41</v>
      </c>
      <c r="G2185" t="s">
        <v>2617</v>
      </c>
      <c r="H2185" t="s">
        <v>2597</v>
      </c>
      <c r="I2185">
        <v>15</v>
      </c>
      <c r="J2185">
        <v>853</v>
      </c>
      <c r="K2185" t="s">
        <v>56</v>
      </c>
      <c r="L2185" t="s">
        <v>2588</v>
      </c>
    </row>
    <row r="2186" spans="1:12" x14ac:dyDescent="0.25">
      <c r="A2186">
        <v>100014</v>
      </c>
      <c r="B2186" t="s">
        <v>282</v>
      </c>
      <c r="C2186" t="s">
        <v>152</v>
      </c>
      <c r="D2186" t="s">
        <v>550</v>
      </c>
      <c r="E2186" t="s">
        <v>3803</v>
      </c>
      <c r="F2186" t="s">
        <v>30</v>
      </c>
      <c r="G2186" t="s">
        <v>2617</v>
      </c>
      <c r="H2186" t="s">
        <v>83</v>
      </c>
      <c r="I2186">
        <v>0</v>
      </c>
      <c r="J2186">
        <v>301</v>
      </c>
      <c r="K2186" t="s">
        <v>56</v>
      </c>
      <c r="L2186" t="s">
        <v>26</v>
      </c>
    </row>
    <row r="2187" spans="1:12" x14ac:dyDescent="0.25">
      <c r="A2187">
        <v>101682</v>
      </c>
      <c r="B2187" t="s">
        <v>342</v>
      </c>
      <c r="D2187" t="s">
        <v>974</v>
      </c>
      <c r="E2187" t="s">
        <v>2516</v>
      </c>
      <c r="F2187" t="s">
        <v>30</v>
      </c>
      <c r="G2187" t="s">
        <v>2631</v>
      </c>
      <c r="H2187" t="s">
        <v>83</v>
      </c>
      <c r="I2187">
        <v>0</v>
      </c>
      <c r="J2187">
        <v>659</v>
      </c>
      <c r="K2187" t="s">
        <v>37</v>
      </c>
      <c r="L2187" t="s">
        <v>2582</v>
      </c>
    </row>
    <row r="2188" spans="1:12" x14ac:dyDescent="0.25">
      <c r="A2188">
        <v>100741</v>
      </c>
      <c r="B2188" t="s">
        <v>986</v>
      </c>
      <c r="C2188" t="s">
        <v>2723</v>
      </c>
      <c r="D2188" t="s">
        <v>2517</v>
      </c>
      <c r="E2188" t="s">
        <v>2518</v>
      </c>
      <c r="F2188" t="s">
        <v>2583</v>
      </c>
      <c r="G2188" t="s">
        <v>2611</v>
      </c>
      <c r="H2188" t="s">
        <v>2581</v>
      </c>
      <c r="I2188">
        <v>0</v>
      </c>
      <c r="J2188">
        <v>459</v>
      </c>
      <c r="K2188" t="s">
        <v>45</v>
      </c>
      <c r="L2188" t="s">
        <v>20</v>
      </c>
    </row>
    <row r="2189" spans="1:12" x14ac:dyDescent="0.25">
      <c r="A2189">
        <v>101401</v>
      </c>
      <c r="B2189" t="s">
        <v>585</v>
      </c>
      <c r="C2189" t="s">
        <v>270</v>
      </c>
      <c r="D2189" t="s">
        <v>1256</v>
      </c>
      <c r="E2189" t="s">
        <v>2519</v>
      </c>
      <c r="F2189" t="s">
        <v>2641</v>
      </c>
      <c r="G2189" t="s">
        <v>2631</v>
      </c>
      <c r="H2189" t="s">
        <v>83</v>
      </c>
      <c r="I2189">
        <v>0</v>
      </c>
      <c r="J2189">
        <v>814</v>
      </c>
      <c r="K2189" t="s">
        <v>56</v>
      </c>
      <c r="L2189" t="s">
        <v>2582</v>
      </c>
    </row>
    <row r="2190" spans="1:12" x14ac:dyDescent="0.25">
      <c r="A2190">
        <v>101386</v>
      </c>
      <c r="B2190" t="s">
        <v>1069</v>
      </c>
      <c r="C2190" t="s">
        <v>22</v>
      </c>
      <c r="D2190" t="s">
        <v>1334</v>
      </c>
      <c r="E2190" t="s">
        <v>3804</v>
      </c>
      <c r="F2190" t="s">
        <v>2648</v>
      </c>
      <c r="G2190" t="s">
        <v>31</v>
      </c>
      <c r="H2190" t="s">
        <v>2581</v>
      </c>
      <c r="I2190">
        <v>0</v>
      </c>
      <c r="J2190">
        <v>607</v>
      </c>
      <c r="K2190" t="s">
        <v>37</v>
      </c>
      <c r="L2190" t="s">
        <v>26</v>
      </c>
    </row>
    <row r="2192" spans="1:12" x14ac:dyDescent="0.25">
      <c r="A2192">
        <v>101697</v>
      </c>
      <c r="B2192" t="s">
        <v>238</v>
      </c>
      <c r="C2192" t="s">
        <v>47</v>
      </c>
      <c r="D2192" t="s">
        <v>2457</v>
      </c>
      <c r="E2192" t="s">
        <v>3805</v>
      </c>
      <c r="F2192" t="s">
        <v>2641</v>
      </c>
      <c r="G2192" t="s">
        <v>2596</v>
      </c>
      <c r="H2192" t="s">
        <v>2623</v>
      </c>
      <c r="I2192">
        <v>97</v>
      </c>
      <c r="J2192">
        <v>497</v>
      </c>
      <c r="K2192" t="s">
        <v>56</v>
      </c>
      <c r="L2192" t="s">
        <v>2582</v>
      </c>
    </row>
    <row r="2193" spans="1:12" x14ac:dyDescent="0.25">
      <c r="A2193">
        <v>100335</v>
      </c>
      <c r="B2193" t="s">
        <v>402</v>
      </c>
      <c r="C2193" t="s">
        <v>95</v>
      </c>
      <c r="D2193" t="s">
        <v>1015</v>
      </c>
      <c r="E2193" t="s">
        <v>2520</v>
      </c>
      <c r="F2193" t="s">
        <v>2598</v>
      </c>
      <c r="G2193" t="s">
        <v>2609</v>
      </c>
      <c r="H2193" t="s">
        <v>25</v>
      </c>
      <c r="I2193">
        <v>13</v>
      </c>
      <c r="J2193">
        <v>355</v>
      </c>
      <c r="K2193" t="s">
        <v>56</v>
      </c>
      <c r="L2193" t="s">
        <v>20</v>
      </c>
    </row>
    <row r="2194" spans="1:12" x14ac:dyDescent="0.25">
      <c r="A2194">
        <v>100185</v>
      </c>
      <c r="B2194" t="s">
        <v>450</v>
      </c>
      <c r="D2194" t="s">
        <v>826</v>
      </c>
      <c r="E2194" t="s">
        <v>3277</v>
      </c>
      <c r="F2194" t="s">
        <v>2598</v>
      </c>
      <c r="G2194" t="s">
        <v>60</v>
      </c>
      <c r="H2194" t="s">
        <v>2620</v>
      </c>
      <c r="I2194">
        <v>0</v>
      </c>
      <c r="J2194">
        <v>890</v>
      </c>
      <c r="K2194" t="s">
        <v>45</v>
      </c>
      <c r="L2194" t="s">
        <v>26</v>
      </c>
    </row>
    <row r="2195" spans="1:12" x14ac:dyDescent="0.25">
      <c r="A2195">
        <v>100824</v>
      </c>
      <c r="B2195" t="s">
        <v>446</v>
      </c>
      <c r="C2195" t="s">
        <v>168</v>
      </c>
      <c r="D2195" t="s">
        <v>1428</v>
      </c>
      <c r="E2195" t="s">
        <v>3806</v>
      </c>
      <c r="F2195" t="s">
        <v>50</v>
      </c>
      <c r="G2195" t="s">
        <v>55</v>
      </c>
      <c r="H2195" t="s">
        <v>42</v>
      </c>
      <c r="I2195">
        <v>67</v>
      </c>
      <c r="J2195">
        <v>515</v>
      </c>
      <c r="K2195" t="s">
        <v>37</v>
      </c>
      <c r="L2195" t="s">
        <v>20</v>
      </c>
    </row>
    <row r="2196" spans="1:12" x14ac:dyDescent="0.25">
      <c r="A2196">
        <v>100942</v>
      </c>
      <c r="B2196" t="s">
        <v>446</v>
      </c>
      <c r="C2196" t="s">
        <v>168</v>
      </c>
      <c r="D2196" t="s">
        <v>391</v>
      </c>
      <c r="E2196" t="s">
        <v>2521</v>
      </c>
      <c r="F2196" t="s">
        <v>2608</v>
      </c>
      <c r="G2196" t="s">
        <v>2609</v>
      </c>
      <c r="H2196" t="s">
        <v>2581</v>
      </c>
      <c r="I2196">
        <v>0</v>
      </c>
      <c r="J2196">
        <v>515</v>
      </c>
      <c r="K2196" t="s">
        <v>37</v>
      </c>
      <c r="L2196" t="s">
        <v>20</v>
      </c>
    </row>
    <row r="2197" spans="1:12" x14ac:dyDescent="0.25">
      <c r="A2197">
        <v>100285</v>
      </c>
      <c r="B2197" t="s">
        <v>534</v>
      </c>
      <c r="C2197" t="s">
        <v>39</v>
      </c>
      <c r="D2197" t="s">
        <v>2522</v>
      </c>
      <c r="E2197" t="s">
        <v>3807</v>
      </c>
      <c r="F2197" t="s">
        <v>2593</v>
      </c>
      <c r="G2197" t="s">
        <v>2580</v>
      </c>
      <c r="H2197" t="s">
        <v>2587</v>
      </c>
      <c r="I2197">
        <v>0</v>
      </c>
      <c r="J2197">
        <v>592</v>
      </c>
      <c r="K2197" t="s">
        <v>19</v>
      </c>
      <c r="L2197" t="s">
        <v>2588</v>
      </c>
    </row>
    <row r="2198" spans="1:12" x14ac:dyDescent="0.25">
      <c r="A2198">
        <v>101459</v>
      </c>
      <c r="B2198" t="s">
        <v>232</v>
      </c>
      <c r="C2198" t="s">
        <v>152</v>
      </c>
      <c r="D2198" t="s">
        <v>1590</v>
      </c>
      <c r="E2198" t="s">
        <v>3243</v>
      </c>
      <c r="F2198" t="s">
        <v>2613</v>
      </c>
      <c r="G2198" t="s">
        <v>55</v>
      </c>
      <c r="H2198" t="s">
        <v>83</v>
      </c>
      <c r="I2198">
        <v>0</v>
      </c>
      <c r="J2198">
        <v>781</v>
      </c>
      <c r="K2198" t="s">
        <v>37</v>
      </c>
      <c r="L2198" t="s">
        <v>26</v>
      </c>
    </row>
    <row r="2199" spans="1:12" x14ac:dyDescent="0.25">
      <c r="A2199">
        <v>100166</v>
      </c>
      <c r="B2199" t="s">
        <v>148</v>
      </c>
      <c r="C2199" t="s">
        <v>149</v>
      </c>
      <c r="D2199" t="s">
        <v>1925</v>
      </c>
      <c r="E2199" t="s">
        <v>2523</v>
      </c>
      <c r="F2199" t="s">
        <v>2608</v>
      </c>
      <c r="H2199" t="s">
        <v>2587</v>
      </c>
      <c r="I2199">
        <v>0</v>
      </c>
      <c r="J2199">
        <v>876</v>
      </c>
      <c r="K2199" t="s">
        <v>37</v>
      </c>
      <c r="L2199" t="s">
        <v>2582</v>
      </c>
    </row>
    <row r="2200" spans="1:12" x14ac:dyDescent="0.25">
      <c r="A2200">
        <v>101852</v>
      </c>
      <c r="B2200" t="s">
        <v>671</v>
      </c>
      <c r="C2200" t="s">
        <v>3463</v>
      </c>
      <c r="D2200" t="s">
        <v>82</v>
      </c>
      <c r="E2200" t="s">
        <v>3808</v>
      </c>
      <c r="F2200" t="s">
        <v>2629</v>
      </c>
      <c r="G2200" t="s">
        <v>2596</v>
      </c>
      <c r="H2200" t="s">
        <v>18</v>
      </c>
      <c r="I2200">
        <v>0</v>
      </c>
      <c r="J2200">
        <v>302</v>
      </c>
      <c r="K2200" t="s">
        <v>45</v>
      </c>
      <c r="L2200" t="s">
        <v>26</v>
      </c>
    </row>
    <row r="2201" spans="1:12" x14ac:dyDescent="0.25">
      <c r="A2201">
        <v>101719</v>
      </c>
      <c r="B2201" t="s">
        <v>162</v>
      </c>
      <c r="C2201" t="s">
        <v>13</v>
      </c>
      <c r="D2201" t="s">
        <v>1787</v>
      </c>
      <c r="E2201" t="s">
        <v>2524</v>
      </c>
      <c r="F2201" t="s">
        <v>2616</v>
      </c>
      <c r="G2201" t="s">
        <v>2682</v>
      </c>
      <c r="H2201" t="s">
        <v>2587</v>
      </c>
      <c r="I2201">
        <v>0</v>
      </c>
      <c r="J2201">
        <v>410</v>
      </c>
      <c r="K2201" t="s">
        <v>56</v>
      </c>
      <c r="L2201" t="s">
        <v>2588</v>
      </c>
    </row>
    <row r="2202" spans="1:12" x14ac:dyDescent="0.25">
      <c r="A2202">
        <v>100042</v>
      </c>
      <c r="B2202" t="s">
        <v>207</v>
      </c>
      <c r="C2202" t="s">
        <v>103</v>
      </c>
      <c r="D2202" t="s">
        <v>2525</v>
      </c>
      <c r="E2202" t="s">
        <v>3809</v>
      </c>
      <c r="F2202" t="s">
        <v>2593</v>
      </c>
      <c r="G2202" t="s">
        <v>2609</v>
      </c>
      <c r="H2202" t="s">
        <v>2594</v>
      </c>
      <c r="I2202">
        <v>169</v>
      </c>
      <c r="J2202">
        <v>360</v>
      </c>
      <c r="K2202" t="s">
        <v>56</v>
      </c>
      <c r="L2202" t="s">
        <v>20</v>
      </c>
    </row>
    <row r="2203" spans="1:12" x14ac:dyDescent="0.25">
      <c r="A2203">
        <v>100780</v>
      </c>
      <c r="B2203" t="s">
        <v>215</v>
      </c>
      <c r="C2203" t="s">
        <v>126</v>
      </c>
      <c r="D2203" t="s">
        <v>76</v>
      </c>
      <c r="E2203" t="s">
        <v>3810</v>
      </c>
      <c r="F2203" t="s">
        <v>2643</v>
      </c>
      <c r="G2203" t="s">
        <v>2596</v>
      </c>
      <c r="H2203" t="s">
        <v>2620</v>
      </c>
      <c r="I2203">
        <v>0</v>
      </c>
      <c r="J2203">
        <v>395</v>
      </c>
      <c r="K2203" t="s">
        <v>19</v>
      </c>
      <c r="L2203" t="s">
        <v>2588</v>
      </c>
    </row>
    <row r="2204" spans="1:12" x14ac:dyDescent="0.25">
      <c r="A2204">
        <v>101887</v>
      </c>
      <c r="B2204" t="s">
        <v>141</v>
      </c>
      <c r="C2204" t="s">
        <v>142</v>
      </c>
      <c r="D2204" t="s">
        <v>2526</v>
      </c>
      <c r="E2204" t="s">
        <v>3811</v>
      </c>
      <c r="F2204" t="s">
        <v>2613</v>
      </c>
      <c r="G2204" t="s">
        <v>2591</v>
      </c>
      <c r="H2204" t="s">
        <v>2644</v>
      </c>
      <c r="I2204">
        <v>0</v>
      </c>
      <c r="J2204">
        <v>430</v>
      </c>
      <c r="K2204" t="s">
        <v>45</v>
      </c>
      <c r="L2204" t="s">
        <v>26</v>
      </c>
    </row>
    <row r="2205" spans="1:12" x14ac:dyDescent="0.25">
      <c r="A2205">
        <v>102094</v>
      </c>
      <c r="B2205" t="s">
        <v>1163</v>
      </c>
      <c r="C2205" t="s">
        <v>13</v>
      </c>
      <c r="D2205" t="s">
        <v>2527</v>
      </c>
      <c r="E2205" t="s">
        <v>3812</v>
      </c>
      <c r="F2205" t="s">
        <v>2598</v>
      </c>
      <c r="G2205" t="s">
        <v>2591</v>
      </c>
      <c r="H2205" t="s">
        <v>2581</v>
      </c>
      <c r="I2205">
        <v>0</v>
      </c>
      <c r="J2205">
        <v>850</v>
      </c>
      <c r="K2205" t="s">
        <v>45</v>
      </c>
      <c r="L2205" t="s">
        <v>20</v>
      </c>
    </row>
    <row r="2206" spans="1:12" x14ac:dyDescent="0.25">
      <c r="A2206">
        <v>102157</v>
      </c>
      <c r="B2206" t="s">
        <v>94</v>
      </c>
      <c r="C2206" t="s">
        <v>95</v>
      </c>
      <c r="D2206" t="s">
        <v>1835</v>
      </c>
      <c r="E2206" t="s">
        <v>2528</v>
      </c>
      <c r="F2206" t="s">
        <v>2646</v>
      </c>
      <c r="G2206" t="s">
        <v>2631</v>
      </c>
      <c r="H2206" t="s">
        <v>2630</v>
      </c>
      <c r="I2206">
        <v>25</v>
      </c>
      <c r="J2206">
        <v>360</v>
      </c>
      <c r="K2206" t="s">
        <v>37</v>
      </c>
      <c r="L2206" t="s">
        <v>20</v>
      </c>
    </row>
    <row r="2207" spans="1:12" x14ac:dyDescent="0.25">
      <c r="A2207">
        <v>101686</v>
      </c>
      <c r="B2207" t="s">
        <v>57</v>
      </c>
      <c r="C2207" t="s">
        <v>58</v>
      </c>
      <c r="D2207" t="s">
        <v>764</v>
      </c>
      <c r="E2207" t="s">
        <v>3813</v>
      </c>
      <c r="F2207" t="s">
        <v>2641</v>
      </c>
      <c r="G2207" t="s">
        <v>2617</v>
      </c>
      <c r="H2207" t="s">
        <v>2581</v>
      </c>
      <c r="I2207">
        <v>0</v>
      </c>
      <c r="J2207">
        <v>798</v>
      </c>
      <c r="K2207" t="s">
        <v>19</v>
      </c>
      <c r="L2207" t="s">
        <v>2588</v>
      </c>
    </row>
    <row r="2208" spans="1:12" x14ac:dyDescent="0.25">
      <c r="A2208">
        <v>100030</v>
      </c>
      <c r="B2208" t="s">
        <v>307</v>
      </c>
      <c r="C2208" t="s">
        <v>58</v>
      </c>
      <c r="D2208" t="s">
        <v>873</v>
      </c>
      <c r="E2208" t="s">
        <v>3814</v>
      </c>
      <c r="F2208" t="s">
        <v>2583</v>
      </c>
      <c r="G2208" t="s">
        <v>2591</v>
      </c>
      <c r="H2208" t="s">
        <v>2581</v>
      </c>
      <c r="I2208">
        <v>0</v>
      </c>
      <c r="J2208">
        <v>616</v>
      </c>
      <c r="L2208" t="s">
        <v>2588</v>
      </c>
    </row>
    <row r="2209" spans="1:12" x14ac:dyDescent="0.25">
      <c r="A2209">
        <v>100182</v>
      </c>
      <c r="B2209" t="s">
        <v>840</v>
      </c>
      <c r="C2209" t="s">
        <v>187</v>
      </c>
      <c r="D2209" t="s">
        <v>2230</v>
      </c>
      <c r="E2209" t="s">
        <v>3815</v>
      </c>
      <c r="F2209" t="s">
        <v>2643</v>
      </c>
      <c r="G2209" t="s">
        <v>2682</v>
      </c>
      <c r="H2209" t="s">
        <v>2581</v>
      </c>
      <c r="I2209">
        <v>0</v>
      </c>
      <c r="J2209">
        <v>519</v>
      </c>
      <c r="K2209" t="s">
        <v>37</v>
      </c>
      <c r="L2209" t="s">
        <v>26</v>
      </c>
    </row>
    <row r="2210" spans="1:12" x14ac:dyDescent="0.25">
      <c r="A2210">
        <v>100635</v>
      </c>
      <c r="B2210" t="s">
        <v>1206</v>
      </c>
      <c r="C2210" t="s">
        <v>22</v>
      </c>
      <c r="D2210" t="s">
        <v>873</v>
      </c>
      <c r="E2210" t="s">
        <v>3816</v>
      </c>
      <c r="F2210" t="s">
        <v>2608</v>
      </c>
      <c r="G2210" t="s">
        <v>55</v>
      </c>
      <c r="H2210" t="s">
        <v>25</v>
      </c>
      <c r="I2210">
        <v>5</v>
      </c>
      <c r="J2210">
        <v>607</v>
      </c>
      <c r="K2210" t="s">
        <v>19</v>
      </c>
      <c r="L2210" t="s">
        <v>26</v>
      </c>
    </row>
    <row r="2211" spans="1:12" x14ac:dyDescent="0.25">
      <c r="A2211">
        <v>100105</v>
      </c>
      <c r="B2211" t="s">
        <v>177</v>
      </c>
      <c r="C2211" t="s">
        <v>85</v>
      </c>
      <c r="D2211" t="s">
        <v>1652</v>
      </c>
      <c r="E2211" t="s">
        <v>2529</v>
      </c>
      <c r="F2211" t="s">
        <v>2646</v>
      </c>
      <c r="G2211" t="s">
        <v>81</v>
      </c>
      <c r="H2211" t="s">
        <v>2620</v>
      </c>
      <c r="I2211">
        <v>0</v>
      </c>
      <c r="J2211">
        <v>375</v>
      </c>
      <c r="K2211" t="s">
        <v>45</v>
      </c>
      <c r="L2211" t="s">
        <v>20</v>
      </c>
    </row>
    <row r="2212" spans="1:12" x14ac:dyDescent="0.25">
      <c r="A2212">
        <v>100061</v>
      </c>
      <c r="B2212" t="s">
        <v>1042</v>
      </c>
      <c r="C2212" t="s">
        <v>58</v>
      </c>
      <c r="D2212" t="s">
        <v>1630</v>
      </c>
      <c r="E2212" t="s">
        <v>1631</v>
      </c>
      <c r="F2212" t="s">
        <v>2646</v>
      </c>
      <c r="G2212" t="s">
        <v>2631</v>
      </c>
      <c r="H2212" t="s">
        <v>2581</v>
      </c>
      <c r="I2212">
        <v>0</v>
      </c>
      <c r="J2212">
        <v>578</v>
      </c>
      <c r="K2212" t="s">
        <v>37</v>
      </c>
      <c r="L2212" t="s">
        <v>20</v>
      </c>
    </row>
    <row r="2213" spans="1:12" x14ac:dyDescent="0.25">
      <c r="A2213">
        <v>101108</v>
      </c>
      <c r="B2213" t="s">
        <v>292</v>
      </c>
      <c r="C2213" t="s">
        <v>149</v>
      </c>
      <c r="D2213" t="s">
        <v>123</v>
      </c>
      <c r="E2213" t="s">
        <v>2530</v>
      </c>
      <c r="F2213" t="s">
        <v>2593</v>
      </c>
      <c r="H2213" t="s">
        <v>2644</v>
      </c>
      <c r="I2213">
        <v>0</v>
      </c>
      <c r="J2213">
        <v>466</v>
      </c>
      <c r="K2213" t="s">
        <v>19</v>
      </c>
      <c r="L2213" t="s">
        <v>2588</v>
      </c>
    </row>
    <row r="2214" spans="1:12" x14ac:dyDescent="0.25">
      <c r="A2214">
        <v>100491</v>
      </c>
      <c r="B2214" t="s">
        <v>262</v>
      </c>
      <c r="C2214" t="s">
        <v>134</v>
      </c>
      <c r="D2214" t="s">
        <v>897</v>
      </c>
      <c r="E2214" t="s">
        <v>2531</v>
      </c>
      <c r="F2214" t="s">
        <v>2627</v>
      </c>
      <c r="G2214" t="s">
        <v>2607</v>
      </c>
      <c r="H2214" t="s">
        <v>2581</v>
      </c>
      <c r="I2214">
        <v>0</v>
      </c>
      <c r="J2214">
        <v>399</v>
      </c>
      <c r="K2214" t="s">
        <v>19</v>
      </c>
      <c r="L2214" t="s">
        <v>20</v>
      </c>
    </row>
    <row r="2215" spans="1:12" x14ac:dyDescent="0.25">
      <c r="A2215">
        <v>100316</v>
      </c>
      <c r="B2215" t="s">
        <v>292</v>
      </c>
      <c r="C2215" t="s">
        <v>149</v>
      </c>
      <c r="D2215" t="s">
        <v>1315</v>
      </c>
      <c r="E2215" t="s">
        <v>3817</v>
      </c>
      <c r="F2215" t="s">
        <v>2640</v>
      </c>
      <c r="G2215" t="s">
        <v>2617</v>
      </c>
      <c r="H2215" t="s">
        <v>2581</v>
      </c>
      <c r="I2215">
        <v>0</v>
      </c>
      <c r="J2215">
        <v>466</v>
      </c>
      <c r="K2215" t="s">
        <v>37</v>
      </c>
      <c r="L2215" t="s">
        <v>20</v>
      </c>
    </row>
    <row r="2216" spans="1:12" x14ac:dyDescent="0.25">
      <c r="A2216">
        <v>101475</v>
      </c>
      <c r="B2216" t="s">
        <v>767</v>
      </c>
      <c r="C2216" t="s">
        <v>110</v>
      </c>
      <c r="D2216" t="s">
        <v>1632</v>
      </c>
      <c r="E2216" t="s">
        <v>2532</v>
      </c>
      <c r="F2216" t="s">
        <v>2616</v>
      </c>
      <c r="G2216" t="s">
        <v>2614</v>
      </c>
      <c r="H2216" t="s">
        <v>2618</v>
      </c>
      <c r="I2216">
        <v>0</v>
      </c>
      <c r="J2216">
        <v>543</v>
      </c>
      <c r="K2216" t="s">
        <v>56</v>
      </c>
      <c r="L2216" t="s">
        <v>2582</v>
      </c>
    </row>
    <row r="2217" spans="1:12" x14ac:dyDescent="0.25">
      <c r="A2217">
        <v>102033</v>
      </c>
      <c r="B2217" t="s">
        <v>65</v>
      </c>
      <c r="D2217" t="s">
        <v>1398</v>
      </c>
      <c r="E2217" t="s">
        <v>3818</v>
      </c>
      <c r="F2217" t="s">
        <v>64</v>
      </c>
      <c r="G2217" t="s">
        <v>31</v>
      </c>
      <c r="H2217" t="s">
        <v>83</v>
      </c>
      <c r="I2217">
        <v>0</v>
      </c>
      <c r="J2217">
        <v>542</v>
      </c>
      <c r="K2217" t="s">
        <v>32</v>
      </c>
      <c r="L2217" t="s">
        <v>2582</v>
      </c>
    </row>
    <row r="2218" spans="1:12" x14ac:dyDescent="0.25">
      <c r="A2218">
        <v>100382</v>
      </c>
      <c r="B2218" t="s">
        <v>255</v>
      </c>
      <c r="C2218" t="s">
        <v>52</v>
      </c>
      <c r="D2218" t="s">
        <v>2533</v>
      </c>
      <c r="E2218" t="s">
        <v>2534</v>
      </c>
      <c r="F2218" t="s">
        <v>2641</v>
      </c>
      <c r="G2218" t="s">
        <v>2617</v>
      </c>
      <c r="H2218" t="s">
        <v>42</v>
      </c>
      <c r="I2218">
        <v>84</v>
      </c>
      <c r="J2218">
        <v>639</v>
      </c>
      <c r="K2218" t="s">
        <v>32</v>
      </c>
      <c r="L2218" t="s">
        <v>26</v>
      </c>
    </row>
    <row r="2219" spans="1:12" x14ac:dyDescent="0.25">
      <c r="A2219">
        <v>100423</v>
      </c>
      <c r="B2219" t="s">
        <v>364</v>
      </c>
      <c r="C2219" t="s">
        <v>103</v>
      </c>
      <c r="D2219" t="s">
        <v>707</v>
      </c>
      <c r="E2219" t="s">
        <v>3819</v>
      </c>
      <c r="F2219" t="s">
        <v>64</v>
      </c>
      <c r="G2219" t="s">
        <v>2609</v>
      </c>
      <c r="H2219" t="s">
        <v>42</v>
      </c>
      <c r="I2219">
        <v>95</v>
      </c>
      <c r="J2219">
        <v>351</v>
      </c>
      <c r="K2219" t="s">
        <v>37</v>
      </c>
      <c r="L2219" t="s">
        <v>26</v>
      </c>
    </row>
    <row r="2220" spans="1:12" x14ac:dyDescent="0.25">
      <c r="A2220">
        <v>101084</v>
      </c>
      <c r="B2220" t="s">
        <v>241</v>
      </c>
      <c r="C2220" t="s">
        <v>58</v>
      </c>
      <c r="D2220" t="s">
        <v>455</v>
      </c>
      <c r="E2220" t="s">
        <v>2535</v>
      </c>
      <c r="F2220" t="s">
        <v>2583</v>
      </c>
      <c r="G2220" t="s">
        <v>2617</v>
      </c>
      <c r="H2220" t="s">
        <v>2620</v>
      </c>
      <c r="I2220">
        <v>0</v>
      </c>
      <c r="J2220">
        <v>468</v>
      </c>
      <c r="K2220" t="s">
        <v>56</v>
      </c>
      <c r="L2220" t="s">
        <v>2588</v>
      </c>
    </row>
    <row r="2221" spans="1:12" x14ac:dyDescent="0.25">
      <c r="A2221">
        <v>100446</v>
      </c>
      <c r="B2221" t="s">
        <v>344</v>
      </c>
      <c r="C2221" t="s">
        <v>244</v>
      </c>
      <c r="D2221" t="s">
        <v>1536</v>
      </c>
      <c r="E2221" t="s">
        <v>3820</v>
      </c>
      <c r="F2221" t="s">
        <v>2646</v>
      </c>
      <c r="G2221" t="s">
        <v>2617</v>
      </c>
      <c r="H2221" t="s">
        <v>2587</v>
      </c>
      <c r="I2221">
        <v>0</v>
      </c>
      <c r="J2221">
        <v>792</v>
      </c>
      <c r="K2221" t="s">
        <v>32</v>
      </c>
      <c r="L2221" t="s">
        <v>26</v>
      </c>
    </row>
    <row r="2222" spans="1:12" x14ac:dyDescent="0.25">
      <c r="A2222">
        <v>100664</v>
      </c>
      <c r="B2222" t="s">
        <v>243</v>
      </c>
      <c r="C2222" t="s">
        <v>244</v>
      </c>
      <c r="D2222" t="s">
        <v>2536</v>
      </c>
      <c r="E2222" t="s">
        <v>2537</v>
      </c>
      <c r="F2222" t="s">
        <v>2608</v>
      </c>
      <c r="G2222" t="s">
        <v>2635</v>
      </c>
      <c r="H2222" t="s">
        <v>2644</v>
      </c>
      <c r="I2222">
        <v>0</v>
      </c>
      <c r="J2222">
        <v>729</v>
      </c>
      <c r="K2222" t="s">
        <v>56</v>
      </c>
      <c r="L2222" t="s">
        <v>20</v>
      </c>
    </row>
    <row r="2223" spans="1:12" x14ac:dyDescent="0.25">
      <c r="A2223">
        <v>101025</v>
      </c>
      <c r="B2223" t="s">
        <v>91</v>
      </c>
      <c r="C2223" t="s">
        <v>58</v>
      </c>
      <c r="D2223" t="s">
        <v>2136</v>
      </c>
      <c r="E2223" t="s">
        <v>2538</v>
      </c>
      <c r="F2223" t="s">
        <v>2608</v>
      </c>
      <c r="G2223" t="s">
        <v>2635</v>
      </c>
      <c r="H2223" t="s">
        <v>83</v>
      </c>
      <c r="I2223">
        <v>0</v>
      </c>
      <c r="J2223">
        <v>769</v>
      </c>
      <c r="L2223" t="s">
        <v>2588</v>
      </c>
    </row>
    <row r="2224" spans="1:12" x14ac:dyDescent="0.25">
      <c r="A2224">
        <v>100627</v>
      </c>
      <c r="B2224" t="s">
        <v>444</v>
      </c>
      <c r="C2224" t="s">
        <v>52</v>
      </c>
      <c r="D2224" t="s">
        <v>256</v>
      </c>
      <c r="E2224" t="s">
        <v>2539</v>
      </c>
      <c r="F2224" t="s">
        <v>41</v>
      </c>
      <c r="G2224" t="s">
        <v>2602</v>
      </c>
      <c r="H2224" t="s">
        <v>2630</v>
      </c>
      <c r="I2224">
        <v>22</v>
      </c>
      <c r="J2224">
        <v>688</v>
      </c>
      <c r="K2224" t="s">
        <v>56</v>
      </c>
      <c r="L2224" t="s">
        <v>2588</v>
      </c>
    </row>
    <row r="2225" spans="1:12" x14ac:dyDescent="0.25">
      <c r="A2225">
        <v>101482</v>
      </c>
      <c r="B2225" t="s">
        <v>1357</v>
      </c>
      <c r="C2225" t="s">
        <v>100</v>
      </c>
      <c r="D2225" t="s">
        <v>828</v>
      </c>
      <c r="E2225" t="s">
        <v>3821</v>
      </c>
      <c r="F2225" t="s">
        <v>2613</v>
      </c>
      <c r="G2225" t="s">
        <v>2611</v>
      </c>
      <c r="H2225" t="s">
        <v>2587</v>
      </c>
      <c r="I2225">
        <v>0</v>
      </c>
      <c r="J2225">
        <v>522</v>
      </c>
      <c r="K2225" t="s">
        <v>56</v>
      </c>
      <c r="L2225" t="s">
        <v>2588</v>
      </c>
    </row>
    <row r="2226" spans="1:12" x14ac:dyDescent="0.25">
      <c r="A2226">
        <v>101513</v>
      </c>
      <c r="B2226" t="s">
        <v>429</v>
      </c>
      <c r="C2226" t="s">
        <v>52</v>
      </c>
      <c r="D2226" t="s">
        <v>1952</v>
      </c>
      <c r="E2226" t="s">
        <v>2540</v>
      </c>
      <c r="F2226" t="s">
        <v>2648</v>
      </c>
      <c r="G2226" t="s">
        <v>2584</v>
      </c>
      <c r="H2226" t="s">
        <v>2597</v>
      </c>
      <c r="I2226">
        <v>27</v>
      </c>
      <c r="J2226">
        <v>568</v>
      </c>
      <c r="K2226" t="s">
        <v>37</v>
      </c>
      <c r="L2226" t="s">
        <v>20</v>
      </c>
    </row>
    <row r="2227" spans="1:12" x14ac:dyDescent="0.25">
      <c r="A2227">
        <v>101113</v>
      </c>
      <c r="B2227" t="s">
        <v>355</v>
      </c>
      <c r="C2227" t="s">
        <v>244</v>
      </c>
      <c r="D2227" t="s">
        <v>416</v>
      </c>
      <c r="E2227" t="s">
        <v>2541</v>
      </c>
      <c r="F2227" t="s">
        <v>2604</v>
      </c>
      <c r="G2227" t="s">
        <v>60</v>
      </c>
      <c r="H2227" t="s">
        <v>2581</v>
      </c>
      <c r="I2227">
        <v>0</v>
      </c>
      <c r="J2227">
        <v>746</v>
      </c>
      <c r="K2227" t="s">
        <v>32</v>
      </c>
      <c r="L2227" t="s">
        <v>20</v>
      </c>
    </row>
    <row r="2228" spans="1:12" x14ac:dyDescent="0.25">
      <c r="A2228">
        <v>101508</v>
      </c>
      <c r="B2228" t="s">
        <v>315</v>
      </c>
      <c r="C2228" t="s">
        <v>22</v>
      </c>
      <c r="D2228" t="s">
        <v>2542</v>
      </c>
      <c r="E2228" t="s">
        <v>2543</v>
      </c>
      <c r="F2228" t="s">
        <v>2643</v>
      </c>
      <c r="G2228" t="s">
        <v>55</v>
      </c>
      <c r="H2228" t="s">
        <v>2630</v>
      </c>
      <c r="I2228">
        <v>10</v>
      </c>
      <c r="J2228">
        <v>509</v>
      </c>
      <c r="K2228" t="s">
        <v>56</v>
      </c>
      <c r="L2228" t="s">
        <v>20</v>
      </c>
    </row>
    <row r="2229" spans="1:12" x14ac:dyDescent="0.25">
      <c r="A2229">
        <v>101485</v>
      </c>
      <c r="B2229" t="s">
        <v>940</v>
      </c>
      <c r="D2229" t="s">
        <v>308</v>
      </c>
      <c r="E2229" t="s">
        <v>2544</v>
      </c>
      <c r="F2229" t="s">
        <v>41</v>
      </c>
      <c r="G2229" t="s">
        <v>2617</v>
      </c>
      <c r="H2229" t="s">
        <v>2620</v>
      </c>
      <c r="I2229">
        <v>0</v>
      </c>
      <c r="J2229">
        <v>640</v>
      </c>
      <c r="K2229" t="s">
        <v>19</v>
      </c>
      <c r="L2229" t="s">
        <v>26</v>
      </c>
    </row>
    <row r="2230" spans="1:12" x14ac:dyDescent="0.25">
      <c r="A2230">
        <v>100269</v>
      </c>
      <c r="B2230" t="s">
        <v>1177</v>
      </c>
      <c r="C2230" t="s">
        <v>62</v>
      </c>
      <c r="D2230" t="s">
        <v>2545</v>
      </c>
      <c r="E2230" t="s">
        <v>2546</v>
      </c>
      <c r="F2230" t="s">
        <v>2629</v>
      </c>
      <c r="G2230" t="s">
        <v>2580</v>
      </c>
      <c r="H2230" t="s">
        <v>18</v>
      </c>
      <c r="I2230">
        <v>0</v>
      </c>
      <c r="J2230">
        <v>482</v>
      </c>
      <c r="K2230" t="s">
        <v>45</v>
      </c>
      <c r="L2230" t="s">
        <v>26</v>
      </c>
    </row>
    <row r="2231" spans="1:12" x14ac:dyDescent="0.25">
      <c r="A2231">
        <v>101322</v>
      </c>
      <c r="B2231" t="s">
        <v>121</v>
      </c>
      <c r="C2231" t="s">
        <v>122</v>
      </c>
      <c r="D2231" t="s">
        <v>1646</v>
      </c>
      <c r="E2231" t="s">
        <v>3822</v>
      </c>
      <c r="F2231" t="s">
        <v>50</v>
      </c>
      <c r="G2231" t="s">
        <v>2652</v>
      </c>
      <c r="H2231" t="s">
        <v>83</v>
      </c>
      <c r="I2231">
        <v>0</v>
      </c>
      <c r="J2231">
        <v>823</v>
      </c>
      <c r="K2231" t="s">
        <v>37</v>
      </c>
      <c r="L2231" t="s">
        <v>26</v>
      </c>
    </row>
    <row r="2232" spans="1:12" x14ac:dyDescent="0.25">
      <c r="A2232">
        <v>101906</v>
      </c>
      <c r="B2232" t="s">
        <v>1203</v>
      </c>
      <c r="C2232" t="s">
        <v>187</v>
      </c>
      <c r="D2232" t="s">
        <v>2547</v>
      </c>
      <c r="E2232" t="s">
        <v>3823</v>
      </c>
      <c r="F2232" t="s">
        <v>2627</v>
      </c>
      <c r="G2232" t="s">
        <v>2607</v>
      </c>
      <c r="H2232" t="s">
        <v>25</v>
      </c>
      <c r="I2232">
        <v>3</v>
      </c>
      <c r="J2232">
        <v>752</v>
      </c>
      <c r="K2232" t="s">
        <v>45</v>
      </c>
      <c r="L2232" t="s">
        <v>26</v>
      </c>
    </row>
    <row r="2233" spans="1:12" x14ac:dyDescent="0.25">
      <c r="A2233">
        <v>101120</v>
      </c>
      <c r="B2233" t="s">
        <v>174</v>
      </c>
      <c r="C2233" t="s">
        <v>134</v>
      </c>
      <c r="D2233" t="s">
        <v>1371</v>
      </c>
      <c r="E2233" t="s">
        <v>3824</v>
      </c>
      <c r="F2233" t="s">
        <v>2643</v>
      </c>
      <c r="G2233" t="s">
        <v>2602</v>
      </c>
      <c r="H2233" t="s">
        <v>2644</v>
      </c>
      <c r="I2233">
        <v>0</v>
      </c>
      <c r="J2233">
        <v>554</v>
      </c>
      <c r="K2233" t="s">
        <v>56</v>
      </c>
      <c r="L2233" t="s">
        <v>2588</v>
      </c>
    </row>
    <row r="2234" spans="1:12" x14ac:dyDescent="0.25">
      <c r="A2234">
        <v>100012</v>
      </c>
      <c r="B2234" t="s">
        <v>607</v>
      </c>
      <c r="C2234" t="s">
        <v>134</v>
      </c>
      <c r="D2234" t="s">
        <v>1119</v>
      </c>
      <c r="E2234" t="s">
        <v>3825</v>
      </c>
      <c r="F2234" t="s">
        <v>2629</v>
      </c>
      <c r="G2234" t="s">
        <v>2658</v>
      </c>
      <c r="H2234" t="s">
        <v>2620</v>
      </c>
      <c r="I2234">
        <v>0</v>
      </c>
      <c r="J2234">
        <v>458</v>
      </c>
      <c r="K2234" t="s">
        <v>37</v>
      </c>
      <c r="L2234" t="s">
        <v>26</v>
      </c>
    </row>
    <row r="2235" spans="1:12" x14ac:dyDescent="0.25">
      <c r="A2235">
        <v>100115</v>
      </c>
      <c r="B2235" t="s">
        <v>38</v>
      </c>
      <c r="C2235" t="s">
        <v>39</v>
      </c>
      <c r="D2235" t="s">
        <v>2318</v>
      </c>
      <c r="E2235" t="s">
        <v>2548</v>
      </c>
      <c r="F2235" t="s">
        <v>2604</v>
      </c>
      <c r="G2235" t="s">
        <v>2611</v>
      </c>
      <c r="H2235" t="s">
        <v>2620</v>
      </c>
      <c r="I2235">
        <v>0</v>
      </c>
      <c r="J2235">
        <v>533</v>
      </c>
      <c r="K2235" t="s">
        <v>19</v>
      </c>
      <c r="L2235" t="s">
        <v>2588</v>
      </c>
    </row>
    <row r="2236" spans="1:12" x14ac:dyDescent="0.25">
      <c r="A2236">
        <v>100844</v>
      </c>
      <c r="B2236" t="s">
        <v>506</v>
      </c>
      <c r="C2236" t="s">
        <v>58</v>
      </c>
      <c r="D2236" t="s">
        <v>2200</v>
      </c>
      <c r="E2236" t="s">
        <v>2549</v>
      </c>
      <c r="F2236" t="s">
        <v>2579</v>
      </c>
      <c r="G2236" t="s">
        <v>81</v>
      </c>
      <c r="H2236" t="s">
        <v>2581</v>
      </c>
      <c r="I2236">
        <v>0</v>
      </c>
      <c r="J2236">
        <v>394</v>
      </c>
      <c r="K2236" t="s">
        <v>32</v>
      </c>
      <c r="L2236" t="s">
        <v>26</v>
      </c>
    </row>
    <row r="2237" spans="1:12" x14ac:dyDescent="0.25">
      <c r="A2237">
        <v>101453</v>
      </c>
      <c r="B2237" t="s">
        <v>385</v>
      </c>
      <c r="C2237" t="s">
        <v>85</v>
      </c>
      <c r="D2237" t="s">
        <v>2274</v>
      </c>
      <c r="E2237" t="s">
        <v>2550</v>
      </c>
      <c r="F2237" t="s">
        <v>2616</v>
      </c>
      <c r="G2237" t="s">
        <v>2596</v>
      </c>
      <c r="H2237" t="s">
        <v>2620</v>
      </c>
      <c r="I2237">
        <v>0</v>
      </c>
      <c r="J2237">
        <v>490</v>
      </c>
      <c r="K2237" t="s">
        <v>56</v>
      </c>
      <c r="L2237" t="s">
        <v>2588</v>
      </c>
    </row>
    <row r="2238" spans="1:12" x14ac:dyDescent="0.25">
      <c r="A2238">
        <v>101756</v>
      </c>
      <c r="B2238" t="s">
        <v>12</v>
      </c>
      <c r="C2238" t="s">
        <v>13</v>
      </c>
      <c r="D2238" t="s">
        <v>457</v>
      </c>
      <c r="E2238" t="s">
        <v>3826</v>
      </c>
      <c r="F2238" t="s">
        <v>2613</v>
      </c>
      <c r="G2238" t="s">
        <v>2633</v>
      </c>
      <c r="H2238" t="s">
        <v>25</v>
      </c>
      <c r="I2238">
        <v>3</v>
      </c>
      <c r="J2238">
        <v>753</v>
      </c>
      <c r="K2238" t="s">
        <v>19</v>
      </c>
      <c r="L2238" t="s">
        <v>26</v>
      </c>
    </row>
    <row r="2239" spans="1:12" x14ac:dyDescent="0.25">
      <c r="A2239">
        <v>101974</v>
      </c>
      <c r="B2239" t="s">
        <v>157</v>
      </c>
      <c r="C2239" t="s">
        <v>103</v>
      </c>
      <c r="D2239" t="s">
        <v>2551</v>
      </c>
      <c r="E2239" t="s">
        <v>2552</v>
      </c>
      <c r="F2239" t="s">
        <v>2654</v>
      </c>
      <c r="H2239" t="s">
        <v>2587</v>
      </c>
      <c r="I2239">
        <v>0</v>
      </c>
      <c r="J2239">
        <v>897</v>
      </c>
      <c r="K2239" t="s">
        <v>32</v>
      </c>
      <c r="L2239" t="s">
        <v>2588</v>
      </c>
    </row>
    <row r="2240" spans="1:12" x14ac:dyDescent="0.25">
      <c r="A2240">
        <v>101789</v>
      </c>
      <c r="B2240" t="s">
        <v>540</v>
      </c>
      <c r="C2240" t="s">
        <v>2786</v>
      </c>
      <c r="D2240" t="s">
        <v>1604</v>
      </c>
      <c r="E2240" t="s">
        <v>2553</v>
      </c>
      <c r="F2240" t="s">
        <v>2593</v>
      </c>
      <c r="G2240" t="s">
        <v>2633</v>
      </c>
      <c r="H2240" t="s">
        <v>2644</v>
      </c>
      <c r="I2240">
        <v>0</v>
      </c>
      <c r="J2240">
        <v>487</v>
      </c>
      <c r="K2240" t="s">
        <v>32</v>
      </c>
      <c r="L2240" t="s">
        <v>2588</v>
      </c>
    </row>
    <row r="2241" spans="1:12" x14ac:dyDescent="0.25">
      <c r="A2241">
        <v>100774</v>
      </c>
      <c r="B2241" t="s">
        <v>204</v>
      </c>
      <c r="C2241" t="s">
        <v>152</v>
      </c>
      <c r="E2241" t="s">
        <v>3827</v>
      </c>
      <c r="F2241" t="s">
        <v>2583</v>
      </c>
      <c r="G2241" t="s">
        <v>2584</v>
      </c>
      <c r="H2241" t="s">
        <v>2581</v>
      </c>
      <c r="I2241">
        <v>0</v>
      </c>
      <c r="J2241">
        <v>362</v>
      </c>
      <c r="K2241" t="s">
        <v>19</v>
      </c>
      <c r="L2241" t="s">
        <v>20</v>
      </c>
    </row>
    <row r="2242" spans="1:12" x14ac:dyDescent="0.25">
      <c r="A2242">
        <v>101980</v>
      </c>
      <c r="B2242" t="s">
        <v>765</v>
      </c>
      <c r="C2242" t="s">
        <v>22</v>
      </c>
      <c r="D2242" t="s">
        <v>2554</v>
      </c>
      <c r="E2242" t="s">
        <v>3828</v>
      </c>
      <c r="F2242" t="s">
        <v>2616</v>
      </c>
      <c r="G2242" t="s">
        <v>2635</v>
      </c>
      <c r="H2242" t="s">
        <v>2644</v>
      </c>
      <c r="I2242">
        <v>0</v>
      </c>
      <c r="J2242">
        <v>851</v>
      </c>
      <c r="K2242" t="s">
        <v>32</v>
      </c>
      <c r="L2242" t="s">
        <v>26</v>
      </c>
    </row>
    <row r="2243" spans="1:12" x14ac:dyDescent="0.25">
      <c r="A2243">
        <v>100691</v>
      </c>
      <c r="B2243" t="s">
        <v>307</v>
      </c>
      <c r="C2243" t="s">
        <v>58</v>
      </c>
      <c r="D2243" t="s">
        <v>2555</v>
      </c>
      <c r="E2243" t="s">
        <v>2556</v>
      </c>
      <c r="F2243" t="s">
        <v>2643</v>
      </c>
      <c r="G2243" t="s">
        <v>2614</v>
      </c>
      <c r="H2243" t="s">
        <v>2644</v>
      </c>
      <c r="I2243">
        <v>0</v>
      </c>
      <c r="J2243">
        <v>616</v>
      </c>
      <c r="K2243" t="s">
        <v>19</v>
      </c>
      <c r="L2243" t="s">
        <v>2588</v>
      </c>
    </row>
    <row r="2244" spans="1:12" x14ac:dyDescent="0.25">
      <c r="A2244">
        <v>101947</v>
      </c>
      <c r="B2244" t="s">
        <v>1203</v>
      </c>
      <c r="C2244" t="s">
        <v>2706</v>
      </c>
      <c r="D2244" t="s">
        <v>597</v>
      </c>
      <c r="E2244" t="s">
        <v>3829</v>
      </c>
      <c r="F2244" t="s">
        <v>2593</v>
      </c>
      <c r="G2244" t="s">
        <v>2658</v>
      </c>
      <c r="H2244" t="s">
        <v>2594</v>
      </c>
      <c r="I2244">
        <v>92</v>
      </c>
      <c r="J2244">
        <v>752</v>
      </c>
      <c r="K2244" t="s">
        <v>37</v>
      </c>
      <c r="L2244" t="s">
        <v>26</v>
      </c>
    </row>
    <row r="2245" spans="1:12" x14ac:dyDescent="0.25">
      <c r="A2245">
        <v>100791</v>
      </c>
      <c r="B2245" t="s">
        <v>79</v>
      </c>
      <c r="C2245" t="s">
        <v>47</v>
      </c>
      <c r="D2245" t="s">
        <v>990</v>
      </c>
      <c r="E2245" t="s">
        <v>2557</v>
      </c>
      <c r="F2245" t="s">
        <v>2613</v>
      </c>
      <c r="G2245" t="s">
        <v>55</v>
      </c>
      <c r="H2245" t="s">
        <v>18</v>
      </c>
      <c r="I2245">
        <v>0</v>
      </c>
      <c r="J2245">
        <v>585</v>
      </c>
      <c r="K2245" t="s">
        <v>37</v>
      </c>
      <c r="L2245" t="s">
        <v>20</v>
      </c>
    </row>
    <row r="2246" spans="1:12" x14ac:dyDescent="0.25">
      <c r="A2246">
        <v>100170</v>
      </c>
      <c r="B2246" t="s">
        <v>1005</v>
      </c>
      <c r="D2246" t="s">
        <v>546</v>
      </c>
      <c r="E2246" t="s">
        <v>3830</v>
      </c>
      <c r="F2246" t="s">
        <v>2640</v>
      </c>
      <c r="G2246" t="s">
        <v>2658</v>
      </c>
      <c r="H2246" t="s">
        <v>2587</v>
      </c>
      <c r="I2246">
        <v>0</v>
      </c>
      <c r="J2246">
        <v>370</v>
      </c>
      <c r="K2246" t="s">
        <v>19</v>
      </c>
      <c r="L2246" t="s">
        <v>2588</v>
      </c>
    </row>
    <row r="2247" spans="1:12" x14ac:dyDescent="0.25">
      <c r="A2247">
        <v>101185</v>
      </c>
      <c r="B2247" t="s">
        <v>225</v>
      </c>
      <c r="C2247" t="s">
        <v>142</v>
      </c>
      <c r="D2247" t="s">
        <v>1180</v>
      </c>
      <c r="E2247" t="s">
        <v>3831</v>
      </c>
      <c r="F2247" t="s">
        <v>2648</v>
      </c>
      <c r="G2247" t="s">
        <v>2607</v>
      </c>
      <c r="H2247" t="s">
        <v>2630</v>
      </c>
      <c r="I2247">
        <v>7</v>
      </c>
      <c r="J2247">
        <v>741</v>
      </c>
      <c r="K2247" t="s">
        <v>45</v>
      </c>
      <c r="L2247" t="s">
        <v>20</v>
      </c>
    </row>
    <row r="2248" spans="1:12" x14ac:dyDescent="0.25">
      <c r="A2248">
        <v>102122</v>
      </c>
      <c r="B2248" t="s">
        <v>177</v>
      </c>
      <c r="C2248" t="s">
        <v>85</v>
      </c>
      <c r="D2248" t="s">
        <v>1527</v>
      </c>
      <c r="E2248" t="s">
        <v>2558</v>
      </c>
      <c r="F2248" t="s">
        <v>41</v>
      </c>
      <c r="G2248" t="s">
        <v>2617</v>
      </c>
      <c r="H2248" t="s">
        <v>2587</v>
      </c>
      <c r="I2248">
        <v>0</v>
      </c>
      <c r="J2248">
        <v>375</v>
      </c>
      <c r="K2248" t="s">
        <v>56</v>
      </c>
      <c r="L2248" t="s">
        <v>26</v>
      </c>
    </row>
    <row r="2249" spans="1:12" x14ac:dyDescent="0.25">
      <c r="A2249">
        <v>101554</v>
      </c>
      <c r="B2249" t="s">
        <v>576</v>
      </c>
      <c r="C2249" t="s">
        <v>22</v>
      </c>
      <c r="D2249" t="s">
        <v>475</v>
      </c>
      <c r="E2249" t="s">
        <v>2559</v>
      </c>
      <c r="F2249" t="s">
        <v>2613</v>
      </c>
      <c r="G2249" t="s">
        <v>2600</v>
      </c>
      <c r="H2249" t="s">
        <v>2630</v>
      </c>
      <c r="I2249">
        <v>1</v>
      </c>
      <c r="J2249">
        <v>418</v>
      </c>
      <c r="K2249" t="s">
        <v>56</v>
      </c>
      <c r="L2249" t="s">
        <v>2582</v>
      </c>
    </row>
    <row r="2250" spans="1:12" x14ac:dyDescent="0.25">
      <c r="A2250">
        <v>100751</v>
      </c>
      <c r="B2250" t="s">
        <v>592</v>
      </c>
      <c r="C2250" t="s">
        <v>47</v>
      </c>
      <c r="D2250" t="s">
        <v>1901</v>
      </c>
      <c r="E2250" t="s">
        <v>3832</v>
      </c>
      <c r="F2250" t="s">
        <v>2640</v>
      </c>
      <c r="G2250" t="s">
        <v>2617</v>
      </c>
      <c r="H2250" t="s">
        <v>42</v>
      </c>
      <c r="I2250">
        <v>143</v>
      </c>
      <c r="J2250">
        <v>332</v>
      </c>
      <c r="K2250" t="s">
        <v>56</v>
      </c>
      <c r="L2250" t="s">
        <v>2582</v>
      </c>
    </row>
    <row r="2251" spans="1:12" x14ac:dyDescent="0.25">
      <c r="A2251">
        <v>101820</v>
      </c>
      <c r="B2251" t="s">
        <v>399</v>
      </c>
      <c r="C2251" t="s">
        <v>187</v>
      </c>
      <c r="D2251" t="s">
        <v>649</v>
      </c>
      <c r="E2251" t="s">
        <v>2560</v>
      </c>
      <c r="F2251" t="s">
        <v>64</v>
      </c>
      <c r="G2251" t="s">
        <v>2625</v>
      </c>
      <c r="H2251" t="s">
        <v>2623</v>
      </c>
      <c r="I2251">
        <v>145</v>
      </c>
      <c r="J2251">
        <v>370</v>
      </c>
      <c r="K2251" t="s">
        <v>45</v>
      </c>
      <c r="L2251" t="s">
        <v>20</v>
      </c>
    </row>
    <row r="2252" spans="1:12" x14ac:dyDescent="0.25">
      <c r="A2252">
        <v>102096</v>
      </c>
      <c r="B2252" t="s">
        <v>610</v>
      </c>
      <c r="C2252" t="s">
        <v>126</v>
      </c>
      <c r="D2252" t="s">
        <v>732</v>
      </c>
      <c r="E2252" t="s">
        <v>2561</v>
      </c>
      <c r="F2252" t="s">
        <v>2616</v>
      </c>
      <c r="G2252" t="s">
        <v>2584</v>
      </c>
      <c r="H2252" t="s">
        <v>2581</v>
      </c>
      <c r="I2252">
        <v>0</v>
      </c>
      <c r="J2252">
        <v>315</v>
      </c>
      <c r="K2252" t="s">
        <v>32</v>
      </c>
      <c r="L2252" t="s">
        <v>2582</v>
      </c>
    </row>
    <row r="2253" spans="1:12" x14ac:dyDescent="0.25">
      <c r="A2253">
        <v>100592</v>
      </c>
      <c r="B2253" t="s">
        <v>512</v>
      </c>
      <c r="C2253" t="s">
        <v>152</v>
      </c>
      <c r="D2253" t="s">
        <v>2562</v>
      </c>
      <c r="E2253" t="s">
        <v>3833</v>
      </c>
      <c r="F2253" t="s">
        <v>2579</v>
      </c>
      <c r="G2253" t="s">
        <v>2635</v>
      </c>
      <c r="H2253" t="s">
        <v>18</v>
      </c>
      <c r="I2253">
        <v>0</v>
      </c>
      <c r="J2253">
        <v>853</v>
      </c>
      <c r="K2253" t="s">
        <v>45</v>
      </c>
      <c r="L2253" t="s">
        <v>20</v>
      </c>
    </row>
    <row r="2254" spans="1:12" x14ac:dyDescent="0.25">
      <c r="A2254">
        <v>100808</v>
      </c>
      <c r="B2254" t="s">
        <v>162</v>
      </c>
      <c r="C2254" t="s">
        <v>2786</v>
      </c>
      <c r="D2254" t="s">
        <v>2563</v>
      </c>
      <c r="E2254" t="s">
        <v>3834</v>
      </c>
      <c r="F2254" t="s">
        <v>2608</v>
      </c>
      <c r="G2254" t="s">
        <v>55</v>
      </c>
      <c r="H2254" t="s">
        <v>83</v>
      </c>
      <c r="I2254">
        <v>0</v>
      </c>
      <c r="J2254">
        <v>410</v>
      </c>
      <c r="K2254" t="s">
        <v>37</v>
      </c>
      <c r="L2254" t="s">
        <v>2588</v>
      </c>
    </row>
    <row r="2255" spans="1:12" x14ac:dyDescent="0.25">
      <c r="A2255">
        <v>101084</v>
      </c>
      <c r="B2255" t="s">
        <v>241</v>
      </c>
      <c r="C2255" t="s">
        <v>58</v>
      </c>
      <c r="D2255" t="s">
        <v>455</v>
      </c>
      <c r="E2255" t="s">
        <v>2535</v>
      </c>
      <c r="F2255" t="s">
        <v>2583</v>
      </c>
      <c r="G2255" t="s">
        <v>2617</v>
      </c>
      <c r="H2255" t="s">
        <v>2620</v>
      </c>
      <c r="I2255">
        <v>0</v>
      </c>
      <c r="J2255">
        <v>468</v>
      </c>
      <c r="K2255" t="s">
        <v>56</v>
      </c>
      <c r="L2255" t="s">
        <v>2588</v>
      </c>
    </row>
    <row r="2256" spans="1:12" x14ac:dyDescent="0.25">
      <c r="A2256">
        <v>101045</v>
      </c>
      <c r="B2256" t="s">
        <v>592</v>
      </c>
      <c r="C2256" t="s">
        <v>47</v>
      </c>
      <c r="D2256" t="s">
        <v>2564</v>
      </c>
      <c r="E2256" t="s">
        <v>3835</v>
      </c>
      <c r="F2256" t="s">
        <v>2590</v>
      </c>
      <c r="G2256" t="s">
        <v>2682</v>
      </c>
      <c r="H2256" t="s">
        <v>2587</v>
      </c>
      <c r="I2256">
        <v>0</v>
      </c>
      <c r="J2256">
        <v>332</v>
      </c>
      <c r="K2256" t="s">
        <v>45</v>
      </c>
      <c r="L2256" t="s">
        <v>26</v>
      </c>
    </row>
    <row r="2257" spans="1:12" x14ac:dyDescent="0.25">
      <c r="A2257">
        <v>101449</v>
      </c>
      <c r="B2257" t="s">
        <v>678</v>
      </c>
      <c r="C2257" t="s">
        <v>270</v>
      </c>
      <c r="D2257" t="s">
        <v>2132</v>
      </c>
      <c r="E2257" t="s">
        <v>2565</v>
      </c>
      <c r="F2257" t="s">
        <v>2613</v>
      </c>
      <c r="G2257" t="s">
        <v>55</v>
      </c>
      <c r="H2257" t="s">
        <v>2597</v>
      </c>
      <c r="I2257">
        <v>6</v>
      </c>
      <c r="J2257">
        <v>883</v>
      </c>
      <c r="K2257" t="s">
        <v>19</v>
      </c>
      <c r="L2257" t="s">
        <v>2588</v>
      </c>
    </row>
    <row r="2258" spans="1:12" x14ac:dyDescent="0.25">
      <c r="A2258">
        <v>100653</v>
      </c>
      <c r="B2258" t="s">
        <v>325</v>
      </c>
      <c r="C2258" t="s">
        <v>126</v>
      </c>
      <c r="D2258" t="s">
        <v>2566</v>
      </c>
      <c r="E2258" t="s">
        <v>3836</v>
      </c>
      <c r="F2258" t="s">
        <v>50</v>
      </c>
      <c r="G2258" t="s">
        <v>2591</v>
      </c>
      <c r="H2258" t="s">
        <v>25</v>
      </c>
      <c r="I2258">
        <v>21</v>
      </c>
      <c r="J2258">
        <v>570</v>
      </c>
      <c r="K2258" t="s">
        <v>45</v>
      </c>
      <c r="L2258" t="s">
        <v>2588</v>
      </c>
    </row>
    <row r="2259" spans="1:12" x14ac:dyDescent="0.25">
      <c r="A2259">
        <v>101264</v>
      </c>
      <c r="B2259" t="s">
        <v>234</v>
      </c>
      <c r="C2259" t="s">
        <v>142</v>
      </c>
      <c r="D2259" t="s">
        <v>789</v>
      </c>
      <c r="E2259" t="s">
        <v>790</v>
      </c>
      <c r="F2259" t="s">
        <v>2593</v>
      </c>
      <c r="G2259" t="s">
        <v>2617</v>
      </c>
      <c r="H2259" t="s">
        <v>18</v>
      </c>
      <c r="I2259">
        <v>0</v>
      </c>
      <c r="J2259">
        <v>494</v>
      </c>
      <c r="K2259" t="s">
        <v>32</v>
      </c>
      <c r="L2259" t="s">
        <v>20</v>
      </c>
    </row>
    <row r="2260" spans="1:12" x14ac:dyDescent="0.25">
      <c r="A2260">
        <v>101667</v>
      </c>
      <c r="B2260" t="s">
        <v>213</v>
      </c>
      <c r="C2260" t="s">
        <v>58</v>
      </c>
      <c r="D2260" t="s">
        <v>2386</v>
      </c>
      <c r="E2260" t="s">
        <v>3837</v>
      </c>
      <c r="F2260" t="s">
        <v>2593</v>
      </c>
      <c r="G2260" t="s">
        <v>2617</v>
      </c>
      <c r="H2260" t="s">
        <v>2623</v>
      </c>
      <c r="I2260">
        <v>177</v>
      </c>
      <c r="J2260">
        <v>324</v>
      </c>
      <c r="K2260" t="s">
        <v>37</v>
      </c>
      <c r="L2260" t="s">
        <v>2588</v>
      </c>
    </row>
    <row r="2261" spans="1:12" x14ac:dyDescent="0.25">
      <c r="A2261">
        <v>101240</v>
      </c>
      <c r="B2261" t="s">
        <v>1663</v>
      </c>
      <c r="C2261" t="s">
        <v>100</v>
      </c>
      <c r="D2261" t="s">
        <v>1396</v>
      </c>
      <c r="E2261" t="s">
        <v>2567</v>
      </c>
      <c r="F2261" t="s">
        <v>2640</v>
      </c>
      <c r="G2261" t="s">
        <v>2599</v>
      </c>
      <c r="H2261" t="s">
        <v>18</v>
      </c>
      <c r="I2261">
        <v>0</v>
      </c>
      <c r="J2261">
        <v>452</v>
      </c>
      <c r="K2261" t="s">
        <v>45</v>
      </c>
      <c r="L2261" t="s">
        <v>20</v>
      </c>
    </row>
    <row r="2262" spans="1:12" x14ac:dyDescent="0.25">
      <c r="A2262">
        <v>100245</v>
      </c>
      <c r="B2262" t="s">
        <v>241</v>
      </c>
      <c r="C2262" t="s">
        <v>58</v>
      </c>
      <c r="D2262" t="s">
        <v>2568</v>
      </c>
      <c r="E2262" t="s">
        <v>2569</v>
      </c>
      <c r="F2262" t="s">
        <v>41</v>
      </c>
      <c r="G2262" t="s">
        <v>60</v>
      </c>
      <c r="H2262" t="s">
        <v>83</v>
      </c>
      <c r="I2262">
        <v>0</v>
      </c>
      <c r="J2262">
        <v>468</v>
      </c>
      <c r="K2262" t="s">
        <v>45</v>
      </c>
      <c r="L2262" t="s">
        <v>2582</v>
      </c>
    </row>
    <row r="2263" spans="1:12" x14ac:dyDescent="0.25">
      <c r="A2263">
        <v>101388</v>
      </c>
      <c r="B2263" t="s">
        <v>342</v>
      </c>
      <c r="C2263" t="s">
        <v>110</v>
      </c>
      <c r="D2263" t="s">
        <v>447</v>
      </c>
      <c r="E2263" t="s">
        <v>2570</v>
      </c>
      <c r="F2263" t="s">
        <v>2583</v>
      </c>
      <c r="G2263" t="s">
        <v>2600</v>
      </c>
      <c r="H2263" t="s">
        <v>2594</v>
      </c>
      <c r="I2263">
        <v>99</v>
      </c>
      <c r="J2263">
        <v>659</v>
      </c>
      <c r="K2263" t="s">
        <v>45</v>
      </c>
      <c r="L2263" t="s">
        <v>2582</v>
      </c>
    </row>
    <row r="2264" spans="1:12" x14ac:dyDescent="0.25">
      <c r="A2264">
        <v>102023</v>
      </c>
      <c r="B2264" t="s">
        <v>832</v>
      </c>
      <c r="C2264" t="s">
        <v>134</v>
      </c>
      <c r="D2264" t="s">
        <v>720</v>
      </c>
      <c r="E2264" t="s">
        <v>3838</v>
      </c>
      <c r="F2264" t="s">
        <v>2646</v>
      </c>
      <c r="G2264" t="s">
        <v>2584</v>
      </c>
      <c r="H2264" t="s">
        <v>2630</v>
      </c>
      <c r="I2264">
        <v>6</v>
      </c>
      <c r="J2264">
        <v>641</v>
      </c>
      <c r="K2264" t="s">
        <v>32</v>
      </c>
      <c r="L2264" t="s">
        <v>2588</v>
      </c>
    </row>
    <row r="2265" spans="1:12" x14ac:dyDescent="0.25">
      <c r="A2265">
        <v>100060</v>
      </c>
      <c r="B2265" t="s">
        <v>1203</v>
      </c>
      <c r="C2265" t="s">
        <v>2706</v>
      </c>
      <c r="E2265" t="s">
        <v>2571</v>
      </c>
      <c r="F2265" t="s">
        <v>2641</v>
      </c>
      <c r="G2265" t="s">
        <v>2611</v>
      </c>
      <c r="H2265" t="s">
        <v>2620</v>
      </c>
      <c r="I2265">
        <v>0</v>
      </c>
      <c r="J2265">
        <v>752</v>
      </c>
      <c r="K2265" t="s">
        <v>56</v>
      </c>
      <c r="L2265" t="s">
        <v>26</v>
      </c>
    </row>
    <row r="2266" spans="1:12" x14ac:dyDescent="0.25">
      <c r="A2266">
        <v>101246</v>
      </c>
      <c r="B2266" t="s">
        <v>1357</v>
      </c>
      <c r="C2266" t="s">
        <v>100</v>
      </c>
      <c r="D2266" t="s">
        <v>2430</v>
      </c>
      <c r="E2266" t="s">
        <v>3839</v>
      </c>
      <c r="F2266" t="s">
        <v>2608</v>
      </c>
      <c r="G2266" t="s">
        <v>2614</v>
      </c>
      <c r="H2266" t="s">
        <v>42</v>
      </c>
      <c r="I2266">
        <v>174</v>
      </c>
      <c r="J2266">
        <v>522</v>
      </c>
      <c r="K2266" t="s">
        <v>19</v>
      </c>
      <c r="L2266" t="s">
        <v>26</v>
      </c>
    </row>
    <row r="2267" spans="1:12" x14ac:dyDescent="0.25">
      <c r="A2267">
        <v>100177</v>
      </c>
      <c r="B2267" t="s">
        <v>399</v>
      </c>
      <c r="C2267" t="s">
        <v>187</v>
      </c>
      <c r="D2267" t="s">
        <v>2572</v>
      </c>
      <c r="E2267" t="s">
        <v>2573</v>
      </c>
      <c r="F2267" t="s">
        <v>2583</v>
      </c>
      <c r="G2267" t="s">
        <v>2658</v>
      </c>
      <c r="H2267" t="s">
        <v>2618</v>
      </c>
      <c r="I2267">
        <v>0</v>
      </c>
      <c r="J2267">
        <v>370</v>
      </c>
      <c r="K2267" t="s">
        <v>56</v>
      </c>
      <c r="L2267" t="s">
        <v>2582</v>
      </c>
    </row>
    <row r="2268" spans="1:12" x14ac:dyDescent="0.25">
      <c r="A2268">
        <v>100450</v>
      </c>
      <c r="B2268" t="s">
        <v>489</v>
      </c>
      <c r="C2268" t="s">
        <v>126</v>
      </c>
      <c r="D2268" t="s">
        <v>2170</v>
      </c>
      <c r="E2268" t="s">
        <v>3840</v>
      </c>
      <c r="F2268" t="s">
        <v>2654</v>
      </c>
      <c r="G2268" t="s">
        <v>2611</v>
      </c>
      <c r="H2268" t="s">
        <v>2644</v>
      </c>
      <c r="I2268">
        <v>0</v>
      </c>
      <c r="J2268">
        <v>843</v>
      </c>
      <c r="K2268" t="s">
        <v>56</v>
      </c>
      <c r="L2268" t="s">
        <v>26</v>
      </c>
    </row>
    <row r="2269" spans="1:12" x14ac:dyDescent="0.25">
      <c r="A2269">
        <v>100056</v>
      </c>
      <c r="B2269" t="s">
        <v>385</v>
      </c>
      <c r="C2269" t="s">
        <v>85</v>
      </c>
      <c r="D2269" t="s">
        <v>773</v>
      </c>
      <c r="E2269" t="s">
        <v>3841</v>
      </c>
      <c r="F2269" t="s">
        <v>41</v>
      </c>
      <c r="G2269" t="s">
        <v>2631</v>
      </c>
      <c r="H2269" t="s">
        <v>2620</v>
      </c>
      <c r="I2269">
        <v>0</v>
      </c>
      <c r="J2269">
        <v>490</v>
      </c>
      <c r="K2269" t="s">
        <v>19</v>
      </c>
      <c r="L2269" t="s">
        <v>2588</v>
      </c>
    </row>
    <row r="2270" spans="1:12" x14ac:dyDescent="0.25">
      <c r="A2270">
        <v>101973</v>
      </c>
      <c r="B2270" t="s">
        <v>186</v>
      </c>
      <c r="C2270" t="s">
        <v>187</v>
      </c>
      <c r="D2270" t="s">
        <v>883</v>
      </c>
      <c r="E2270" t="s">
        <v>2574</v>
      </c>
      <c r="F2270" t="s">
        <v>2613</v>
      </c>
      <c r="H2270" t="s">
        <v>2644</v>
      </c>
      <c r="J2270">
        <v>709</v>
      </c>
      <c r="K2270" t="s">
        <v>19</v>
      </c>
      <c r="L2270" t="s">
        <v>2588</v>
      </c>
    </row>
    <row r="2271" spans="1:12" x14ac:dyDescent="0.25">
      <c r="A2271">
        <v>101093</v>
      </c>
      <c r="B2271" t="s">
        <v>1168</v>
      </c>
      <c r="C2271" t="s">
        <v>218</v>
      </c>
      <c r="D2271" t="s">
        <v>561</v>
      </c>
      <c r="E2271" t="s">
        <v>2575</v>
      </c>
      <c r="F2271" t="s">
        <v>2627</v>
      </c>
      <c r="G2271" t="s">
        <v>2602</v>
      </c>
      <c r="H2271" t="s">
        <v>2585</v>
      </c>
      <c r="I2271">
        <v>20</v>
      </c>
      <c r="J2271">
        <v>606</v>
      </c>
      <c r="K2271" t="s">
        <v>37</v>
      </c>
      <c r="L2271" t="s">
        <v>20</v>
      </c>
    </row>
    <row r="2272" spans="1:12" x14ac:dyDescent="0.25">
      <c r="A2272">
        <v>101769</v>
      </c>
      <c r="B2272" t="s">
        <v>286</v>
      </c>
      <c r="C2272" t="s">
        <v>168</v>
      </c>
      <c r="D2272" t="s">
        <v>2576</v>
      </c>
      <c r="E2272" t="s">
        <v>3842</v>
      </c>
      <c r="F2272" t="s">
        <v>2583</v>
      </c>
      <c r="G2272" t="s">
        <v>2658</v>
      </c>
      <c r="H2272" t="s">
        <v>83</v>
      </c>
      <c r="I2272">
        <v>0</v>
      </c>
      <c r="J2272">
        <v>434</v>
      </c>
      <c r="K2272" t="s">
        <v>19</v>
      </c>
      <c r="L2272" t="s">
        <v>2588</v>
      </c>
    </row>
    <row r="2273" spans="1:12" x14ac:dyDescent="0.25">
      <c r="A2273">
        <v>101738</v>
      </c>
      <c r="B2273" t="s">
        <v>1175</v>
      </c>
      <c r="C2273" t="s">
        <v>142</v>
      </c>
      <c r="D2273" t="s">
        <v>1787</v>
      </c>
      <c r="E2273" t="s">
        <v>3843</v>
      </c>
      <c r="F2273" t="s">
        <v>2640</v>
      </c>
      <c r="G2273" t="s">
        <v>2631</v>
      </c>
      <c r="H2273" t="s">
        <v>2597</v>
      </c>
      <c r="I2273">
        <v>15</v>
      </c>
      <c r="J2273">
        <v>573</v>
      </c>
      <c r="K2273" t="s">
        <v>56</v>
      </c>
      <c r="L2273" t="s">
        <v>2588</v>
      </c>
    </row>
    <row r="2274" spans="1:12" x14ac:dyDescent="0.25">
      <c r="A2274">
        <v>101210</v>
      </c>
      <c r="B2274" t="s">
        <v>278</v>
      </c>
      <c r="C2274" t="s">
        <v>62</v>
      </c>
      <c r="D2274" t="s">
        <v>2577</v>
      </c>
      <c r="E2274" t="s">
        <v>2578</v>
      </c>
      <c r="F2274" t="s">
        <v>2579</v>
      </c>
      <c r="G2274" t="s">
        <v>2580</v>
      </c>
      <c r="H2274" t="s">
        <v>18</v>
      </c>
      <c r="I2274">
        <v>0</v>
      </c>
      <c r="J2274">
        <v>713</v>
      </c>
      <c r="K2274" t="s">
        <v>19</v>
      </c>
      <c r="L2274" t="s">
        <v>2588</v>
      </c>
    </row>
    <row r="2275" spans="1:12" x14ac:dyDescent="0.25">
      <c r="A2275">
        <v>100642</v>
      </c>
      <c r="B2275" t="s">
        <v>767</v>
      </c>
      <c r="C2275" t="s">
        <v>110</v>
      </c>
      <c r="D2275" t="s">
        <v>1396</v>
      </c>
      <c r="E2275" t="s">
        <v>3844</v>
      </c>
      <c r="F2275" t="s">
        <v>2654</v>
      </c>
      <c r="G2275" t="s">
        <v>2584</v>
      </c>
      <c r="H2275" t="s">
        <v>2597</v>
      </c>
      <c r="I2275">
        <v>9</v>
      </c>
      <c r="J2275">
        <v>543</v>
      </c>
      <c r="K2275" t="s">
        <v>45</v>
      </c>
      <c r="L2275" t="s">
        <v>2588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54746DC-B687-4380-B4AE-236E017CAD4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B3124AC-93A8-4F69-B1FD-BC7CD278980C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6FA5C3F1-E257-498B-975D-489EBD9B7B12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</vt:lpstr>
      <vt:lpstr>Apresentação</vt:lpstr>
      <vt:lpstr>Dados Brutos Tratados</vt:lpstr>
      <vt:lpstr>Dados_Brutos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Rhyan Carvalho</dc:creator>
  <cp:lastModifiedBy>Rhyan Carvalho</cp:lastModifiedBy>
  <dcterms:created xsi:type="dcterms:W3CDTF">2026-07-29T14:09:11Z</dcterms:created>
  <dcterms:modified xsi:type="dcterms:W3CDTF">2026-07-30T00:32:31Z</dcterms:modified>
</cp:coreProperties>
</file>